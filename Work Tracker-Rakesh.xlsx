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05604A50-36F8-4634-B087-B58D245502D5}" xr6:coauthVersionLast="47" xr6:coauthVersionMax="47" xr10:uidLastSave="{00000000-0000-0000-0000-000000000000}"/>
  <bookViews>
    <workbookView xWindow="-120" yWindow="-120" windowWidth="20730" windowHeight="11040" activeTab="1" xr2:uid="{00000000-000D-0000-FFFF-FFFF00000000}"/>
  </bookViews>
  <sheets>
    <sheet name="Instructions" sheetId="11" r:id="rId1"/>
    <sheet name="Recurring tasks" sheetId="1" r:id="rId2"/>
    <sheet name="Audit- FY 2023-24" sheetId="2" state="hidden" r:id="rId3"/>
    <sheet name="Audit" sheetId="4" state="hidden" r:id="rId4"/>
    <sheet name="MIS" sheetId="7" state="hidden" r:id="rId5"/>
    <sheet name="Internal Audit" sheetId="8" state="hidden" r:id="rId6"/>
    <sheet name="Tracker review " sheetId="10" state="hidden" r:id="rId7"/>
  </sheets>
  <definedNames>
    <definedName name="_xlnm._FilterDatabase" localSheetId="3" hidden="1">Audit!$A$2:$BH$56</definedName>
    <definedName name="_xlnm._FilterDatabase" localSheetId="2" hidden="1">'Audit- FY 2023-24'!$A$2:$BH$56</definedName>
    <definedName name="_xlnm._FilterDatabase" localSheetId="5" hidden="1">'Internal Audit'!$A$2:$F$56</definedName>
    <definedName name="_xlnm._FilterDatabase" localSheetId="1" hidden="1">'Recurring tasks'!$A$4:$DF$98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9" i="1" l="1"/>
  <c r="BN87" i="1"/>
  <c r="H12" i="1"/>
  <c r="H11" i="1"/>
  <c r="BN78" i="1"/>
  <c r="H68" i="1"/>
  <c r="H10" i="1"/>
  <c r="A56" i="8"/>
  <c r="A4" i="8"/>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3" i="4"/>
  <c r="A54" i="4" s="1"/>
  <c r="AF31" i="4"/>
  <c r="A31" i="4"/>
  <c r="A32" i="4" s="1"/>
  <c r="A33" i="4" s="1"/>
  <c r="A34" i="4" s="1"/>
  <c r="A35" i="4" s="1"/>
  <c r="A36" i="4" s="1"/>
  <c r="A37" i="4" s="1"/>
  <c r="A38" i="4" s="1"/>
  <c r="A39" i="4" s="1"/>
  <c r="A40" i="4" s="1"/>
  <c r="A41" i="4" s="1"/>
  <c r="A42" i="4" s="1"/>
  <c r="A43" i="4" s="1"/>
  <c r="A44" i="4" s="1"/>
  <c r="A45" i="4" s="1"/>
  <c r="A46" i="4" s="1"/>
  <c r="AF30" i="4"/>
  <c r="AF28" i="4"/>
  <c r="AF27" i="4"/>
  <c r="AF23" i="4"/>
  <c r="AE23" i="4"/>
  <c r="A23" i="4"/>
  <c r="A24" i="4" s="1"/>
  <c r="A25" i="4" s="1"/>
  <c r="A26" i="4" s="1"/>
  <c r="A4" i="4"/>
  <c r="A5" i="4" s="1"/>
  <c r="A6" i="4" s="1"/>
  <c r="A7" i="4" s="1"/>
  <c r="A8" i="4" s="1"/>
  <c r="A9" i="4" s="1"/>
  <c r="A10" i="4" s="1"/>
  <c r="A11" i="4" s="1"/>
  <c r="A12" i="4" s="1"/>
  <c r="A13" i="4" s="1"/>
  <c r="A14" i="4" s="1"/>
  <c r="A15" i="4" s="1"/>
  <c r="A16" i="4" s="1"/>
  <c r="A17" i="4" s="1"/>
  <c r="A18" i="4" s="1"/>
  <c r="A19" i="4" s="1"/>
  <c r="A53" i="2"/>
  <c r="A54" i="2" s="1"/>
  <c r="AF31" i="2"/>
  <c r="A31" i="2"/>
  <c r="A32" i="2" s="1"/>
  <c r="A33" i="2" s="1"/>
  <c r="A34" i="2" s="1"/>
  <c r="A35" i="2" s="1"/>
  <c r="A36" i="2" s="1"/>
  <c r="A37" i="2" s="1"/>
  <c r="A38" i="2" s="1"/>
  <c r="A39" i="2" s="1"/>
  <c r="A40" i="2" s="1"/>
  <c r="A41" i="2" s="1"/>
  <c r="A42" i="2" s="1"/>
  <c r="A43" i="2" s="1"/>
  <c r="A44" i="2" s="1"/>
  <c r="A45" i="2" s="1"/>
  <c r="A46" i="2" s="1"/>
  <c r="AF30" i="2"/>
  <c r="AF28" i="2"/>
  <c r="AF27" i="2"/>
  <c r="AF23" i="2"/>
  <c r="AE23" i="2"/>
  <c r="A23" i="2"/>
  <c r="A24" i="2" s="1"/>
  <c r="A25" i="2" s="1"/>
  <c r="A26" i="2" s="1"/>
  <c r="A4" i="2"/>
  <c r="A5" i="2" s="1"/>
  <c r="A6" i="2" s="1"/>
  <c r="A7" i="2" s="1"/>
  <c r="A8" i="2" s="1"/>
  <c r="A9" i="2" s="1"/>
  <c r="A10" i="2" s="1"/>
  <c r="A11" i="2" s="1"/>
  <c r="A12" i="2" s="1"/>
  <c r="A13" i="2" s="1"/>
  <c r="A14" i="2" s="1"/>
  <c r="A15" i="2" s="1"/>
  <c r="A16" i="2" s="1"/>
  <c r="A17" i="2" s="1"/>
  <c r="A18" i="2" s="1"/>
  <c r="A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tc={6C4F7C23-D1A7-833F-FECB-4F9723325CB2}</author>
    <author>Mahantesh K</author>
    <author>tc={A725C730-5B11-1C6E-70A3-3FA57F2D26A7}</author>
    <author>tc={6CE4D442-A9D8-4A33-D605-AB1FB90EA41C}</author>
    <author>tc={AAF27838-3AC4-18EB-FD26-FEA8A52F028F}</author>
    <author>tc={7D050D6B-939F-48E6-6FA2-F2F4B60F4C92}</author>
    <author>Dattaguru Hegde</author>
    <author>tc={87003478-028A-42E5-5A1B-11547F1A0DBA}</author>
    <author>tc={1F7FA338-71BF-4B48-91FD-B3A3AF431C4A}</author>
    <author>tc={F40722D4-53D9-6D89-EAB1-3B75B0FF82CB}</author>
    <author>tc={CAFDB5AC-3817-D27B-4268-CAB8737B947C}</author>
    <author>Aishwarya</author>
  </authors>
  <commentList>
    <comment ref="I8" authorId="0" shapeId="0" xr:uid="{6C4F7C23-D1A7-833F-FECB-4F9723325CB2}">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Effective from April'24
</t>
        </r>
      </text>
    </comment>
    <comment ref="AL8" authorId="1" shapeId="0" xr:uid="{7CDB6715-7E81-437C-9BB4-CE2075DC9AEE}">
      <text>
        <r>
          <rPr>
            <sz val="11"/>
            <color theme="1"/>
            <rFont val="Calibri"/>
          </rPr>
          <t>Mahantesh K:
The advance tax computation is ready. However, the payment is currently on hold as the change in the Authorized Signatory is in progress.</t>
        </r>
      </text>
    </comment>
    <comment ref="AU11" authorId="1" shapeId="0" xr:uid="{8DD9C8E6-A9A0-41B3-9456-C98D2E4482AE}">
      <text>
        <r>
          <rPr>
            <sz val="11"/>
            <color theme="1"/>
            <rFont val="Calibri"/>
            <family val="2"/>
          </rPr>
          <t>Mahantesh K:Payroll services for the client is yet to started</t>
        </r>
      </text>
    </comment>
    <comment ref="AL13" authorId="1" shapeId="0" xr:uid="{ED8087C9-853A-44AF-9729-944CC6F0DAC2}">
      <text>
        <r>
          <rPr>
            <sz val="11"/>
            <color theme="1"/>
            <rFont val="Calibri"/>
          </rPr>
          <t>Mahantesh K:
Pending confirmation and payment from the client.</t>
        </r>
      </text>
    </comment>
    <comment ref="H18" authorId="2" shapeId="0" xr:uid="{A725C730-5B11-1C6E-70A3-3FA57F2D26A7}">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It may change based on employees
</t>
        </r>
      </text>
    </comment>
    <comment ref="J18" authorId="3" shapeId="0" xr:uid="{6CE4D442-A9D8-4A33-D605-AB1FB90EA41C}">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Invoice raise based on employees
</t>
        </r>
      </text>
    </comment>
    <comment ref="J20" authorId="4" shapeId="0" xr:uid="{AAF27838-3AC4-18EB-FD26-FEA8A52F028F}">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Increment based on employees count
</t>
        </r>
      </text>
    </comment>
    <comment ref="I29" authorId="5" shapeId="0" xr:uid="{7D050D6B-939F-48E6-6FA2-F2F4B60F4C92}">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Rs. 8250 per quarter for Secretetial Services
</t>
        </r>
      </text>
    </comment>
    <comment ref="AW29" authorId="6" shapeId="0" xr:uid="{ECA0031D-2EF1-4D63-8B0F-53ED6C7E6A7D}">
      <text>
        <r>
          <rPr>
            <sz val="11"/>
            <color theme="1"/>
            <rFont val="Calibri"/>
            <family val="2"/>
          </rPr>
          <t>Dattaguru Hegde:
Checked with ROC team. KYC and FIRC for previous remittance is pending to be received. Hence not filed</t>
        </r>
      </text>
    </comment>
    <comment ref="CF30" authorId="7" shapeId="0" xr:uid="{87003478-028A-42E5-5A1B-11547F1A0DBA}">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Aruna Hegde's details mentioned
</t>
        </r>
      </text>
    </comment>
    <comment ref="H31" authorId="8" shapeId="0" xr:uid="{1F7FA338-71BF-4B48-91FD-B3A3AF431C4A}">
      <text>
        <r>
          <rPr>
            <sz val="11"/>
            <color theme="1"/>
            <rFont val="Calibri"/>
          </rPr>
          <t>[Threaded comment]
Your version of Excel allows you to read this threaded comment; however, any edits to it will get removed if the file is opened in a newer version of Excel. Learn more: https://go.microsoft.com/fwlink/?linkid=870924
Comment:
    It may change based on employees</t>
        </r>
      </text>
    </comment>
    <comment ref="I36" authorId="9" shapeId="0" xr:uid="{F40722D4-53D9-6D89-EAB1-3B75B0FF82CB}">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ETDS filing fees per quarter
</t>
        </r>
      </text>
    </comment>
    <comment ref="BH39" authorId="10" shapeId="0" xr:uid="{CAFDB5AC-3817-D27B-4268-CAB8737B947C}">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ITC we are offsetting with Domestic sales liability
</t>
        </r>
      </text>
    </comment>
    <comment ref="BN66" authorId="11" shapeId="0" xr:uid="{3AD47CEC-7664-4ABC-850A-2566AC283116}">
      <text>
        <r>
          <rPr>
            <sz val="11"/>
            <color theme="1"/>
            <rFont val="Calibri"/>
          </rPr>
          <t>Aishwarya:
Nothing has been charged as confirmed by Rakesh Sir(email confirmation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tc={1E7886FD-9D25-3EED-B766-462B6135C893}</author>
    <author>tc={277F5A10-0D8D-FD2C-3CF9-E909EEEFB32A}</author>
    <author>tc={AE2FF46B-8B65-A04C-BB2C-E5ECF8716BB8}</author>
    <author>tc={8CE5D103-9F03-8FC4-29E4-4D95A6EF1434}</author>
    <author>tc={D98541C2-491F-09B4-01F9-58D6FF8C611A}</author>
    <author>tc={ACAE0166-B809-70F3-2F23-6470E58012C4}</author>
    <author>tc={6A89DCDD-EF47-3CA4-EF53-BBA7E7481C90}</author>
    <author>tc={324C1395-B8EE-6044-E4F9-6D08311300C9}</author>
    <author>tc={962D87CD-80BE-80B3-8F78-0A82A2E81EB7}</author>
    <author>tc={D2366713-8E63-5334-8FF8-ACE063EA9BB6}</author>
  </authors>
  <commentList>
    <comment ref="AF16" authorId="0" shapeId="0" xr:uid="{1E7886FD-9D25-3EED-B766-462B6135C893}">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10,000 as we are closing the company. Remaining one lakh will be paid from Yaga OU
</t>
        </r>
      </text>
    </comment>
    <comment ref="AG16" authorId="1" shapeId="0" xr:uid="{277F5A10-0D8D-FD2C-3CF9-E909EEEFB32A}">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10,000 as we are closing the company. Remaining one lakh will be paid from Yaga OU
</t>
        </r>
      </text>
    </comment>
    <comment ref="J26" authorId="2" shapeId="0" xr:uid="{AE2FF46B-8B65-A04C-BB2C-E5ECF8716BB8}">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Bank statement is pending with the client. Follow-up is under process for the same.
</t>
        </r>
      </text>
    </comment>
    <comment ref="W26" authorId="3" shapeId="0" xr:uid="{8CE5D103-9F03-8FC4-29E4-4D95A6EF1434}">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External ROC team
</t>
        </r>
      </text>
    </comment>
    <comment ref="X26" authorId="4" shapeId="0" xr:uid="{D98541C2-491F-09B4-01F9-58D6FF8C611A}">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External ROC team
</t>
        </r>
      </text>
    </comment>
    <comment ref="J27" authorId="5" shapeId="0" xr:uid="{ACAE0166-B809-70F3-2F23-6470E58012C4}">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Bank statement is pending with the client. Follow-up is under process for the same.
</t>
        </r>
      </text>
    </comment>
    <comment ref="W30" authorId="6" shapeId="0" xr:uid="{6A89DCDD-EF47-3CA4-EF53-BBA7E7481C90}">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External ROC team
</t>
        </r>
      </text>
    </comment>
    <comment ref="X30" authorId="7" shapeId="0" xr:uid="{324C1395-B8EE-6044-E4F9-6D08311300C9}">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External ROC team
</t>
        </r>
      </text>
    </comment>
    <comment ref="I36" authorId="8" shapeId="0" xr:uid="{962D87CD-80BE-80B3-8F78-0A82A2E81EB7}">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To be discussed with Soniya
</t>
        </r>
      </text>
    </comment>
    <comment ref="AF36" authorId="9" shapeId="0" xr:uid="{D2366713-8E63-5334-8FF8-ACE063EA9BB6}">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To be discussed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tc={D876792C-1B01-D897-CB62-4E1E41D517D9}</author>
    <author>tc={BBFB59EC-D3B8-5582-0B80-31457A33C38A}</author>
    <author>tc={76C7B71A-EE1C-76E0-9DED-3918FBED9CB7}</author>
    <author>tc={9782FAAF-BEEA-69DF-5C0E-C4FCA2B35F21}</author>
    <author>tc={DACFC238-58FA-0ADB-B463-59784A99B84F}</author>
    <author>tc={D32CEF2F-30DE-D0E2-2861-4374004B224E}</author>
    <author>tc={2161DCE7-08FB-61F0-645B-345BAA3873E2}</author>
    <author>tc={F834E9E7-71FB-496D-90FA-A9F4B23A2DC9}</author>
    <author>tc={1C68943F-A365-F21E-8C77-0646594FB8F8}</author>
    <author>tc={2FB190A2-92E2-5E9D-43D3-DBE5655E57DA}</author>
  </authors>
  <commentList>
    <comment ref="AF16" authorId="0" shapeId="0" xr:uid="{D876792C-1B01-D897-CB62-4E1E41D517D9}">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10,000 as we are closing the company. Remaining one lakh will be paid from Yaga OU
</t>
        </r>
      </text>
    </comment>
    <comment ref="AG16" authorId="1" shapeId="0" xr:uid="{BBFB59EC-D3B8-5582-0B80-31457A33C38A}">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10,000 as we are closing the company. Remaining one lakh will be paid from Yaga OU
</t>
        </r>
      </text>
    </comment>
    <comment ref="J26" authorId="2" shapeId="0" xr:uid="{76C7B71A-EE1C-76E0-9DED-3918FBED9CB7}">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Bank statement is pending with the client. Follow-up is under process for the same.
</t>
        </r>
      </text>
    </comment>
    <comment ref="W26" authorId="3" shapeId="0" xr:uid="{9782FAAF-BEEA-69DF-5C0E-C4FCA2B35F21}">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External ROC team
</t>
        </r>
      </text>
    </comment>
    <comment ref="X26" authorId="4" shapeId="0" xr:uid="{DACFC238-58FA-0ADB-B463-59784A99B84F}">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External ROC team
</t>
        </r>
      </text>
    </comment>
    <comment ref="J27" authorId="5" shapeId="0" xr:uid="{D32CEF2F-30DE-D0E2-2861-4374004B224E}">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Bank statement is pending with the client. Follow-up is under process for the same.
</t>
        </r>
      </text>
    </comment>
    <comment ref="W30" authorId="6" shapeId="0" xr:uid="{2161DCE7-08FB-61F0-645B-345BAA3873E2}">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External ROC team
</t>
        </r>
      </text>
    </comment>
    <comment ref="X30" authorId="7" shapeId="0" xr:uid="{F834E9E7-71FB-496D-90FA-A9F4B23A2DC9}">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External ROC team
</t>
        </r>
      </text>
    </comment>
    <comment ref="I36" authorId="8" shapeId="0" xr:uid="{1C68943F-A365-F21E-8C77-0646594FB8F8}">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To be discussed with Soniya
</t>
        </r>
      </text>
    </comment>
    <comment ref="AF36" authorId="9" shapeId="0" xr:uid="{2FB190A2-92E2-5E9D-43D3-DBE5655E57DA}">
      <text>
        <r>
          <rPr>
            <sz val="11"/>
            <color theme="1"/>
            <rFont val="Calibri"/>
          </rPr>
          <t xml:space="preserve">[Threaded comment]
Your version of Excel allows you to read this threaded comment; however, any edits to it will get removed if the file is opened in a newer version of Excel. Learn more: https://go.microsoft.com/fwlink/?linkid=870924
Comment:
    To be discussed
</t>
        </r>
      </text>
    </comment>
  </commentList>
</comments>
</file>

<file path=xl/sharedStrings.xml><?xml version="1.0" encoding="utf-8"?>
<sst xmlns="http://schemas.openxmlformats.org/spreadsheetml/2006/main" count="11155" uniqueCount="679">
  <si>
    <t>The following guidelines should be followed while updating the tracker:</t>
  </si>
  <si>
    <r>
      <t xml:space="preserve">The tracker includes sections for </t>
    </r>
    <r>
      <rPr>
        <b/>
        <sz val="11"/>
        <color theme="1"/>
        <rFont val="Calibri"/>
        <family val="2"/>
      </rPr>
      <t>Recurring Tasks</t>
    </r>
    <r>
      <rPr>
        <sz val="11"/>
        <color theme="1"/>
        <rFont val="Calibri"/>
        <family val="2"/>
      </rPr>
      <t xml:space="preserve">, </t>
    </r>
    <r>
      <rPr>
        <b/>
        <sz val="11"/>
        <color theme="1"/>
        <rFont val="Calibri"/>
        <family val="2"/>
      </rPr>
      <t>Quarterly Tasks</t>
    </r>
    <r>
      <rPr>
        <sz val="11"/>
        <color theme="1"/>
        <rFont val="Calibri"/>
        <family val="2"/>
      </rPr>
      <t xml:space="preserve">, </t>
    </r>
    <r>
      <rPr>
        <b/>
        <sz val="11"/>
        <color theme="1"/>
        <rFont val="Calibri"/>
        <family val="2"/>
      </rPr>
      <t>Yearly Tasks</t>
    </r>
    <r>
      <rPr>
        <sz val="11"/>
        <color theme="1"/>
        <rFont val="Calibri"/>
        <family val="2"/>
      </rPr>
      <t xml:space="preserve">, and </t>
    </r>
    <r>
      <rPr>
        <b/>
        <sz val="11"/>
        <color theme="1"/>
        <rFont val="Calibri"/>
        <family val="2"/>
      </rPr>
      <t>One-Time Tasks</t>
    </r>
    <r>
      <rPr>
        <sz val="11"/>
        <color theme="1"/>
        <rFont val="Calibri"/>
        <family val="2"/>
      </rPr>
      <t>.</t>
    </r>
  </si>
  <si>
    <t>If a new client is added, please ensure the client’s name is included in the tracker along with the names of the respective team members.</t>
  </si>
  <si>
    <t>If there are any changes to team members, kindly update the tracker accordingly.</t>
  </si>
  <si>
    <t>If a client is no longer associated, please strike off the client’s name in the tracker.</t>
  </si>
  <si>
    <t>If there is any change in the fees, please update the revised fees in the tracker.</t>
  </si>
  <si>
    <r>
      <t xml:space="preserve">For one-time assignments, please include the client name under the </t>
    </r>
    <r>
      <rPr>
        <b/>
        <sz val="11"/>
        <color theme="1"/>
        <rFont val="Calibri"/>
        <family val="2"/>
      </rPr>
      <t>“One-Time Task Clients”</t>
    </r>
    <r>
      <rPr>
        <sz val="11"/>
        <color theme="1"/>
        <rFont val="Calibri"/>
        <family val="2"/>
      </rPr>
      <t xml:space="preserve"> section.</t>
    </r>
  </si>
  <si>
    <t>Important Notes:</t>
  </si>
  <si>
    <t>Please maintain the existing formatting of the tracker while making updates.</t>
  </si>
  <si>
    <r>
      <t xml:space="preserve">All dates should be entered in the following format: </t>
    </r>
    <r>
      <rPr>
        <b/>
        <sz val="11"/>
        <color theme="1"/>
        <rFont val="Calibri"/>
        <family val="2"/>
      </rPr>
      <t>DD-MMM-YYYY</t>
    </r>
    <r>
      <rPr>
        <sz val="11"/>
        <color theme="1"/>
        <rFont val="Calibri"/>
        <family val="2"/>
      </rPr>
      <t xml:space="preserve"> (e.g., 03-Jul-2025).</t>
    </r>
  </si>
  <si>
    <t>TRACKER FOR MONTHLY ACTIVITIES</t>
  </si>
  <si>
    <t>NA</t>
  </si>
  <si>
    <t>7th</t>
  </si>
  <si>
    <t>10th</t>
  </si>
  <si>
    <t>20th</t>
  </si>
  <si>
    <t>15th</t>
  </si>
  <si>
    <t>11th</t>
  </si>
  <si>
    <t>30/31ST</t>
  </si>
  <si>
    <t>15th Jan</t>
  </si>
  <si>
    <t>31st Jan</t>
  </si>
  <si>
    <t>31st Mar</t>
  </si>
  <si>
    <t>30th Apr</t>
  </si>
  <si>
    <t>15th July</t>
  </si>
  <si>
    <t>30th Jun</t>
  </si>
  <si>
    <t>30th Sept</t>
  </si>
  <si>
    <t>31st Oct</t>
  </si>
  <si>
    <t>30th Nov</t>
  </si>
  <si>
    <t>31st Dec</t>
  </si>
  <si>
    <t>MONTHLY TASKS- Nov 2025</t>
  </si>
  <si>
    <t xml:space="preserve">YEARLY TASKS </t>
  </si>
  <si>
    <t>GST Refund</t>
  </si>
  <si>
    <t>Address of the company updated correctly?</t>
  </si>
  <si>
    <t>Contact details of client updated? (No person outside the company must have their contact details updated in any portal)</t>
  </si>
  <si>
    <t>Gratuity Insurance</t>
  </si>
  <si>
    <t>De-materialization of shrares</t>
  </si>
  <si>
    <t>Client name</t>
  </si>
  <si>
    <t>Executive</t>
  </si>
  <si>
    <t>Team Lead</t>
  </si>
  <si>
    <t>Senior Team Lead</t>
  </si>
  <si>
    <t>Associate Manager</t>
  </si>
  <si>
    <t>Manager</t>
  </si>
  <si>
    <t>Current CFS Fees (Monthly)</t>
  </si>
  <si>
    <t>ROC Fees (Quaterly) /E-TDS Filing (Quaterly)/ Director Fees (Quarterly) Amount</t>
  </si>
  <si>
    <t>Hike Month</t>
  </si>
  <si>
    <t>ZohoBooks - TAGGED to BCL</t>
  </si>
  <si>
    <t xml:space="preserve">Whether MSME registration obtained? Yes/No </t>
  </si>
  <si>
    <t>Is BCL has OFFICIAL Banking maker access?</t>
  </si>
  <si>
    <t>Is BCL's Registered Office address at MCA is used by client?</t>
  </si>
  <si>
    <t>GST returns frequency</t>
  </si>
  <si>
    <t>TDS</t>
  </si>
  <si>
    <t>STPI/Non-STPI returns</t>
  </si>
  <si>
    <t>PT Payment</t>
  </si>
  <si>
    <t>PT returns</t>
  </si>
  <si>
    <t>PF Returns</t>
  </si>
  <si>
    <t>PF Payment</t>
  </si>
  <si>
    <t>Check for any notice in IT portal</t>
  </si>
  <si>
    <t>ESI Payment</t>
  </si>
  <si>
    <t xml:space="preserve">ESI returns </t>
  </si>
  <si>
    <t>E-invoicing</t>
  </si>
  <si>
    <t xml:space="preserve">GSTR 1 returns filing </t>
  </si>
  <si>
    <t xml:space="preserve">GSTR 3B payment </t>
  </si>
  <si>
    <t>GSTR 3B returns filing</t>
  </si>
  <si>
    <t>GSTR-5A Payment</t>
  </si>
  <si>
    <t>GSTR-5A returns</t>
  </si>
  <si>
    <t>Accounting completed?</t>
  </si>
  <si>
    <t>MIS shared with client?</t>
  </si>
  <si>
    <t>Payroll processing Completed for the month?</t>
  </si>
  <si>
    <t>Employee count</t>
  </si>
  <si>
    <t>Is number of employees within slab for S&amp;E?</t>
  </si>
  <si>
    <t>Advance tax computation mailed to client?</t>
  </si>
  <si>
    <t>Advance tax paid?</t>
  </si>
  <si>
    <t>LWF payment and returns</t>
  </si>
  <si>
    <t>Form U (S&amp;E)</t>
  </si>
  <si>
    <t>POI</t>
  </si>
  <si>
    <t>Annual returns for POSH</t>
  </si>
  <si>
    <t>LUT for next FY (2025-26)</t>
  </si>
  <si>
    <t>Gratuity valuation report</t>
  </si>
  <si>
    <t>EL valuation report</t>
  </si>
  <si>
    <t>IT declaration for FY 2025-26</t>
  </si>
  <si>
    <t>RBI - FLA Returns</t>
  </si>
  <si>
    <t>ROC - DPT - 3</t>
  </si>
  <si>
    <t>ROC - DIN KYC</t>
  </si>
  <si>
    <t>ROC - MSME( APRIL TO SEPT)</t>
  </si>
  <si>
    <t>ROC - MSME( Oct - Mar)</t>
  </si>
  <si>
    <t>3CEAC</t>
  </si>
  <si>
    <t>3CEAA</t>
  </si>
  <si>
    <t>OB of GST inputs reversed</t>
  </si>
  <si>
    <t>Returns for Bonus</t>
  </si>
  <si>
    <t>Holiday list to department</t>
  </si>
  <si>
    <t>Leave balance year end process</t>
  </si>
  <si>
    <t>Period for which GST 
refund is pending to be filed</t>
  </si>
  <si>
    <t>Expected Submission date</t>
  </si>
  <si>
    <t>Amount of Refund</t>
  </si>
  <si>
    <t>GST Refund Application Filed Date</t>
  </si>
  <si>
    <t>GST Refund Application Status</t>
  </si>
  <si>
    <t>GST Refund received?</t>
  </si>
  <si>
    <t>BCL Invice Amount</t>
  </si>
  <si>
    <t>BCL Invoice Raised?</t>
  </si>
  <si>
    <t>BCL Incoive Paymet received?</t>
  </si>
  <si>
    <t>Genius</t>
  </si>
  <si>
    <t>IT Portal</t>
  </si>
  <si>
    <t>GST Portal</t>
  </si>
  <si>
    <t>MCA</t>
  </si>
  <si>
    <t>Traces</t>
  </si>
  <si>
    <t>Professional Tax</t>
  </si>
  <si>
    <t>IEC</t>
  </si>
  <si>
    <t>PAN</t>
  </si>
  <si>
    <t>TAN</t>
  </si>
  <si>
    <t>MSME</t>
  </si>
  <si>
    <t>S&amp;E</t>
  </si>
  <si>
    <t>IT Portal (PAN based login)</t>
  </si>
  <si>
    <t>IT Portal (TAN based login)</t>
  </si>
  <si>
    <t>PF</t>
  </si>
  <si>
    <t>ESI</t>
  </si>
  <si>
    <t>Bank</t>
  </si>
  <si>
    <t>Mail Shared with Client?</t>
  </si>
  <si>
    <t>Received Approval?</t>
  </si>
  <si>
    <t>Creation of Gratuity Trust?</t>
  </si>
  <si>
    <t>Direct Fund Method</t>
  </si>
  <si>
    <t>Fees</t>
  </si>
  <si>
    <t>Invoice raised?</t>
  </si>
  <si>
    <t>Payment received</t>
  </si>
  <si>
    <t>Status of PAN?</t>
  </si>
  <si>
    <t>Status of Demat of Shares?</t>
  </si>
  <si>
    <t>ISD Applicability</t>
  </si>
  <si>
    <t>15/1/2025</t>
  </si>
  <si>
    <t>31/1/2025</t>
  </si>
  <si>
    <t>FY 24-25</t>
  </si>
  <si>
    <t>FY 25-26</t>
  </si>
  <si>
    <t>CY 2026</t>
  </si>
  <si>
    <t>CY 2025</t>
  </si>
  <si>
    <t>Team Mahantesh</t>
  </si>
  <si>
    <t>KumKutch Finance Private Limited</t>
  </si>
  <si>
    <t>-</t>
  </si>
  <si>
    <t>Sampath</t>
  </si>
  <si>
    <t>Mahantesh</t>
  </si>
  <si>
    <t>Aruna</t>
  </si>
  <si>
    <t>February</t>
  </si>
  <si>
    <t>No</t>
  </si>
  <si>
    <t>Monthly</t>
  </si>
  <si>
    <t>Done</t>
  </si>
  <si>
    <t>Correct</t>
  </si>
  <si>
    <t>Incorrect</t>
  </si>
  <si>
    <t>SBD India Private Limited</t>
  </si>
  <si>
    <t>998399 Rd</t>
  </si>
  <si>
    <t>Vishwanath</t>
  </si>
  <si>
    <t>October</t>
  </si>
  <si>
    <t>Yes</t>
  </si>
  <si>
    <t>Pending</t>
  </si>
  <si>
    <t>October'22 to July'24</t>
  </si>
  <si>
    <t>22,99,719</t>
  </si>
  <si>
    <t>25/09/24</t>
  </si>
  <si>
    <t>1,20,000</t>
  </si>
  <si>
    <t>Zolnoi Innovations Private Limited</t>
  </si>
  <si>
    <t>Gururaj</t>
  </si>
  <si>
    <t>April</t>
  </si>
  <si>
    <t>Uttara Labs India Private Limited</t>
  </si>
  <si>
    <t>March</t>
  </si>
  <si>
    <t>OMAP Management Services Private Limited</t>
  </si>
  <si>
    <t>May</t>
  </si>
  <si>
    <t>GKG India Private Limited</t>
  </si>
  <si>
    <t>August</t>
  </si>
  <si>
    <t>DigiStain India</t>
  </si>
  <si>
    <t>Exempt</t>
  </si>
  <si>
    <t>Namratha</t>
  </si>
  <si>
    <t>XY Retail</t>
  </si>
  <si>
    <t xml:space="preserve">IT/ITes </t>
  </si>
  <si>
    <t>Oct</t>
  </si>
  <si>
    <t>June'25</t>
  </si>
  <si>
    <t>31/7/25</t>
  </si>
  <si>
    <t>1,00,000</t>
  </si>
  <si>
    <t>XY Retail Inc</t>
  </si>
  <si>
    <t>Team Keshava Murthy</t>
  </si>
  <si>
    <t>Colife Advisory Private Limited</t>
  </si>
  <si>
    <t>Sushmitha</t>
  </si>
  <si>
    <t>Niranjan T Hegde</t>
  </si>
  <si>
    <t>Keshava Murthy</t>
  </si>
  <si>
    <t>Na</t>
  </si>
  <si>
    <t>Applicable</t>
  </si>
  <si>
    <t>V+S Design Partners LLP</t>
  </si>
  <si>
    <t>White Martech Solutions Private Limited</t>
  </si>
  <si>
    <t>Bhoomika</t>
  </si>
  <si>
    <t>Subtle Threads LLP</t>
  </si>
  <si>
    <t>Pragathi P Shetty</t>
  </si>
  <si>
    <t>September</t>
  </si>
  <si>
    <t>Phool &amp; Pheras LLP</t>
  </si>
  <si>
    <t>V Jaganath</t>
  </si>
  <si>
    <t>Carver Technologies Private Limited</t>
  </si>
  <si>
    <t>Poornima</t>
  </si>
  <si>
    <t>Deepika</t>
  </si>
  <si>
    <t>INR           47,500</t>
  </si>
  <si>
    <t>June</t>
  </si>
  <si>
    <t>Unoxact Digital Solutions &amp; technologies Pvt Ltd</t>
  </si>
  <si>
    <t>INR           20,000</t>
  </si>
  <si>
    <t>S Mehraa Stlyling</t>
  </si>
  <si>
    <t>Textiles</t>
  </si>
  <si>
    <t>Sandesh</t>
  </si>
  <si>
    <t>Team Datta</t>
  </si>
  <si>
    <t>Nanogence Materials India Private Limited</t>
  </si>
  <si>
    <t>Ajey</t>
  </si>
  <si>
    <t>Pooja</t>
  </si>
  <si>
    <t>Dattaguru</t>
  </si>
  <si>
    <t>TBD</t>
  </si>
  <si>
    <t>Ardemas Technologies Private Limited</t>
  </si>
  <si>
    <t>July'23 to Mar'25</t>
  </si>
  <si>
    <t>May'25</t>
  </si>
  <si>
    <t>23,11,000</t>
  </si>
  <si>
    <t>21-05-2025</t>
  </si>
  <si>
    <t>1,60,000</t>
  </si>
  <si>
    <t>done</t>
  </si>
  <si>
    <t>Acumant Technologies Private Limited</t>
  </si>
  <si>
    <t>INR            40,000</t>
  </si>
  <si>
    <t>Betabridge Ventures Private Limited</t>
  </si>
  <si>
    <t>Sandhya</t>
  </si>
  <si>
    <t>INR            22,500</t>
  </si>
  <si>
    <t>July</t>
  </si>
  <si>
    <t>Team- Sainadh</t>
  </si>
  <si>
    <t>Mathworks India Private Limited</t>
  </si>
  <si>
    <t xml:space="preserve">Developer of mathematical computing software
</t>
  </si>
  <si>
    <t>Vishwanath C</t>
  </si>
  <si>
    <t>Sharath</t>
  </si>
  <si>
    <t>Sainadh</t>
  </si>
  <si>
    <t>Soniya</t>
  </si>
  <si>
    <t>Livwell India Private Limited</t>
  </si>
  <si>
    <t>Digital Insurance sector</t>
  </si>
  <si>
    <t>April'24 - March'25</t>
  </si>
  <si>
    <t>Alphawave</t>
  </si>
  <si>
    <t xml:space="preserve">Cyber security for insurance vendors
</t>
  </si>
  <si>
    <t>Alok BY</t>
  </si>
  <si>
    <t>Veena</t>
  </si>
  <si>
    <t>Sprouts Software Technologies Private Limited</t>
  </si>
  <si>
    <t xml:space="preserve">Computer programming, consultancy and related activities
</t>
  </si>
  <si>
    <t>Nov</t>
  </si>
  <si>
    <t>Joola India Private Limited</t>
  </si>
  <si>
    <t xml:space="preserve">Manufacturer of sports equipments
</t>
  </si>
  <si>
    <t>Prajwal BY</t>
  </si>
  <si>
    <t>Aishwarya BY</t>
  </si>
  <si>
    <t>Sep</t>
  </si>
  <si>
    <t>Sep'23 - March'24</t>
  </si>
  <si>
    <t>23/08/2024</t>
  </si>
  <si>
    <t>Mitigata Insurance Brokers Pvt Ltd</t>
  </si>
  <si>
    <t>Cyber security for insurance vendors</t>
  </si>
  <si>
    <t>Voqalize Technologies Pvt Ltd</t>
  </si>
  <si>
    <t>Provides sensory-based human-machine voice interfaces for preprogrammed conversational systems</t>
  </si>
  <si>
    <t>Duroflex Private Limited</t>
  </si>
  <si>
    <t xml:space="preserve">Manufacturer- Mattress, furniture &amp; accessories
</t>
  </si>
  <si>
    <t>Zenlegal Technology Private Limited (Lucio)</t>
  </si>
  <si>
    <t xml:space="preserve">Creation of AI tool assisting law firms and legal professionals
</t>
  </si>
  <si>
    <t>Kusuma</t>
  </si>
  <si>
    <t>Team-Varsha</t>
  </si>
  <si>
    <t>Tower360 India Private Limited</t>
  </si>
  <si>
    <t>IT</t>
  </si>
  <si>
    <t>Sowjanya</t>
  </si>
  <si>
    <t>Bharath</t>
  </si>
  <si>
    <t>Varsha</t>
  </si>
  <si>
    <t>INR 55,775</t>
  </si>
  <si>
    <t>Nov'23-Mar'25</t>
  </si>
  <si>
    <t>10th November 2025</t>
  </si>
  <si>
    <t>3,38,518</t>
  </si>
  <si>
    <t>MPower Student Services Pvt Ltd</t>
  </si>
  <si>
    <t>Intermediary Service impact</t>
  </si>
  <si>
    <t>Vinutha</t>
  </si>
  <si>
    <t>INR 1,91,400</t>
  </si>
  <si>
    <t>January</t>
  </si>
  <si>
    <t>Oct'24 to Mar'25</t>
  </si>
  <si>
    <t>31st July 2025</t>
  </si>
  <si>
    <t>68,00,000</t>
  </si>
  <si>
    <t>19/08/2025</t>
  </si>
  <si>
    <t>Vandey</t>
  </si>
  <si>
    <t>Namita/Sudeep</t>
  </si>
  <si>
    <t>INR 1,10,000</t>
  </si>
  <si>
    <t>Oolka (Sixdis Technologies Private Limited)</t>
  </si>
  <si>
    <t>Bharath N</t>
  </si>
  <si>
    <t>INR 93,700</t>
  </si>
  <si>
    <t>Straiker LLP</t>
  </si>
  <si>
    <t>INR 45,000</t>
  </si>
  <si>
    <t>Nov'24- Oct'25</t>
  </si>
  <si>
    <t>30th November</t>
  </si>
  <si>
    <t>Nala</t>
  </si>
  <si>
    <t>Team-Sharan</t>
  </si>
  <si>
    <t>Tab India Granites Private Limited</t>
  </si>
  <si>
    <t>No scope</t>
  </si>
  <si>
    <t>Sharan</t>
  </si>
  <si>
    <t>Aug</t>
  </si>
  <si>
    <t>Alliedworks</t>
  </si>
  <si>
    <t>IT/ITes - Job work/ Works Contract - Gaming Software</t>
  </si>
  <si>
    <t>April'23 - March'24</t>
  </si>
  <si>
    <t>Wandfluh India Private Limited</t>
  </si>
  <si>
    <t>Trading of Valves</t>
  </si>
  <si>
    <t>Sampath Ganiga</t>
  </si>
  <si>
    <t>AGNIT Semiconductors Private Limited</t>
  </si>
  <si>
    <t>Manufacturing of Semiconductors</t>
  </si>
  <si>
    <t>Pannaga</t>
  </si>
  <si>
    <t>Flagright</t>
  </si>
  <si>
    <t>Nagashree</t>
  </si>
  <si>
    <t>Mar</t>
  </si>
  <si>
    <t>Incerto Technologies Private Limited</t>
  </si>
  <si>
    <t>Shimizu Corporation India Private Limited</t>
  </si>
  <si>
    <t xml:space="preserve">Real estate development &amp; engineering
</t>
  </si>
  <si>
    <t>Coreason LLP</t>
  </si>
  <si>
    <t>Team- Aishwarya</t>
  </si>
  <si>
    <t>Giga Healthcare Private Limited</t>
  </si>
  <si>
    <t xml:space="preserve">Auxilliary to Ins 997169; </t>
  </si>
  <si>
    <t>Bhagyashree</t>
  </si>
  <si>
    <t>Jan 2024- Mar 2025</t>
  </si>
  <si>
    <t>Jano Health</t>
  </si>
  <si>
    <t>Subscription based model in WIP</t>
  </si>
  <si>
    <t>Jan</t>
  </si>
  <si>
    <t>Sporting Earth Private Limited</t>
  </si>
  <si>
    <t>Admission to event 998555</t>
  </si>
  <si>
    <t>MEA Platform Technologies Private Limited</t>
  </si>
  <si>
    <t>AI-powered software-as-a-service (SaaS) platform for the insurance industry</t>
  </si>
  <si>
    <t>Mohini</t>
  </si>
  <si>
    <t>Feiry Digital Imaging India Private Limited</t>
  </si>
  <si>
    <t>Printing Software Development</t>
  </si>
  <si>
    <t>Mea platforms group (Bermuda) ltd</t>
  </si>
  <si>
    <t xml:space="preserve">AI-powered software-as-a-service (SaaS) platform for the insurance industry
</t>
  </si>
  <si>
    <t>INR 45000</t>
  </si>
  <si>
    <t>Mea platforms group inc</t>
  </si>
  <si>
    <t>Ambinet Technologies Private Limited</t>
  </si>
  <si>
    <t>Team- Cheluvaraju</t>
  </si>
  <si>
    <t>3Keys India Private Limited</t>
  </si>
  <si>
    <t xml:space="preserve">Raghavendra </t>
  </si>
  <si>
    <t>Cheluvaraju</t>
  </si>
  <si>
    <t>Apr'24 - Mar'25</t>
  </si>
  <si>
    <t>31-05-2025</t>
  </si>
  <si>
    <t>150000</t>
  </si>
  <si>
    <t>iAnalytics LLP</t>
  </si>
  <si>
    <t>Rakshitha</t>
  </si>
  <si>
    <t>Jalaja BY</t>
  </si>
  <si>
    <t>G2 Integrity Solutions Private Limited</t>
  </si>
  <si>
    <t>Althera</t>
  </si>
  <si>
    <t>R&amp;D</t>
  </si>
  <si>
    <t>Vincent</t>
  </si>
  <si>
    <t>From Jan'24</t>
  </si>
  <si>
    <t>WIP</t>
  </si>
  <si>
    <t>Scov3 India</t>
  </si>
  <si>
    <t>Vibonum Technologies Private Limited</t>
  </si>
  <si>
    <t>To be checked</t>
  </si>
  <si>
    <t>Pitchfork Foods Private Limited</t>
  </si>
  <si>
    <t>Dec</t>
  </si>
  <si>
    <t>Shanmukha Innnovations</t>
  </si>
  <si>
    <t>HSN required</t>
  </si>
  <si>
    <t>Feb</t>
  </si>
  <si>
    <t>Team- Raghavendra H G</t>
  </si>
  <si>
    <t>Venturebay AI Private Limited</t>
  </si>
  <si>
    <t>Kavya</t>
  </si>
  <si>
    <t>Raghavendra</t>
  </si>
  <si>
    <t>FirstView Consultants Private Limited</t>
  </si>
  <si>
    <t>Apr'25 - Sep'25</t>
  </si>
  <si>
    <t>15-11-2025</t>
  </si>
  <si>
    <t>13-11-2025</t>
  </si>
  <si>
    <t>Naviam Technologies</t>
  </si>
  <si>
    <t>INR           22,000</t>
  </si>
  <si>
    <t>April-2024 to March- 2025</t>
  </si>
  <si>
    <t>Firstview Inc</t>
  </si>
  <si>
    <t>Vikas</t>
  </si>
  <si>
    <t>INR           52,000</t>
  </si>
  <si>
    <t>One time task Client</t>
  </si>
  <si>
    <t>YsecIT Softwares India Private Limited</t>
  </si>
  <si>
    <t>Preqin India</t>
  </si>
  <si>
    <t>April'23 to March'24</t>
  </si>
  <si>
    <t>15th July 2024</t>
  </si>
  <si>
    <t>17-12-2025</t>
  </si>
  <si>
    <t>Redbrick AI Private Limited</t>
  </si>
  <si>
    <t>TF Analytics LLP</t>
  </si>
  <si>
    <t>Redbrick AI (US)</t>
  </si>
  <si>
    <t>Badri</t>
  </si>
  <si>
    <t>Netsurion Technologies Private Limited</t>
  </si>
  <si>
    <t>Aishwarya</t>
  </si>
  <si>
    <t>SI No</t>
  </si>
  <si>
    <t>Team</t>
  </si>
  <si>
    <t>Client</t>
  </si>
  <si>
    <t>Audit PIC</t>
  </si>
  <si>
    <t>ROC PIC</t>
  </si>
  <si>
    <t>APC PIC</t>
  </si>
  <si>
    <t>Status of handover of books to audit team</t>
  </si>
  <si>
    <t>Date of mail shared for handover of books</t>
  </si>
  <si>
    <t>Tentative Audit Closure Timeline</t>
  </si>
  <si>
    <t>Finalized by Audit team and financials shared?</t>
  </si>
  <si>
    <t>Mailed to client?</t>
  </si>
  <si>
    <t>Annual report and Audit report are signed?</t>
  </si>
  <si>
    <t>AJE's passed</t>
  </si>
  <si>
    <t xml:space="preserve">Form 10 IC filed? </t>
  </si>
  <si>
    <t>ITR filed?</t>
  </si>
  <si>
    <t>Tax audit applicable?</t>
  </si>
  <si>
    <t>3CD filed?</t>
  </si>
  <si>
    <t>3CEB filing (TP)</t>
  </si>
  <si>
    <t>AOC - 4 (ROC Annual Return)</t>
  </si>
  <si>
    <t>MGT - 7 (ROC Annual Return)</t>
  </si>
  <si>
    <t>Form 8 (LLP)</t>
  </si>
  <si>
    <t>GSTR 9</t>
  </si>
  <si>
    <t>GSTR 9C</t>
  </si>
  <si>
    <t>Turnover for FY 2023-24</t>
  </si>
  <si>
    <t>Audit fee for FY 2023-24</t>
  </si>
  <si>
    <t>Audit Invoice Payment Status</t>
  </si>
  <si>
    <t>ROC  Invoice raised?</t>
  </si>
  <si>
    <t>ROC  Invoice Payment Status</t>
  </si>
  <si>
    <t>DPT-3 Invoice raised?</t>
  </si>
  <si>
    <t>DPT-3 Invoice Payment Status</t>
  </si>
  <si>
    <t>DIN KYC Invoice raised?</t>
  </si>
  <si>
    <t>DIN-KYC Invoice Payment Status</t>
  </si>
  <si>
    <t>FLA Return Invoice raised?</t>
  </si>
  <si>
    <t>FLA Return Invoice Payment Status</t>
  </si>
  <si>
    <t>GSTR-9 and 9C Invoice raised?</t>
  </si>
  <si>
    <t>GSTR-9 and 9C Invoice Payment Status</t>
  </si>
  <si>
    <t>Form 3CEAA Invoice raised?</t>
  </si>
  <si>
    <t>Form 3CEAA Invoice Payment Status</t>
  </si>
  <si>
    <t>AGM Date</t>
  </si>
  <si>
    <t>Is Shorter Notice Required?</t>
  </si>
  <si>
    <t>Is AGM Extension Required?</t>
  </si>
  <si>
    <t>Kraber Advisory LLP</t>
  </si>
  <si>
    <t>Jayanth</t>
  </si>
  <si>
    <t>Manoj</t>
  </si>
  <si>
    <t>KumKutch Technologies Private Limited</t>
  </si>
  <si>
    <t>4,68,49,381</t>
  </si>
  <si>
    <t>Narendra</t>
  </si>
  <si>
    <t>Sudarshan</t>
  </si>
  <si>
    <t>1,46,500</t>
  </si>
  <si>
    <t>Atlys India</t>
  </si>
  <si>
    <t>1,15,000</t>
  </si>
  <si>
    <t>Halaplay Technologies Private Limited</t>
  </si>
  <si>
    <t>White Marktech</t>
  </si>
  <si>
    <t>Om Prakash</t>
  </si>
  <si>
    <t>V+S Designs LLP</t>
  </si>
  <si>
    <t>Yagashop India Private Limited</t>
  </si>
  <si>
    <t>Guru Prasad</t>
  </si>
  <si>
    <t>16,80,000</t>
  </si>
  <si>
    <t>Raviraj</t>
  </si>
  <si>
    <t>Skylimo Technologies</t>
  </si>
  <si>
    <t>Badri / Aishwarya</t>
  </si>
  <si>
    <t>Redbrick AI Pvt Ltd</t>
  </si>
  <si>
    <t>Preqin India Private Limited</t>
  </si>
  <si>
    <t>Badri / Soniya</t>
  </si>
  <si>
    <t>Nikhil</t>
  </si>
  <si>
    <t>Maximl</t>
  </si>
  <si>
    <t>Sainadh/Sharath</t>
  </si>
  <si>
    <t>Godhavari</t>
  </si>
  <si>
    <t>Sainadh/Sharan</t>
  </si>
  <si>
    <t>Sainadh/Veena</t>
  </si>
  <si>
    <t>Sainadh/Aishwarya</t>
  </si>
  <si>
    <t>Venkatesh</t>
  </si>
  <si>
    <t>Ankush Shetty</t>
  </si>
  <si>
    <t>DOne</t>
  </si>
  <si>
    <t>Vance Techlabs Private Limited</t>
  </si>
  <si>
    <t>Chethan</t>
  </si>
  <si>
    <t>MPower Student Services Private Limited</t>
  </si>
  <si>
    <t> </t>
  </si>
  <si>
    <t>Keshava</t>
  </si>
  <si>
    <t>CoFounder Tech</t>
  </si>
  <si>
    <t>Books closure date</t>
  </si>
  <si>
    <t>Financials</t>
  </si>
  <si>
    <t>Books Review Date</t>
  </si>
  <si>
    <t>Handover date</t>
  </si>
  <si>
    <t>Turnover for FY 2022-23</t>
  </si>
  <si>
    <t>Audit fee for FY 2022-23</t>
  </si>
  <si>
    <t>Audit Invoice for FY 2023-24 raised?</t>
  </si>
  <si>
    <t>ROC fees for FY 2023-24</t>
  </si>
  <si>
    <t>DPT-3 for FY 2023-24</t>
  </si>
  <si>
    <t>DIN KYC  for FY 2023-24</t>
  </si>
  <si>
    <t>FLA Return  for FY 2023-24</t>
  </si>
  <si>
    <t>GSTR-9 and 9C for FY 2023-24</t>
  </si>
  <si>
    <t>Form 3CEAA for FY 2023-24</t>
  </si>
  <si>
    <t>14/05/2024</t>
  </si>
  <si>
    <t>17/05/24</t>
  </si>
  <si>
    <t>20/05/24</t>
  </si>
  <si>
    <t>15/08/2024</t>
  </si>
  <si>
    <t>1,21,62,054</t>
  </si>
  <si>
    <t>1,98,80,593</t>
  </si>
  <si>
    <t>Ranjani</t>
  </si>
  <si>
    <t>15/4/24</t>
  </si>
  <si>
    <t>16/4/24</t>
  </si>
  <si>
    <t>51,58,821</t>
  </si>
  <si>
    <t>41,02,098</t>
  </si>
  <si>
    <t>30/4/24</t>
  </si>
  <si>
    <t>31/07/2024</t>
  </si>
  <si>
    <t>7,05,89,429</t>
  </si>
  <si>
    <t>Adarsha</t>
  </si>
  <si>
    <t>5,00,88,010</t>
  </si>
  <si>
    <t>6,96,68,510</t>
  </si>
  <si>
    <t>1,33,100</t>
  </si>
  <si>
    <t xml:space="preserve">NA </t>
  </si>
  <si>
    <t>5,31,892</t>
  </si>
  <si>
    <t>1,14,25,244</t>
  </si>
  <si>
    <t>Dattaguru / Keshava Murthy</t>
  </si>
  <si>
    <t>30-09-2024</t>
  </si>
  <si>
    <t>Unifrontier Private Limited</t>
  </si>
  <si>
    <t>4,01,48,609.19</t>
  </si>
  <si>
    <t>6,79,85,054.55</t>
  </si>
  <si>
    <t>NO</t>
  </si>
  <si>
    <t>Biolockey Healthworks Private Limited</t>
  </si>
  <si>
    <t>Emprasario Advisory &amp; Consulting LLP</t>
  </si>
  <si>
    <t>Rangarajans</t>
  </si>
  <si>
    <t>no</t>
  </si>
  <si>
    <t>Closed</t>
  </si>
  <si>
    <t>2,40,73,779</t>
  </si>
  <si>
    <t>30/08/2024</t>
  </si>
  <si>
    <t>17/08/2024</t>
  </si>
  <si>
    <t>30/10/2024</t>
  </si>
  <si>
    <t>14/08/2024</t>
  </si>
  <si>
    <t xml:space="preserve">Pending </t>
  </si>
  <si>
    <t>NA (TBD)</t>
  </si>
  <si>
    <t>16/08/2024</t>
  </si>
  <si>
    <t>31/12/2024</t>
  </si>
  <si>
    <t>Revenue Stack</t>
  </si>
  <si>
    <t>Soniya/Sharan</t>
  </si>
  <si>
    <t>30.Sep.24</t>
  </si>
  <si>
    <t>5,50,07,907</t>
  </si>
  <si>
    <t>10-April-24</t>
  </si>
  <si>
    <t>30-April-24</t>
  </si>
  <si>
    <t>7,85,324</t>
  </si>
  <si>
    <t>10,48,70,690</t>
  </si>
  <si>
    <t>16,01,81,679.81</t>
  </si>
  <si>
    <t>28-08-2024</t>
  </si>
  <si>
    <t>1,51,32,480</t>
  </si>
  <si>
    <t>15-11-2024</t>
  </si>
  <si>
    <t>15-April-24</t>
  </si>
  <si>
    <t>17-April-24</t>
  </si>
  <si>
    <t>14-09-2024</t>
  </si>
  <si>
    <t>23-08-2024</t>
  </si>
  <si>
    <t>HN Manoj</t>
  </si>
  <si>
    <t>16-07-2024</t>
  </si>
  <si>
    <t>18-07-2024</t>
  </si>
  <si>
    <t>Traxon</t>
  </si>
  <si>
    <t>26-04-2027</t>
  </si>
  <si>
    <t>26-04-2024</t>
  </si>
  <si>
    <t>Tradonomix</t>
  </si>
  <si>
    <t>29-08-2024</t>
  </si>
  <si>
    <t>Brahmasthal LLP</t>
  </si>
  <si>
    <t>29-07-2024</t>
  </si>
  <si>
    <t>20-April-24</t>
  </si>
  <si>
    <t>2,08,35,409</t>
  </si>
  <si>
    <t>2,60,81,395</t>
  </si>
  <si>
    <t>5-June-24</t>
  </si>
  <si>
    <t>10-June-24</t>
  </si>
  <si>
    <t>6,20,86,460.55</t>
  </si>
  <si>
    <t>MPower Student Services LLP</t>
  </si>
  <si>
    <t>23/04/2024</t>
  </si>
  <si>
    <t>25/04/2024</t>
  </si>
  <si>
    <t>50,91,09,615</t>
  </si>
  <si>
    <t>58,78,58,412</t>
  </si>
  <si>
    <t>2,50,000</t>
  </si>
  <si>
    <t>22,97,68,196</t>
  </si>
  <si>
    <t>Atlys India Private Limited</t>
  </si>
  <si>
    <t>Nanogence INC (US)</t>
  </si>
  <si>
    <t>Mathworks Labs India Private Limited</t>
  </si>
  <si>
    <t>Client Name</t>
  </si>
  <si>
    <t>Is MIS sharing with the client (Yes/No)</t>
  </si>
  <si>
    <t>Action Point</t>
  </si>
  <si>
    <t>Remarks</t>
  </si>
  <si>
    <t>No MIS report required</t>
  </si>
  <si>
    <t>The client has direct access to the books and retrieves the data themselves.</t>
  </si>
  <si>
    <t>No much transactions</t>
  </si>
  <si>
    <t>10th of every month</t>
  </si>
  <si>
    <t>MIS Format provided by client including CFS</t>
  </si>
  <si>
    <t xml:space="preserve"> Payroll client</t>
  </si>
  <si>
    <t>7th of every month</t>
  </si>
  <si>
    <t>From Oct 2024 onwards, the MIS will be shared</t>
  </si>
  <si>
    <t>Not APC client</t>
  </si>
  <si>
    <t>20th of Every month</t>
  </si>
  <si>
    <t>15th of every month</t>
  </si>
  <si>
    <t>Closing Company</t>
  </si>
  <si>
    <t>Payroll client</t>
  </si>
  <si>
    <t>Initial phase. To start from Dec 2024</t>
  </si>
  <si>
    <t>Dependacy on employees ro vendor bill within due date</t>
  </si>
  <si>
    <t>14th of evry month</t>
  </si>
  <si>
    <t>Date varies due to dependancy on employees for input</t>
  </si>
  <si>
    <t>Team Badri</t>
  </si>
  <si>
    <t>Yes (CFS)</t>
  </si>
  <si>
    <t>20th of every month</t>
  </si>
  <si>
    <t>Depends on the monthly call schedule</t>
  </si>
  <si>
    <t>Book are closed on 6th of every month and mail will be sent to HQ team. In addition to that, CFS will be prepared to Aprameya and shared every month</t>
  </si>
  <si>
    <t>22th of every month</t>
  </si>
  <si>
    <t>From Sept 2024 onwards, the MIS will be shared</t>
  </si>
  <si>
    <t>Team Sainadh</t>
  </si>
  <si>
    <t>Payroll Client</t>
  </si>
  <si>
    <t>Payroll montly reports will be shared with the client</t>
  </si>
  <si>
    <t>25th of every month</t>
  </si>
  <si>
    <t>22nd of every month</t>
  </si>
  <si>
    <t>The finalization of books for FY 2023-24 is still pending</t>
  </si>
  <si>
    <t>We shall send an email to the client once the accounting is done. The client will then download the reports from Zoho Books every month</t>
  </si>
  <si>
    <t>Sprouts INC </t>
  </si>
  <si>
    <t>Our scope is only AR receivable</t>
  </si>
  <si>
    <t>Our scope is only  GST returns</t>
  </si>
  <si>
    <t>Team Venkatesh</t>
  </si>
  <si>
    <t>Minimal Operations. Share Basic PL and BS every month</t>
  </si>
  <si>
    <t>MIS to be provided as per agreed deadline</t>
  </si>
  <si>
    <t>19th of every month</t>
  </si>
  <si>
    <t>Started from Sep 2024</t>
  </si>
  <si>
    <t>Started from Aug 2024</t>
  </si>
  <si>
    <t>To be discussed with Rakesh</t>
  </si>
  <si>
    <t>11th of every month</t>
  </si>
  <si>
    <t>Team Varsha</t>
  </si>
  <si>
    <t>13th of every month</t>
  </si>
  <si>
    <t xml:space="preserve">It is a new client </t>
  </si>
  <si>
    <t>17th Feb 2025</t>
  </si>
  <si>
    <t>20th Feb 2025</t>
  </si>
  <si>
    <t>15th Feb 2025</t>
  </si>
  <si>
    <t>13th Feb 2025</t>
  </si>
  <si>
    <t xml:space="preserve">Pradeep </t>
  </si>
  <si>
    <t>5th March 2025</t>
  </si>
  <si>
    <t>25th Feb 2025</t>
  </si>
  <si>
    <t>Tracker updation Observation May-25</t>
  </si>
  <si>
    <t xml:space="preserve">Few tasks of Uttara labs are pending </t>
  </si>
  <si>
    <t>The pending tasks remain open due to the unavailability of the required data. Once the data is available, the respective tasks will be closed promptly.</t>
  </si>
  <si>
    <t xml:space="preserve">OmMap also few tasks are pending </t>
  </si>
  <si>
    <t>There are currently no open tasks for OMAP.</t>
  </si>
  <si>
    <t>SBD and Zolnoi bank access to be checked</t>
  </si>
  <si>
    <t>For SBD, Rakesh/Pavan is listed as the inputter, and for Zolnoi, Bharath has been added as the inputter in the bank records.</t>
  </si>
  <si>
    <t>LUT and IT declaration is pendng for OMAP</t>
  </si>
  <si>
    <t>OMAP is a recently onboarded file, and payroll implementation is still in progress. Once the setup is complete, all open tasks will be updated accordingly.</t>
  </si>
  <si>
    <t>GST refund not filed after July'24</t>
  </si>
  <si>
    <t>I will review and analyze the accumulated GST ITC for each client and proceed with the refund application wherever applicable.</t>
  </si>
  <si>
    <t xml:space="preserve">Few contact details to be changed in the IT portal and genius </t>
  </si>
  <si>
    <t>I will review this.</t>
  </si>
  <si>
    <t>Gratuity Insurance is Pending SBD and Uttara Labs</t>
  </si>
  <si>
    <t>The setup is currently in progress.</t>
  </si>
  <si>
    <t>D-MAT status to be checked</t>
  </si>
  <si>
    <t>I will review this and follow up respective ROC POC</t>
  </si>
  <si>
    <t>Zoho books to be tagged to BCL</t>
  </si>
  <si>
    <t>Keshav Murthy</t>
  </si>
  <si>
    <t>Carvar technologies Hike applicability to be checked</t>
  </si>
  <si>
    <t>New Client yet to prepaer the Mandate</t>
  </si>
  <si>
    <t>Zoho books tagging mentioned as 'NA' is it correct?</t>
  </si>
  <si>
    <t>Yes Correct</t>
  </si>
  <si>
    <t>Accounting pending for Phool and Pheras LLP</t>
  </si>
  <si>
    <t>Yes, becasue of client delaying to share the information</t>
  </si>
  <si>
    <t>ISD applicable for Colife any action to be taken from BCL?</t>
  </si>
  <si>
    <t>Colife Internal team only taken of this</t>
  </si>
  <si>
    <t xml:space="preserve">Number of employees not updated  in the S&amp;E </t>
  </si>
  <si>
    <t>Updated</t>
  </si>
  <si>
    <t>IEC submission all are not applicable need to re-check</t>
  </si>
  <si>
    <t>We got to know later applicable for V+S Designs. Other client NA</t>
  </si>
  <si>
    <t>GSTR3B return not updated</t>
  </si>
  <si>
    <t>Employee count not updated for S&amp;E</t>
  </si>
  <si>
    <t>IEC and ROC DPT-3 status not updated</t>
  </si>
  <si>
    <t>Updated the notes</t>
  </si>
  <si>
    <t>GST refund application status to be updated</t>
  </si>
  <si>
    <t>D-MAT account status to be checked.</t>
  </si>
  <si>
    <t>Awaiting for the response from the ROC team</t>
  </si>
  <si>
    <t>Nanogance using BCL office address, check whether any action point is pending</t>
  </si>
  <si>
    <t>No changes in the sub letting charges for this period</t>
  </si>
  <si>
    <t xml:space="preserve">June month BCL renewal to be checked. </t>
  </si>
  <si>
    <t>3keys using BCL office address that need to be changed?</t>
  </si>
  <si>
    <t>Pending for Rakesh Sir confirmation</t>
  </si>
  <si>
    <t>GSTR-3B, accounting and MIS report status are pending for few clients</t>
  </si>
  <si>
    <t>Updated the tracker</t>
  </si>
  <si>
    <t>Hope the form 16 issue of Venturbay will be resolve soon</t>
  </si>
  <si>
    <t>Its done. Form 16 generated and shared to client</t>
  </si>
  <si>
    <t>IEC renewal and DPT-3 status not updated</t>
  </si>
  <si>
    <t xml:space="preserve">Gratuity report for Co-founder - can we check with the client again </t>
  </si>
  <si>
    <t xml:space="preserve">GST refund status are blank and not updated recently </t>
  </si>
  <si>
    <t>All incorrect contact details to be updated</t>
  </si>
  <si>
    <t xml:space="preserve">Gratuity Insurance is pending for 2 clients </t>
  </si>
  <si>
    <t>DMAT status to be checked</t>
  </si>
  <si>
    <t>Team Sainad</t>
  </si>
  <si>
    <t>Zoho status, MSME, banking access MCA address rows are blank for few clients</t>
  </si>
  <si>
    <t xml:space="preserve">GSTR-3B status not updated </t>
  </si>
  <si>
    <t>Accounting is pending for Voqalize and Alphawave</t>
  </si>
  <si>
    <t>Form-16 and form 16A showing pending for few clients</t>
  </si>
  <si>
    <t>Not updated/Not filed the GST returns recently this has to be checked</t>
  </si>
  <si>
    <t>Gratuity Insurance  status to be updated</t>
  </si>
  <si>
    <t>Contact details which are in-correct further action to be taken</t>
  </si>
  <si>
    <t>Incerto hike to be updated</t>
  </si>
  <si>
    <t>Is number of employees within slab for S&amp;E? not updated</t>
  </si>
  <si>
    <t xml:space="preserve">Gratuity report is pending </t>
  </si>
  <si>
    <t>Accounting for May'25 is pending for few client</t>
  </si>
  <si>
    <t>GSTR-3b is pending for althera</t>
  </si>
  <si>
    <t>Equalization levy status are blank</t>
  </si>
  <si>
    <t>Pitchfork status to be updated for GST refund, gratuity insurance, contact details and D-MAT</t>
  </si>
  <si>
    <t>Gratuity Insurance status are blank</t>
  </si>
  <si>
    <t>D-MAT account status are blank this need to be updated</t>
  </si>
  <si>
    <t>Team  Varsha</t>
  </si>
  <si>
    <t xml:space="preserve">D-mat cells are blank. Need to follow-up </t>
  </si>
  <si>
    <t xml:space="preserve">Creation of trust is pending </t>
  </si>
  <si>
    <t>GST refund status to be re-checked</t>
  </si>
  <si>
    <t>IEC and DPT-3 status are  pending</t>
  </si>
  <si>
    <t>Tower 360 Advance tax is pending</t>
  </si>
  <si>
    <t>Tower 360 office is in BCL address any action to be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</si>
</sst>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quot;$&quot;* #,##0.00_);_(&quot;$&quot;* \(#,##0.00\);_(&quot;$&quot;* &quot;-&quot;??_);_(@_)"/>
    <numFmt numFmtId="165" formatCode="_(* #,##0.00_);_(* \(#,##0.00\);_(* &quot;-&quot;??_);_(@_)"/>
    <numFmt numFmtId="166" formatCode="_([$INR]\ * #,##0.00_);_([$INR]\ * \(#,##0.00\);_([$INR]\ * &quot;-&quot;??_);_(@_)"/>
    <numFmt numFmtId="167" formatCode="[&gt;0]\ * #,##0\ ;[&lt;0]\ * \(#,##0\);\ * &quot;-&quot;#??\ ;\ @\ "/>
    <numFmt numFmtId="168" formatCode="_([$INR]&quot; &quot;* #,##0_);_([$INR]&quot; &quot;* &quot;(&quot;#,##0&quot;)&quot;;_([$INR]&quot; &quot;* &quot;-&quot;??_);_(@_)"/>
    <numFmt numFmtId="169" formatCode="d\ mmm"/>
    <numFmt numFmtId="170" formatCode="[&gt;0]_(* #,##0_);[&lt;0]_(* \(#,##0\);_(* &quot;-&quot;#??_);_(@_)"/>
    <numFmt numFmtId="171" formatCode="_ [$₹-4009]\ * #,##0.00_ ;_ [$₹-4009]\ * \-#,##0.00_ ;_ [$₹-4009]\ * &quot;-&quot;??_ ;_ @_ "/>
    <numFmt numFmtId="172" formatCode="[$$-409]#,##0.00"/>
    <numFmt numFmtId="173" formatCode="d\ mmm\,\ yyyy"/>
    <numFmt numFmtId="174" formatCode="mmm\ yy"/>
    <numFmt numFmtId="175" formatCode="[$-F800]dddd\,\ mmmm\ dd\,\ yyyy"/>
    <numFmt numFmtId="176" formatCode="[$-409]d\-mmm\-yy;@"/>
  </numFmts>
  <fonts count="23" x14ac:knownFonts="1">
    <font>
      <sz val="11"/>
      <color theme="1"/>
      <name val="Calibri"/>
    </font>
    <font>
      <sz val="11"/>
      <color theme="1"/>
      <name val="Calibri"/>
      <family val="2"/>
      <scheme val="minor"/>
    </font>
    <font>
      <sz val="11"/>
      <color rgb="FF9C6500"/>
      <name val="Calibri"/>
      <family val="2"/>
      <scheme val="minor"/>
    </font>
    <font>
      <sz val="10"/>
      <name val="Calibri"/>
      <family val="2"/>
      <scheme val="minor"/>
    </font>
    <font>
      <sz val="11"/>
      <name val="Calibri"/>
      <family val="2"/>
      <scheme val="minor"/>
    </font>
    <font>
      <sz val="10"/>
      <name val="Calibri"/>
      <family val="2"/>
    </font>
    <font>
      <b/>
      <sz val="10"/>
      <color indexed="65"/>
      <name val="Calibri"/>
      <family val="2"/>
      <scheme val="minor"/>
    </font>
    <font>
      <sz val="10"/>
      <color rgb="FF1D1D1D"/>
      <name val="Calibri"/>
      <family val="2"/>
      <scheme val="minor"/>
    </font>
    <font>
      <sz val="9"/>
      <name val="Calibri"/>
      <family val="2"/>
    </font>
    <font>
      <sz val="10"/>
      <color theme="1"/>
      <name val="Calibri"/>
      <family val="2"/>
    </font>
    <font>
      <b/>
      <sz val="11"/>
      <color theme="1"/>
      <name val="Calibri"/>
      <family val="2"/>
    </font>
    <font>
      <b/>
      <sz val="10"/>
      <name val="Calibri"/>
      <family val="2"/>
    </font>
    <font>
      <sz val="11"/>
      <color rgb="FF000000"/>
      <name val="Calibri"/>
      <family val="2"/>
    </font>
    <font>
      <b/>
      <sz val="10"/>
      <color theme="1"/>
      <name val="Calibri"/>
      <family val="2"/>
      <scheme val="minor"/>
    </font>
    <font>
      <b/>
      <sz val="9"/>
      <name val="Calibri"/>
      <family val="2"/>
      <scheme val="minor"/>
    </font>
    <font>
      <sz val="9"/>
      <name val="Calibri"/>
      <family val="2"/>
      <scheme val="minor"/>
    </font>
    <font>
      <b/>
      <sz val="9"/>
      <color theme="0"/>
      <name val="Calibri"/>
      <family val="2"/>
      <scheme val="minor"/>
    </font>
    <font>
      <b/>
      <sz val="9"/>
      <color theme="1"/>
      <name val="Calibri"/>
      <family val="2"/>
      <scheme val="minor"/>
    </font>
    <font>
      <sz val="9"/>
      <color theme="1"/>
      <name val="Calibri"/>
      <family val="2"/>
      <scheme val="minor"/>
    </font>
    <font>
      <strike/>
      <sz val="9"/>
      <color theme="1"/>
      <name val="Calibri"/>
      <family val="2"/>
      <scheme val="minor"/>
    </font>
    <font>
      <b/>
      <sz val="11"/>
      <color rgb="FF000000"/>
      <name val="Calibri"/>
      <family val="2"/>
    </font>
    <font>
      <sz val="11"/>
      <color theme="1"/>
      <name val="Calibri"/>
      <family val="2"/>
    </font>
    <font>
      <u/>
      <sz val="9"/>
      <color theme="1"/>
      <name val="Calibri"/>
      <family val="2"/>
      <scheme val="minor"/>
    </font>
  </fonts>
  <fills count="25">
    <fill>
      <patternFill patternType="none"/>
    </fill>
    <fill>
      <patternFill patternType="gray125"/>
    </fill>
    <fill>
      <patternFill patternType="none"/>
    </fill>
    <fill>
      <patternFill patternType="solid">
        <fgColor rgb="FFFFEB9C"/>
        <bgColor rgb="FFFFEB9C"/>
      </patternFill>
    </fill>
    <fill>
      <patternFill patternType="solid">
        <fgColor theme="3" tint="0.39997558519241921"/>
        <bgColor theme="3" tint="0.39997558519241921"/>
      </patternFill>
    </fill>
    <fill>
      <patternFill patternType="solid">
        <fgColor rgb="FFDEEBF7"/>
        <bgColor rgb="FFDEEBF7"/>
      </patternFill>
    </fill>
    <fill>
      <patternFill patternType="solid">
        <fgColor theme="5" tint="0.79998168889431442"/>
        <bgColor theme="5" tint="0.79998168889431442"/>
      </patternFill>
    </fill>
    <fill>
      <patternFill patternType="solid">
        <fgColor theme="7" tint="0.79998168889431442"/>
        <bgColor theme="7" tint="0.79998168889431442"/>
      </patternFill>
    </fill>
    <fill>
      <patternFill patternType="solid">
        <fgColor theme="0"/>
        <bgColor theme="0"/>
      </patternFill>
    </fill>
    <fill>
      <patternFill patternType="solid">
        <fgColor theme="9" tint="0.79998168889431442"/>
        <bgColor theme="9" tint="0.79998168889431442"/>
      </patternFill>
    </fill>
    <fill>
      <patternFill patternType="solid">
        <fgColor rgb="FFEEDCEE"/>
        <bgColor rgb="FFEEDCEE"/>
      </patternFill>
    </fill>
    <fill>
      <patternFill patternType="solid">
        <fgColor theme="2"/>
        <bgColor theme="2"/>
      </patternFill>
    </fill>
    <fill>
      <patternFill patternType="solid">
        <fgColor theme="0" tint="-0.14999847407452621"/>
        <bgColor theme="0" tint="-0.14999847407452621"/>
      </patternFill>
    </fill>
    <fill>
      <patternFill patternType="solid">
        <fgColor rgb="FF5B9BD5"/>
        <bgColor rgb="FF5B9BD5"/>
      </patternFill>
    </fill>
    <fill>
      <patternFill patternType="solid">
        <fgColor theme="4" tint="-0.249977111117893"/>
        <bgColor theme="4" tint="-0.249977111117893"/>
      </patternFill>
    </fill>
    <fill>
      <patternFill patternType="solid">
        <fgColor indexed="5"/>
        <bgColor indexed="5"/>
      </patternFill>
    </fill>
    <fill>
      <patternFill patternType="solid">
        <fgColor theme="9" tint="0.39997558519241921"/>
        <bgColor theme="9" tint="0.39997558519241921"/>
      </patternFill>
    </fill>
    <fill>
      <patternFill patternType="solid">
        <fgColor indexed="65"/>
      </patternFill>
    </fill>
    <fill>
      <patternFill patternType="solid">
        <fgColor theme="3" tint="0.39997558519241921"/>
        <bgColor indexed="64"/>
      </patternFill>
    </fill>
    <fill>
      <patternFill patternType="solid">
        <fgColor rgb="FFE2EFDA"/>
        <bgColor rgb="FF000000"/>
      </patternFill>
    </fill>
    <fill>
      <patternFill patternType="solid">
        <fgColor rgb="FFD2F7B7"/>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8" tint="0.79998168889431442"/>
        <bgColor indexed="64"/>
      </patternFill>
    </fill>
  </fills>
  <borders count="6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theme="1"/>
      </left>
      <right style="thin">
        <color auto="1"/>
      </right>
      <top style="thin">
        <color theme="1"/>
      </top>
      <bottom style="thin">
        <color theme="1"/>
      </bottom>
      <diagonal/>
    </border>
    <border>
      <left style="thin">
        <color auto="1"/>
      </left>
      <right style="thin">
        <color auto="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auto="1"/>
      </left>
      <right style="thin">
        <color theme="1"/>
      </right>
      <top style="thin">
        <color theme="1"/>
      </top>
      <bottom style="thin">
        <color theme="1"/>
      </bottom>
      <diagonal/>
    </border>
    <border>
      <left style="thin">
        <color auto="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style="thin">
        <color auto="1"/>
      </left>
      <right style="thin">
        <color theme="1"/>
      </right>
      <top style="thin">
        <color auto="1"/>
      </top>
      <bottom style="thin">
        <color auto="1"/>
      </bottom>
      <diagonal/>
    </border>
    <border>
      <left/>
      <right style="thin">
        <color theme="1"/>
      </right>
      <top style="thin">
        <color auto="1"/>
      </top>
      <bottom style="thin">
        <color auto="1"/>
      </bottom>
      <diagonal/>
    </border>
    <border>
      <left/>
      <right style="thin">
        <color auto="1"/>
      </right>
      <top/>
      <bottom style="thin">
        <color auto="1"/>
      </bottom>
      <diagonal/>
    </border>
    <border>
      <left/>
      <right/>
      <top/>
      <bottom style="thin">
        <color theme="1"/>
      </bottom>
      <diagonal/>
    </border>
    <border>
      <left style="thin">
        <color auto="1"/>
      </left>
      <right style="thin">
        <color theme="1"/>
      </right>
      <top/>
      <bottom/>
      <diagonal/>
    </border>
    <border>
      <left style="thin">
        <color theme="1"/>
      </left>
      <right style="thin">
        <color theme="1"/>
      </right>
      <top/>
      <bottom/>
      <diagonal/>
    </border>
    <border>
      <left style="thin">
        <color theme="1"/>
      </left>
      <right style="thin">
        <color theme="1"/>
      </right>
      <top style="thin">
        <color theme="1"/>
      </top>
      <bottom/>
      <diagonal/>
    </border>
    <border>
      <left style="thin">
        <color theme="1"/>
      </left>
      <right/>
      <top/>
      <bottom style="thin">
        <color theme="1"/>
      </bottom>
      <diagonal/>
    </border>
    <border>
      <left style="thin">
        <color auto="1"/>
      </left>
      <right style="thin">
        <color theme="1"/>
      </right>
      <top/>
      <bottom style="thin">
        <color auto="1"/>
      </bottom>
      <diagonal/>
    </border>
    <border>
      <left/>
      <right style="thin">
        <color theme="1"/>
      </right>
      <top/>
      <bottom style="thin">
        <color auto="1"/>
      </bottom>
      <diagonal/>
    </border>
    <border>
      <left style="thin">
        <color theme="1"/>
      </left>
      <right/>
      <top style="thin">
        <color theme="1"/>
      </top>
      <bottom style="thin">
        <color auto="1"/>
      </bottom>
      <diagonal/>
    </border>
    <border>
      <left/>
      <right/>
      <top style="thin">
        <color auto="1"/>
      </top>
      <bottom/>
      <diagonal/>
    </border>
    <border>
      <left style="thin">
        <color theme="1"/>
      </left>
      <right style="thin">
        <color theme="1"/>
      </right>
      <top/>
      <bottom style="thin">
        <color theme="1"/>
      </bottom>
      <diagonal/>
    </border>
    <border>
      <left style="thin">
        <color auto="1"/>
      </left>
      <right style="thin">
        <color theme="1"/>
      </right>
      <top style="thin">
        <color auto="1"/>
      </top>
      <bottom/>
      <diagonal/>
    </border>
    <border>
      <left/>
      <right style="thin">
        <color theme="1"/>
      </right>
      <top style="thin">
        <color theme="1"/>
      </top>
      <bottom/>
      <diagonal/>
    </border>
    <border>
      <left style="thin">
        <color theme="1"/>
      </left>
      <right style="thin">
        <color auto="1"/>
      </right>
      <top style="thin">
        <color auto="1"/>
      </top>
      <bottom style="thin">
        <color auto="1"/>
      </bottom>
      <diagonal/>
    </border>
    <border>
      <left/>
      <right style="thin">
        <color theme="1"/>
      </right>
      <top/>
      <bottom/>
      <diagonal/>
    </border>
    <border>
      <left style="thin">
        <color theme="1"/>
      </left>
      <right style="thin">
        <color theme="1"/>
      </right>
      <top style="thin">
        <color theme="1"/>
      </top>
      <bottom style="thin">
        <color auto="1"/>
      </bottom>
      <diagonal/>
    </border>
    <border>
      <left style="thin">
        <color auto="1"/>
      </left>
      <right style="thin">
        <color auto="1"/>
      </right>
      <top style="thin">
        <color auto="1"/>
      </top>
      <bottom style="thin">
        <color theme="1"/>
      </bottom>
      <diagonal/>
    </border>
    <border>
      <left style="thin">
        <color theme="1"/>
      </left>
      <right style="thin">
        <color auto="1"/>
      </right>
      <top style="thin">
        <color theme="1"/>
      </top>
      <bottom style="thin">
        <color auto="1"/>
      </bottom>
      <diagonal/>
    </border>
    <border>
      <left/>
      <right style="thin">
        <color auto="1"/>
      </right>
      <top style="thin">
        <color theme="1"/>
      </top>
      <bottom style="thin">
        <color auto="1"/>
      </bottom>
      <diagonal/>
    </border>
    <border>
      <left/>
      <right style="thin">
        <color theme="1"/>
      </right>
      <top style="thin">
        <color theme="1"/>
      </top>
      <bottom style="thin">
        <color auto="1"/>
      </bottom>
      <diagonal/>
    </border>
    <border>
      <left style="thin">
        <color theme="1"/>
      </left>
      <right/>
      <top style="thin">
        <color auto="1"/>
      </top>
      <bottom style="thin">
        <color auto="1"/>
      </bottom>
      <diagonal/>
    </border>
    <border>
      <left style="thin">
        <color theme="1"/>
      </left>
      <right style="thin">
        <color auto="1"/>
      </right>
      <top style="thin">
        <color auto="1"/>
      </top>
      <bottom/>
      <diagonal/>
    </border>
    <border>
      <left/>
      <right style="thin">
        <color theme="1"/>
      </right>
      <top style="thin">
        <color auto="1"/>
      </top>
      <bottom/>
      <diagonal/>
    </border>
    <border>
      <left style="thin">
        <color theme="1"/>
      </left>
      <right/>
      <top/>
      <bottom/>
      <diagonal/>
    </border>
    <border>
      <left style="thin">
        <color theme="1"/>
      </left>
      <right style="thin">
        <color theme="1"/>
      </right>
      <top style="thin">
        <color auto="1"/>
      </top>
      <bottom/>
      <diagonal/>
    </border>
    <border>
      <left style="thin">
        <color theme="1"/>
      </left>
      <right style="thin">
        <color theme="1"/>
      </right>
      <top style="thin">
        <color auto="1"/>
      </top>
      <bottom style="thin">
        <color auto="1"/>
      </bottom>
      <diagonal/>
    </border>
    <border>
      <left style="thin">
        <color theme="1"/>
      </left>
      <right style="thin">
        <color auto="1"/>
      </right>
      <top/>
      <bottom style="thin">
        <color auto="1"/>
      </bottom>
      <diagonal/>
    </border>
    <border>
      <left style="thin">
        <color theme="1"/>
      </left>
      <right style="thin">
        <color auto="1"/>
      </right>
      <top style="thin">
        <color auto="1"/>
      </top>
      <bottom style="thin">
        <color theme="1"/>
      </bottom>
      <diagonal/>
    </border>
    <border>
      <left/>
      <right style="thin">
        <color auto="1"/>
      </right>
      <top style="thin">
        <color auto="1"/>
      </top>
      <bottom style="thin">
        <color theme="1"/>
      </bottom>
      <diagonal/>
    </border>
    <border>
      <left/>
      <right style="thin">
        <color theme="1"/>
      </right>
      <top style="thin">
        <color auto="1"/>
      </top>
      <bottom style="thin">
        <color theme="1"/>
      </bottom>
      <diagonal/>
    </border>
    <border>
      <left style="thin">
        <color auto="1"/>
      </left>
      <right style="thin">
        <color auto="1"/>
      </right>
      <top style="thin">
        <color theme="1"/>
      </top>
      <bottom style="thin">
        <color auto="1"/>
      </bottom>
      <diagonal/>
    </border>
    <border>
      <left/>
      <right style="thin">
        <color theme="1"/>
      </right>
      <top/>
      <bottom style="thin">
        <color theme="1"/>
      </bottom>
      <diagonal/>
    </border>
    <border>
      <left style="thin">
        <color theme="1"/>
      </left>
      <right style="thin">
        <color theme="1"/>
      </right>
      <top/>
      <bottom style="thin">
        <color auto="1"/>
      </bottom>
      <diagonal/>
    </border>
    <border>
      <left style="thin">
        <color theme="1"/>
      </left>
      <right style="thin">
        <color theme="1"/>
      </right>
      <top style="thin">
        <color auto="1"/>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auto="1"/>
      </bottom>
      <diagonal/>
    </border>
  </borders>
  <cellStyleXfs count="3">
    <xf numFmtId="0" fontId="0" fillId="0" borderId="0"/>
    <xf numFmtId="164" fontId="1" fillId="2" borderId="0" applyFont="0" applyFill="0" applyBorder="0"/>
    <xf numFmtId="0" fontId="2" fillId="3" borderId="0" applyNumberFormat="0" applyBorder="0"/>
  </cellStyleXfs>
  <cellXfs count="403">
    <xf numFmtId="0" fontId="0" fillId="0" borderId="0" xfId="0"/>
    <xf numFmtId="0" fontId="5" fillId="0" borderId="16" xfId="0" applyFont="1" applyBorder="1" applyAlignment="1">
      <alignment horizontal="center"/>
    </xf>
    <xf numFmtId="0" fontId="5" fillId="0" borderId="16" xfId="0" applyFont="1" applyBorder="1" applyAlignment="1">
      <alignment horizontal="left"/>
    </xf>
    <xf numFmtId="0" fontId="0" fillId="0" borderId="0" xfId="0" applyProtection="1">
      <protection locked="0"/>
    </xf>
    <xf numFmtId="0" fontId="0" fillId="8" borderId="0" xfId="0" applyFill="1" applyProtection="1">
      <protection locked="0"/>
    </xf>
    <xf numFmtId="0" fontId="0" fillId="0" borderId="0" xfId="0" applyAlignment="1" applyProtection="1">
      <alignment horizontal="center"/>
      <protection locked="0"/>
    </xf>
    <xf numFmtId="0" fontId="0" fillId="12" borderId="0" xfId="0" applyFill="1" applyAlignment="1" applyProtection="1">
      <alignment horizontal="center"/>
      <protection locked="0"/>
    </xf>
    <xf numFmtId="0" fontId="6" fillId="13" borderId="5" xfId="0" applyFont="1" applyFill="1" applyBorder="1" applyAlignment="1" applyProtection="1">
      <alignment horizontal="center" vertical="center" wrapText="1"/>
      <protection locked="0"/>
    </xf>
    <xf numFmtId="15" fontId="6" fillId="13" borderId="5" xfId="0" applyNumberFormat="1" applyFont="1" applyFill="1" applyBorder="1" applyAlignment="1" applyProtection="1">
      <alignment horizontal="center" vertical="center" wrapText="1"/>
      <protection locked="0"/>
    </xf>
    <xf numFmtId="173" fontId="6" fillId="13" borderId="5" xfId="0" applyNumberFormat="1" applyFont="1" applyFill="1" applyBorder="1" applyAlignment="1" applyProtection="1">
      <alignment horizontal="center" vertical="center" wrapText="1"/>
      <protection locked="0"/>
    </xf>
    <xf numFmtId="173" fontId="6" fillId="14" borderId="5" xfId="0" applyNumberFormat="1" applyFont="1" applyFill="1" applyBorder="1" applyAlignment="1" applyProtection="1">
      <alignment horizontal="center" vertical="center" wrapText="1"/>
      <protection locked="0"/>
    </xf>
    <xf numFmtId="170" fontId="6" fillId="13" borderId="5" xfId="0" applyNumberFormat="1" applyFont="1" applyFill="1" applyBorder="1" applyAlignment="1" applyProtection="1">
      <alignment horizontal="center" vertical="center" wrapText="1"/>
      <protection locked="0"/>
    </xf>
    <xf numFmtId="0" fontId="6" fillId="13" borderId="41" xfId="0" applyFont="1" applyFill="1" applyBorder="1" applyAlignment="1" applyProtection="1">
      <alignment horizontal="center" vertical="center" wrapText="1"/>
      <protection locked="0"/>
    </xf>
    <xf numFmtId="0" fontId="3" fillId="0" borderId="4" xfId="0" applyFont="1" applyBorder="1" applyAlignment="1" applyProtection="1">
      <alignment horizontal="left"/>
      <protection locked="0"/>
    </xf>
    <xf numFmtId="0" fontId="3" fillId="8" borderId="4" xfId="0" applyFont="1" applyFill="1" applyBorder="1" applyProtection="1">
      <protection locked="0"/>
    </xf>
    <xf numFmtId="0" fontId="7" fillId="0" borderId="4" xfId="0" applyFont="1" applyBorder="1" applyAlignment="1" applyProtection="1">
      <alignment horizontal="center"/>
      <protection locked="0"/>
    </xf>
    <xf numFmtId="174" fontId="3" fillId="0" borderId="1" xfId="0" applyNumberFormat="1" applyFont="1" applyBorder="1" applyAlignment="1" applyProtection="1">
      <alignment horizontal="center"/>
      <protection locked="0"/>
    </xf>
    <xf numFmtId="15" fontId="5" fillId="8" borderId="42" xfId="0" applyNumberFormat="1" applyFont="1" applyFill="1" applyBorder="1" applyAlignment="1" applyProtection="1">
      <alignment horizontal="center"/>
      <protection locked="0"/>
    </xf>
    <xf numFmtId="15" fontId="5" fillId="8" borderId="43" xfId="0" applyNumberFormat="1" applyFont="1" applyFill="1" applyBorder="1" applyAlignment="1" applyProtection="1">
      <alignment horizontal="center"/>
      <protection locked="0"/>
    </xf>
    <xf numFmtId="15" fontId="5" fillId="8" borderId="44" xfId="0" applyNumberFormat="1" applyFont="1" applyFill="1" applyBorder="1" applyAlignment="1" applyProtection="1">
      <alignment horizontal="center"/>
      <protection locked="0"/>
    </xf>
    <xf numFmtId="0" fontId="3" fillId="0" borderId="3" xfId="0" applyFont="1" applyBorder="1" applyAlignment="1" applyProtection="1">
      <alignment horizontal="center"/>
      <protection locked="0"/>
    </xf>
    <xf numFmtId="15" fontId="3" fillId="0" borderId="4" xfId="0" applyNumberFormat="1" applyFont="1" applyBorder="1" applyAlignment="1" applyProtection="1">
      <alignment horizontal="center"/>
      <protection locked="0"/>
    </xf>
    <xf numFmtId="15" fontId="3" fillId="12" borderId="4" xfId="0" applyNumberFormat="1" applyFont="1" applyFill="1" applyBorder="1" applyAlignment="1" applyProtection="1">
      <alignment horizontal="center"/>
      <protection locked="0"/>
    </xf>
    <xf numFmtId="0" fontId="3" fillId="0" borderId="4" xfId="0" applyFont="1" applyBorder="1" applyAlignment="1" applyProtection="1">
      <alignment horizontal="center"/>
      <protection locked="0"/>
    </xf>
    <xf numFmtId="3" fontId="3" fillId="0" borderId="4" xfId="0" applyNumberFormat="1" applyFont="1" applyBorder="1" applyAlignment="1" applyProtection="1">
      <alignment horizontal="center"/>
      <protection locked="0"/>
    </xf>
    <xf numFmtId="15" fontId="5" fillId="8" borderId="16" xfId="0" applyNumberFormat="1" applyFont="1" applyFill="1" applyBorder="1" applyAlignment="1" applyProtection="1">
      <alignment horizontal="center"/>
      <protection locked="0"/>
    </xf>
    <xf numFmtId="174" fontId="3" fillId="0" borderId="4" xfId="0" applyNumberFormat="1" applyFont="1" applyBorder="1" applyAlignment="1" applyProtection="1">
      <alignment horizontal="center"/>
      <protection locked="0"/>
    </xf>
    <xf numFmtId="15" fontId="5" fillId="0" borderId="3" xfId="0" applyNumberFormat="1" applyFont="1" applyBorder="1" applyAlignment="1" applyProtection="1">
      <alignment horizontal="center"/>
      <protection locked="0"/>
    </xf>
    <xf numFmtId="0" fontId="3" fillId="12" borderId="4" xfId="0" applyFont="1" applyFill="1" applyBorder="1" applyAlignment="1" applyProtection="1">
      <alignment horizontal="center"/>
      <protection locked="0"/>
    </xf>
    <xf numFmtId="15" fontId="5" fillId="0" borderId="16" xfId="0" applyNumberFormat="1" applyFont="1" applyBorder="1" applyAlignment="1" applyProtection="1">
      <alignment horizontal="center"/>
      <protection locked="0"/>
    </xf>
    <xf numFmtId="15" fontId="5" fillId="8" borderId="38" xfId="0" applyNumberFormat="1" applyFont="1" applyFill="1" applyBorder="1" applyAlignment="1" applyProtection="1">
      <alignment horizontal="center"/>
      <protection locked="0"/>
    </xf>
    <xf numFmtId="15" fontId="5" fillId="8" borderId="3" xfId="0" applyNumberFormat="1" applyFont="1" applyFill="1" applyBorder="1" applyAlignment="1" applyProtection="1">
      <alignment horizontal="center"/>
      <protection locked="0"/>
    </xf>
    <xf numFmtId="15" fontId="5" fillId="8" borderId="24" xfId="0" applyNumberFormat="1" applyFont="1" applyFill="1" applyBorder="1" applyAlignment="1" applyProtection="1">
      <alignment horizontal="center"/>
      <protection locked="0"/>
    </xf>
    <xf numFmtId="170" fontId="3" fillId="0" borderId="4" xfId="0" applyNumberFormat="1" applyFont="1" applyBorder="1" applyAlignment="1" applyProtection="1">
      <alignment horizontal="center"/>
      <protection locked="0"/>
    </xf>
    <xf numFmtId="15" fontId="5" fillId="8" borderId="1" xfId="0" applyNumberFormat="1" applyFont="1" applyFill="1" applyBorder="1" applyAlignment="1" applyProtection="1">
      <alignment horizontal="center"/>
      <protection locked="0"/>
    </xf>
    <xf numFmtId="15" fontId="5" fillId="12" borderId="1" xfId="0" applyNumberFormat="1" applyFont="1" applyFill="1" applyBorder="1" applyAlignment="1" applyProtection="1">
      <alignment horizontal="center"/>
      <protection locked="0"/>
    </xf>
    <xf numFmtId="4" fontId="3" fillId="0" borderId="4" xfId="0" applyNumberFormat="1" applyFont="1" applyBorder="1" applyAlignment="1" applyProtection="1">
      <alignment horizontal="center"/>
      <protection locked="0"/>
    </xf>
    <xf numFmtId="4" fontId="8" fillId="0" borderId="0" xfId="0" applyNumberFormat="1" applyFont="1" applyAlignment="1" applyProtection="1">
      <alignment horizontal="left" vertical="top"/>
      <protection locked="0"/>
    </xf>
    <xf numFmtId="0" fontId="3" fillId="15" borderId="4" xfId="0" applyFont="1" applyFill="1" applyBorder="1" applyAlignment="1" applyProtection="1">
      <alignment horizontal="center"/>
      <protection locked="0"/>
    </xf>
    <xf numFmtId="15" fontId="5" fillId="8" borderId="29" xfId="0" applyNumberFormat="1" applyFont="1" applyFill="1" applyBorder="1" applyAlignment="1" applyProtection="1">
      <alignment horizontal="center"/>
      <protection locked="0"/>
    </xf>
    <xf numFmtId="15" fontId="5" fillId="0" borderId="21" xfId="0" applyNumberFormat="1" applyFont="1" applyBorder="1" applyAlignment="1" applyProtection="1">
      <alignment horizontal="center"/>
      <protection locked="0"/>
    </xf>
    <xf numFmtId="174" fontId="5" fillId="0" borderId="1" xfId="0" applyNumberFormat="1" applyFont="1" applyBorder="1" applyAlignment="1" applyProtection="1">
      <alignment horizontal="center" vertical="top"/>
      <protection locked="0"/>
    </xf>
    <xf numFmtId="15" fontId="5" fillId="8" borderId="35" xfId="0" applyNumberFormat="1" applyFont="1" applyFill="1" applyBorder="1" applyAlignment="1" applyProtection="1">
      <alignment horizontal="center"/>
      <protection locked="0"/>
    </xf>
    <xf numFmtId="15" fontId="5" fillId="0" borderId="4" xfId="0" applyNumberFormat="1" applyFont="1" applyBorder="1" applyAlignment="1" applyProtection="1">
      <alignment horizontal="center"/>
      <protection locked="0"/>
    </xf>
    <xf numFmtId="15" fontId="5" fillId="12" borderId="4" xfId="0" applyNumberFormat="1" applyFont="1" applyFill="1" applyBorder="1" applyAlignment="1" applyProtection="1">
      <alignment horizontal="center"/>
      <protection locked="0"/>
    </xf>
    <xf numFmtId="3" fontId="4" fillId="0" borderId="4" xfId="0" applyNumberFormat="1" applyFont="1" applyBorder="1" applyAlignment="1" applyProtection="1">
      <alignment horizontal="center"/>
      <protection locked="0"/>
    </xf>
    <xf numFmtId="15" fontId="9" fillId="8" borderId="38" xfId="0" applyNumberFormat="1" applyFont="1" applyFill="1" applyBorder="1" applyAlignment="1" applyProtection="1">
      <alignment horizontal="center"/>
      <protection locked="0"/>
    </xf>
    <xf numFmtId="15" fontId="9" fillId="8" borderId="3" xfId="0" applyNumberFormat="1" applyFont="1" applyFill="1" applyBorder="1" applyAlignment="1" applyProtection="1">
      <alignment horizontal="center"/>
      <protection locked="0"/>
    </xf>
    <xf numFmtId="3" fontId="3" fillId="15" borderId="4" xfId="0" applyNumberFormat="1" applyFont="1" applyFill="1" applyBorder="1" applyAlignment="1" applyProtection="1">
      <alignment horizontal="center"/>
      <protection locked="0"/>
    </xf>
    <xf numFmtId="15" fontId="9" fillId="8" borderId="16" xfId="0" applyNumberFormat="1" applyFont="1" applyFill="1" applyBorder="1" applyAlignment="1" applyProtection="1">
      <alignment horizontal="center"/>
      <protection locked="0"/>
    </xf>
    <xf numFmtId="15" fontId="5" fillId="0" borderId="3" xfId="0" applyNumberFormat="1" applyFont="1" applyBorder="1" applyAlignment="1" applyProtection="1">
      <alignment horizontal="left"/>
      <protection locked="0"/>
    </xf>
    <xf numFmtId="3" fontId="3" fillId="8" borderId="4" xfId="0" applyNumberFormat="1" applyFont="1" applyFill="1" applyBorder="1" applyAlignment="1" applyProtection="1">
      <alignment horizontal="center"/>
      <protection locked="0"/>
    </xf>
    <xf numFmtId="15" fontId="5" fillId="0" borderId="16" xfId="0" applyNumberFormat="1" applyFont="1" applyBorder="1" applyAlignment="1" applyProtection="1">
      <alignment horizontal="left"/>
      <protection locked="0"/>
    </xf>
    <xf numFmtId="15" fontId="5" fillId="8" borderId="23" xfId="0" applyNumberFormat="1" applyFont="1" applyFill="1" applyBorder="1" applyAlignment="1" applyProtection="1">
      <alignment horizontal="center"/>
      <protection locked="0"/>
    </xf>
    <xf numFmtId="15" fontId="5" fillId="12" borderId="2" xfId="0" applyNumberFormat="1" applyFont="1" applyFill="1" applyBorder="1" applyAlignment="1" applyProtection="1">
      <alignment horizontal="center"/>
      <protection locked="0"/>
    </xf>
    <xf numFmtId="15" fontId="5" fillId="0" borderId="5" xfId="0" applyNumberFormat="1" applyFont="1" applyBorder="1" applyAlignment="1" applyProtection="1">
      <alignment horizontal="center"/>
      <protection locked="0"/>
    </xf>
    <xf numFmtId="15" fontId="5" fillId="0" borderId="13" xfId="0" applyNumberFormat="1" applyFont="1" applyBorder="1" applyAlignment="1" applyProtection="1">
      <alignment horizontal="center"/>
      <protection locked="0"/>
    </xf>
    <xf numFmtId="0" fontId="5" fillId="0" borderId="4" xfId="0" applyFont="1" applyBorder="1" applyAlignment="1" applyProtection="1">
      <alignment horizontal="right"/>
      <protection locked="0"/>
    </xf>
    <xf numFmtId="1" fontId="3" fillId="0" borderId="4" xfId="0" applyNumberFormat="1" applyFont="1" applyBorder="1" applyAlignment="1" applyProtection="1">
      <alignment horizontal="right"/>
      <protection locked="0"/>
    </xf>
    <xf numFmtId="2" fontId="3" fillId="0" borderId="4" xfId="0" applyNumberFormat="1" applyFont="1" applyBorder="1" applyAlignment="1" applyProtection="1">
      <alignment horizontal="right"/>
      <protection locked="0"/>
    </xf>
    <xf numFmtId="15" fontId="2" fillId="3" borderId="16" xfId="2" applyNumberFormat="1" applyBorder="1" applyAlignment="1" applyProtection="1">
      <alignment horizontal="center"/>
      <protection locked="0"/>
    </xf>
    <xf numFmtId="15" fontId="5" fillId="8" borderId="45" xfId="0" applyNumberFormat="1" applyFont="1" applyFill="1" applyBorder="1" applyAlignment="1" applyProtection="1">
      <alignment horizontal="center"/>
      <protection locked="0"/>
    </xf>
    <xf numFmtId="15" fontId="3" fillId="0" borderId="3" xfId="0" applyNumberFormat="1" applyFont="1" applyBorder="1" applyAlignment="1" applyProtection="1">
      <alignment horizontal="center"/>
      <protection locked="0"/>
    </xf>
    <xf numFmtId="15" fontId="5" fillId="8" borderId="46" xfId="0" applyNumberFormat="1" applyFont="1" applyFill="1" applyBorder="1" applyAlignment="1" applyProtection="1">
      <alignment horizontal="center"/>
      <protection locked="0"/>
    </xf>
    <xf numFmtId="15" fontId="5" fillId="8" borderId="13" xfId="0" applyNumberFormat="1" applyFont="1" applyFill="1" applyBorder="1" applyAlignment="1" applyProtection="1">
      <alignment horizontal="center"/>
      <protection locked="0"/>
    </xf>
    <xf numFmtId="15" fontId="5" fillId="8" borderId="47" xfId="0" applyNumberFormat="1" applyFont="1" applyFill="1" applyBorder="1" applyAlignment="1" applyProtection="1">
      <alignment horizontal="center"/>
      <protection locked="0"/>
    </xf>
    <xf numFmtId="15" fontId="5" fillId="0" borderId="46" xfId="0" applyNumberFormat="1" applyFont="1" applyBorder="1" applyAlignment="1" applyProtection="1">
      <alignment horizontal="center"/>
      <protection locked="0"/>
    </xf>
    <xf numFmtId="0" fontId="3" fillId="0" borderId="5" xfId="0" applyFont="1" applyBorder="1" applyAlignment="1" applyProtection="1">
      <alignment horizontal="center"/>
      <protection locked="0"/>
    </xf>
    <xf numFmtId="0" fontId="3" fillId="0" borderId="2" xfId="0" applyFont="1" applyBorder="1" applyAlignment="1" applyProtection="1">
      <alignment horizontal="center"/>
      <protection locked="0"/>
    </xf>
    <xf numFmtId="0" fontId="3" fillId="12" borderId="3" xfId="0" applyFont="1" applyFill="1" applyBorder="1" applyAlignment="1" applyProtection="1">
      <alignment horizontal="center"/>
      <protection locked="0"/>
    </xf>
    <xf numFmtId="15" fontId="5" fillId="8" borderId="28" xfId="0" applyNumberFormat="1" applyFont="1" applyFill="1" applyBorder="1" applyAlignment="1" applyProtection="1">
      <alignment horizontal="center"/>
      <protection locked="0"/>
    </xf>
    <xf numFmtId="15" fontId="5" fillId="8" borderId="48" xfId="0" applyNumberFormat="1" applyFont="1" applyFill="1" applyBorder="1" applyAlignment="1" applyProtection="1">
      <alignment horizontal="center"/>
      <protection locked="0"/>
    </xf>
    <xf numFmtId="2" fontId="3" fillId="0" borderId="4" xfId="0" applyNumberFormat="1" applyFont="1" applyBorder="1" applyAlignment="1" applyProtection="1">
      <alignment horizontal="center"/>
      <protection locked="0"/>
    </xf>
    <xf numFmtId="15" fontId="5" fillId="8" borderId="49" xfId="0" applyNumberFormat="1" applyFont="1" applyFill="1" applyBorder="1" applyAlignment="1" applyProtection="1">
      <alignment horizontal="center"/>
      <protection locked="0"/>
    </xf>
    <xf numFmtId="0" fontId="3" fillId="0" borderId="50" xfId="0" applyFont="1" applyBorder="1" applyAlignment="1" applyProtection="1">
      <alignment horizontal="center"/>
      <protection locked="0"/>
    </xf>
    <xf numFmtId="15" fontId="5" fillId="8" borderId="17" xfId="0" applyNumberFormat="1" applyFont="1" applyFill="1" applyBorder="1" applyAlignment="1" applyProtection="1">
      <alignment horizontal="center"/>
      <protection locked="0"/>
    </xf>
    <xf numFmtId="15" fontId="5" fillId="16" borderId="16" xfId="0" applyNumberFormat="1" applyFont="1" applyFill="1" applyBorder="1" applyAlignment="1" applyProtection="1">
      <alignment horizontal="center"/>
      <protection locked="0"/>
    </xf>
    <xf numFmtId="15" fontId="5" fillId="17" borderId="16" xfId="0" applyNumberFormat="1" applyFont="1" applyFill="1" applyBorder="1" applyAlignment="1" applyProtection="1">
      <alignment horizontal="center"/>
      <protection locked="0"/>
    </xf>
    <xf numFmtId="15" fontId="5" fillId="8" borderId="51" xfId="0" applyNumberFormat="1" applyFont="1" applyFill="1" applyBorder="1" applyAlignment="1" applyProtection="1">
      <alignment horizontal="center"/>
      <protection locked="0"/>
    </xf>
    <xf numFmtId="15" fontId="5" fillId="8" borderId="25" xfId="0" applyNumberFormat="1" applyFont="1" applyFill="1" applyBorder="1" applyAlignment="1" applyProtection="1">
      <alignment horizontal="center"/>
      <protection locked="0"/>
    </xf>
    <xf numFmtId="15" fontId="5" fillId="8" borderId="32" xfId="0" applyNumberFormat="1" applyFont="1" applyFill="1" applyBorder="1" applyAlignment="1" applyProtection="1">
      <alignment horizontal="center"/>
      <protection locked="0"/>
    </xf>
    <xf numFmtId="15" fontId="5" fillId="8" borderId="52" xfId="0" applyNumberFormat="1" applyFont="1" applyFill="1" applyBorder="1" applyAlignment="1" applyProtection="1">
      <alignment horizontal="center"/>
      <protection locked="0"/>
    </xf>
    <xf numFmtId="15" fontId="5" fillId="8" borderId="53" xfId="0" applyNumberFormat="1" applyFont="1" applyFill="1" applyBorder="1" applyAlignment="1" applyProtection="1">
      <alignment horizontal="center"/>
      <protection locked="0"/>
    </xf>
    <xf numFmtId="15" fontId="5" fillId="15" borderId="54" xfId="0" applyNumberFormat="1" applyFont="1" applyFill="1" applyBorder="1" applyAlignment="1" applyProtection="1">
      <alignment horizontal="center"/>
      <protection locked="0"/>
    </xf>
    <xf numFmtId="14" fontId="3" fillId="0" borderId="4" xfId="0" applyNumberFormat="1" applyFont="1" applyBorder="1" applyAlignment="1" applyProtection="1">
      <alignment horizontal="center"/>
      <protection locked="0"/>
    </xf>
    <xf numFmtId="14" fontId="3" fillId="12" borderId="4" xfId="0" applyNumberFormat="1" applyFont="1" applyFill="1" applyBorder="1" applyAlignment="1" applyProtection="1">
      <alignment horizontal="center"/>
      <protection locked="0"/>
    </xf>
    <xf numFmtId="0" fontId="7" fillId="0" borderId="1" xfId="0" applyFont="1" applyBorder="1" applyAlignment="1" applyProtection="1">
      <alignment horizontal="center"/>
      <protection locked="0"/>
    </xf>
    <xf numFmtId="174" fontId="3" fillId="0" borderId="45" xfId="0" applyNumberFormat="1" applyFont="1" applyBorder="1" applyAlignment="1" applyProtection="1">
      <alignment horizontal="center"/>
      <protection locked="0"/>
    </xf>
    <xf numFmtId="0" fontId="0" fillId="0" borderId="0" xfId="0" applyAlignment="1">
      <alignment horizontal="left"/>
    </xf>
    <xf numFmtId="0" fontId="0" fillId="0" borderId="0" xfId="0" applyAlignment="1">
      <alignment horizontal="center"/>
    </xf>
    <xf numFmtId="0" fontId="11" fillId="0" borderId="4" xfId="0" applyFont="1" applyBorder="1" applyAlignment="1">
      <alignment horizontal="center" vertical="center"/>
    </xf>
    <xf numFmtId="0" fontId="11" fillId="0" borderId="3" xfId="0" applyFont="1" applyBorder="1" applyAlignment="1">
      <alignment horizontal="center" vertical="center"/>
    </xf>
    <xf numFmtId="0" fontId="11" fillId="0" borderId="3" xfId="0" applyFont="1" applyBorder="1" applyAlignment="1">
      <alignment horizontal="center" vertical="center" wrapText="1"/>
    </xf>
    <xf numFmtId="0" fontId="11" fillId="0" borderId="3" xfId="0" applyFont="1" applyBorder="1" applyAlignment="1">
      <alignment vertical="center"/>
    </xf>
    <xf numFmtId="0" fontId="5" fillId="0" borderId="25" xfId="0" applyFont="1" applyBorder="1" applyAlignment="1">
      <alignment horizontal="left"/>
    </xf>
    <xf numFmtId="0" fontId="5" fillId="0" borderId="25" xfId="0" applyFont="1" applyBorder="1" applyAlignment="1">
      <alignment horizontal="center"/>
    </xf>
    <xf numFmtId="0" fontId="5" fillId="9" borderId="25" xfId="0" applyFont="1" applyFill="1" applyBorder="1" applyAlignment="1">
      <alignment horizontal="center" wrapText="1"/>
    </xf>
    <xf numFmtId="0" fontId="5" fillId="0" borderId="25" xfId="0" applyFont="1" applyBorder="1" applyAlignment="1">
      <alignment wrapText="1"/>
    </xf>
    <xf numFmtId="0" fontId="5" fillId="0" borderId="25" xfId="0" applyFont="1" applyBorder="1"/>
    <xf numFmtId="0" fontId="5" fillId="9" borderId="25" xfId="0" applyFont="1" applyFill="1" applyBorder="1" applyAlignment="1">
      <alignment horizontal="center"/>
    </xf>
    <xf numFmtId="0" fontId="5" fillId="6" borderId="25" xfId="0" applyFont="1" applyFill="1" applyBorder="1" applyAlignment="1">
      <alignment horizontal="center"/>
    </xf>
    <xf numFmtId="0" fontId="5" fillId="0" borderId="3" xfId="0" applyFont="1" applyBorder="1"/>
    <xf numFmtId="0" fontId="5" fillId="9" borderId="8" xfId="0" applyFont="1" applyFill="1" applyBorder="1" applyAlignment="1">
      <alignment horizontal="center"/>
    </xf>
    <xf numFmtId="0" fontId="5" fillId="6" borderId="55" xfId="0" applyFont="1" applyFill="1" applyBorder="1" applyAlignment="1">
      <alignment horizontal="center"/>
    </xf>
    <xf numFmtId="0" fontId="5" fillId="6" borderId="11" xfId="0" applyFont="1" applyFill="1" applyBorder="1" applyAlignment="1">
      <alignment horizontal="center"/>
    </xf>
    <xf numFmtId="0" fontId="5" fillId="0" borderId="8" xfId="0" applyFont="1" applyBorder="1" applyAlignment="1">
      <alignment horizontal="left"/>
    </xf>
    <xf numFmtId="0" fontId="5" fillId="0" borderId="8" xfId="0" applyFont="1" applyBorder="1" applyAlignment="1">
      <alignment horizontal="center"/>
    </xf>
    <xf numFmtId="0" fontId="5" fillId="0" borderId="8" xfId="0" applyFont="1" applyBorder="1"/>
    <xf numFmtId="0" fontId="5" fillId="9" borderId="16" xfId="0" applyFont="1" applyFill="1" applyBorder="1" applyAlignment="1">
      <alignment horizontal="center"/>
    </xf>
    <xf numFmtId="0" fontId="5" fillId="0" borderId="16" xfId="0" applyFont="1" applyBorder="1"/>
    <xf numFmtId="0" fontId="5" fillId="0" borderId="42" xfId="0" applyFont="1" applyBorder="1" applyAlignment="1">
      <alignment horizontal="center"/>
    </xf>
    <xf numFmtId="0" fontId="5" fillId="0" borderId="55" xfId="0" applyFont="1" applyBorder="1"/>
    <xf numFmtId="0" fontId="5" fillId="0" borderId="51" xfId="0" applyFont="1" applyBorder="1" applyAlignment="1">
      <alignment horizontal="center"/>
    </xf>
    <xf numFmtId="0" fontId="5" fillId="9" borderId="11" xfId="0" applyFont="1" applyFill="1" applyBorder="1" applyAlignment="1">
      <alignment horizontal="center"/>
    </xf>
    <xf numFmtId="0" fontId="5" fillId="0" borderId="11" xfId="0" applyFont="1" applyBorder="1"/>
    <xf numFmtId="0" fontId="5" fillId="0" borderId="25" xfId="0" applyFont="1" applyBorder="1" applyAlignment="1">
      <alignment horizontal="left" wrapText="1"/>
    </xf>
    <xf numFmtId="0" fontId="5" fillId="6" borderId="25" xfId="0" applyFont="1" applyFill="1" applyBorder="1" applyAlignment="1">
      <alignment horizontal="center" wrapText="1"/>
    </xf>
    <xf numFmtId="0" fontId="6" fillId="13" borderId="12" xfId="0" applyFont="1" applyFill="1" applyBorder="1" applyAlignment="1" applyProtection="1">
      <alignment horizontal="center" vertical="center" wrapText="1"/>
      <protection locked="0"/>
    </xf>
    <xf numFmtId="0" fontId="6" fillId="13" borderId="22" xfId="0" applyFont="1" applyFill="1" applyBorder="1" applyAlignment="1" applyProtection="1">
      <alignment horizontal="center" vertical="center" wrapText="1"/>
      <protection locked="0"/>
    </xf>
    <xf numFmtId="15" fontId="6" fillId="13" borderId="41" xfId="0" applyNumberFormat="1" applyFont="1" applyFill="1" applyBorder="1" applyAlignment="1" applyProtection="1">
      <alignment horizontal="center" vertical="center" wrapText="1"/>
      <protection locked="0"/>
    </xf>
    <xf numFmtId="174" fontId="3" fillId="0" borderId="50" xfId="0" applyNumberFormat="1" applyFont="1" applyBorder="1" applyAlignment="1" applyProtection="1">
      <alignment horizontal="center"/>
      <protection locked="0"/>
    </xf>
    <xf numFmtId="174" fontId="5" fillId="0" borderId="50" xfId="0" applyNumberFormat="1" applyFont="1" applyBorder="1" applyAlignment="1" applyProtection="1">
      <alignment horizontal="center" vertical="top"/>
      <protection locked="0"/>
    </xf>
    <xf numFmtId="0" fontId="0" fillId="0" borderId="28" xfId="0" applyBorder="1" applyProtection="1">
      <protection locked="0"/>
    </xf>
    <xf numFmtId="15" fontId="5" fillId="8" borderId="50" xfId="0" applyNumberFormat="1" applyFont="1" applyFill="1" applyBorder="1" applyAlignment="1" applyProtection="1">
      <alignment horizontal="center"/>
      <protection locked="0"/>
    </xf>
    <xf numFmtId="15" fontId="5" fillId="8" borderId="57" xfId="0" applyNumberFormat="1" applyFont="1" applyFill="1" applyBorder="1" applyAlignment="1" applyProtection="1">
      <alignment horizontal="center"/>
      <protection locked="0"/>
    </xf>
    <xf numFmtId="174" fontId="3" fillId="0" borderId="58" xfId="0" applyNumberFormat="1" applyFont="1" applyBorder="1" applyAlignment="1" applyProtection="1">
      <alignment horizontal="center"/>
      <protection locked="0"/>
    </xf>
    <xf numFmtId="0" fontId="14" fillId="0" borderId="0" xfId="0" applyFont="1" applyAlignment="1">
      <alignment horizontal="left" indent="1"/>
    </xf>
    <xf numFmtId="0" fontId="15" fillId="0" borderId="0" xfId="0" applyFont="1" applyAlignment="1">
      <alignment horizontal="center"/>
    </xf>
    <xf numFmtId="0" fontId="15" fillId="0" borderId="0" xfId="0" applyFont="1"/>
    <xf numFmtId="0" fontId="15" fillId="0" borderId="0" xfId="0" applyFont="1" applyAlignment="1">
      <alignment horizontal="center" vertical="center"/>
    </xf>
    <xf numFmtId="0" fontId="16" fillId="4" borderId="4" xfId="0" applyFont="1" applyFill="1" applyBorder="1" applyAlignment="1">
      <alignment horizontal="center" vertical="center"/>
    </xf>
    <xf numFmtId="0" fontId="16" fillId="4" borderId="4" xfId="0" applyFont="1" applyFill="1" applyBorder="1" applyAlignment="1">
      <alignment horizontal="center" vertical="center" wrapText="1"/>
    </xf>
    <xf numFmtId="168" fontId="16" fillId="4" borderId="4" xfId="1" applyNumberFormat="1" applyFont="1" applyFill="1" applyBorder="1" applyAlignment="1">
      <alignment horizontal="center" vertical="center" wrapText="1"/>
    </xf>
    <xf numFmtId="0" fontId="16" fillId="4" borderId="5" xfId="0" applyFont="1" applyFill="1" applyBorder="1" applyAlignment="1">
      <alignment horizontal="center" vertical="center" wrapText="1"/>
    </xf>
    <xf numFmtId="0" fontId="16" fillId="4" borderId="11" xfId="0" applyFont="1" applyFill="1" applyBorder="1" applyAlignment="1">
      <alignment horizontal="center" vertical="center" wrapText="1"/>
    </xf>
    <xf numFmtId="0" fontId="16" fillId="4" borderId="9" xfId="0" applyFont="1" applyFill="1" applyBorder="1" applyAlignment="1">
      <alignment horizontal="center" vertical="center" wrapText="1"/>
    </xf>
    <xf numFmtId="0" fontId="16" fillId="4" borderId="11" xfId="0" applyFont="1" applyFill="1" applyBorder="1" applyAlignment="1">
      <alignment horizontal="center" vertical="center"/>
    </xf>
    <xf numFmtId="0" fontId="15" fillId="0" borderId="0" xfId="0" applyFont="1" applyAlignment="1">
      <alignment vertical="center"/>
    </xf>
    <xf numFmtId="0" fontId="14" fillId="0" borderId="7" xfId="0" applyFont="1" applyBorder="1" applyAlignment="1">
      <alignment vertical="center" wrapText="1"/>
    </xf>
    <xf numFmtId="0" fontId="14" fillId="0" borderId="0" xfId="0" applyFont="1" applyAlignment="1">
      <alignment vertical="center" wrapText="1"/>
    </xf>
    <xf numFmtId="0" fontId="14" fillId="0" borderId="0" xfId="0" applyFont="1" applyAlignment="1">
      <alignment horizontal="center" vertical="center" wrapText="1"/>
    </xf>
    <xf numFmtId="0" fontId="17" fillId="0" borderId="0" xfId="0" applyFont="1" applyAlignment="1">
      <alignment horizontal="center"/>
    </xf>
    <xf numFmtId="0" fontId="18" fillId="0" borderId="0" xfId="0" applyFont="1"/>
    <xf numFmtId="0" fontId="18" fillId="5" borderId="4" xfId="0" applyFont="1" applyFill="1" applyBorder="1"/>
    <xf numFmtId="0" fontId="18" fillId="5" borderId="4" xfId="0" applyFont="1" applyFill="1" applyBorder="1" applyAlignment="1">
      <alignment horizontal="center"/>
    </xf>
    <xf numFmtId="0" fontId="18" fillId="5" borderId="1" xfId="0" applyFont="1" applyFill="1" applyBorder="1" applyAlignment="1">
      <alignment horizontal="center"/>
    </xf>
    <xf numFmtId="168" fontId="18" fillId="2" borderId="4" xfId="1" applyNumberFormat="1" applyFont="1" applyFill="1" applyBorder="1" applyAlignment="1">
      <alignment horizontal="center"/>
    </xf>
    <xf numFmtId="0" fontId="18" fillId="0" borderId="4" xfId="0" applyFont="1" applyBorder="1" applyAlignment="1">
      <alignment horizontal="center"/>
    </xf>
    <xf numFmtId="3" fontId="18" fillId="0" borderId="4" xfId="0" applyNumberFormat="1" applyFont="1" applyBorder="1" applyAlignment="1">
      <alignment horizontal="center"/>
    </xf>
    <xf numFmtId="165" fontId="18" fillId="0" borderId="4" xfId="0" applyNumberFormat="1" applyFont="1" applyBorder="1" applyAlignment="1">
      <alignment horizontal="center"/>
    </xf>
    <xf numFmtId="168" fontId="18" fillId="2" borderId="0" xfId="1" applyNumberFormat="1" applyFont="1" applyFill="1" applyBorder="1" applyAlignment="1">
      <alignment horizontal="center"/>
    </xf>
    <xf numFmtId="0" fontId="18" fillId="0" borderId="0" xfId="0" applyFont="1" applyAlignment="1">
      <alignment horizontal="center"/>
    </xf>
    <xf numFmtId="0" fontId="18" fillId="6" borderId="4" xfId="0" applyFont="1" applyFill="1" applyBorder="1"/>
    <xf numFmtId="0" fontId="18" fillId="6" borderId="4" xfId="0" applyFont="1" applyFill="1" applyBorder="1" applyAlignment="1">
      <alignment horizontal="center"/>
    </xf>
    <xf numFmtId="0" fontId="15" fillId="0" borderId="4" xfId="0" applyFont="1" applyBorder="1"/>
    <xf numFmtId="0" fontId="18" fillId="0" borderId="7" xfId="0" applyFont="1" applyBorder="1"/>
    <xf numFmtId="0" fontId="18" fillId="7" borderId="4" xfId="0" applyFont="1" applyFill="1" applyBorder="1"/>
    <xf numFmtId="0" fontId="18" fillId="7" borderId="4" xfId="0" applyFont="1" applyFill="1" applyBorder="1" applyAlignment="1">
      <alignment horizontal="center"/>
    </xf>
    <xf numFmtId="0" fontId="17" fillId="0" borderId="0" xfId="0" applyFont="1" applyAlignment="1">
      <alignment horizontal="center" vertical="top"/>
    </xf>
    <xf numFmtId="0" fontId="14" fillId="0" borderId="0" xfId="0" applyFont="1" applyAlignment="1">
      <alignment horizontal="center" vertical="top"/>
    </xf>
    <xf numFmtId="165" fontId="18" fillId="0" borderId="16" xfId="0" applyNumberFormat="1" applyFont="1" applyBorder="1" applyAlignment="1">
      <alignment horizontal="center"/>
    </xf>
    <xf numFmtId="0" fontId="18" fillId="0" borderId="16" xfId="0" applyFont="1" applyBorder="1" applyAlignment="1">
      <alignment horizontal="center"/>
    </xf>
    <xf numFmtId="0" fontId="18" fillId="0" borderId="29" xfId="0" applyFont="1" applyBorder="1" applyAlignment="1">
      <alignment horizontal="center"/>
    </xf>
    <xf numFmtId="165" fontId="18" fillId="0" borderId="37" xfId="0" applyNumberFormat="1" applyFont="1" applyBorder="1" applyAlignment="1">
      <alignment horizontal="center"/>
    </xf>
    <xf numFmtId="0" fontId="18" fillId="0" borderId="7" xfId="0" applyFont="1" applyBorder="1" applyAlignment="1">
      <alignment vertical="top"/>
    </xf>
    <xf numFmtId="0" fontId="18" fillId="0" borderId="0" xfId="0" applyFont="1" applyAlignment="1">
      <alignment vertical="top"/>
    </xf>
    <xf numFmtId="0" fontId="18" fillId="0" borderId="0" xfId="0" applyFont="1" applyAlignment="1">
      <alignment horizontal="center" vertical="top"/>
    </xf>
    <xf numFmtId="0" fontId="15" fillId="0" borderId="4" xfId="0" applyFont="1" applyBorder="1" applyAlignment="1">
      <alignment vertical="top"/>
    </xf>
    <xf numFmtId="0" fontId="18" fillId="9" borderId="4" xfId="0" applyFont="1" applyFill="1" applyBorder="1" applyAlignment="1">
      <alignment horizontal="left"/>
    </xf>
    <xf numFmtId="0" fontId="18" fillId="9" borderId="4" xfId="0" applyFont="1" applyFill="1" applyBorder="1" applyAlignment="1">
      <alignment horizontal="center"/>
    </xf>
    <xf numFmtId="0" fontId="18" fillId="9" borderId="1" xfId="0" applyFont="1" applyFill="1" applyBorder="1" applyAlignment="1">
      <alignment horizontal="center"/>
    </xf>
    <xf numFmtId="170" fontId="18" fillId="2" borderId="4" xfId="0" applyNumberFormat="1" applyFont="1" applyFill="1" applyBorder="1" applyAlignment="1">
      <alignment horizontal="right" vertical="center"/>
    </xf>
    <xf numFmtId="0" fontId="18" fillId="9" borderId="4" xfId="0" applyFont="1" applyFill="1" applyBorder="1" applyAlignment="1">
      <alignment horizontal="left" wrapText="1"/>
    </xf>
    <xf numFmtId="172" fontId="18" fillId="2" borderId="4" xfId="1" applyNumberFormat="1" applyFont="1" applyFill="1" applyBorder="1" applyAlignment="1">
      <alignment horizontal="right"/>
    </xf>
    <xf numFmtId="0" fontId="18" fillId="2" borderId="0" xfId="0" applyFont="1" applyFill="1" applyAlignment="1">
      <alignment horizontal="center" vertical="center"/>
    </xf>
    <xf numFmtId="0" fontId="18" fillId="10" borderId="4" xfId="0" applyFont="1" applyFill="1" applyBorder="1"/>
    <xf numFmtId="0" fontId="18" fillId="10" borderId="4" xfId="0" applyFont="1" applyFill="1" applyBorder="1" applyAlignment="1">
      <alignment horizontal="center"/>
    </xf>
    <xf numFmtId="0" fontId="18" fillId="10" borderId="1" xfId="0" applyFont="1" applyFill="1" applyBorder="1" applyAlignment="1">
      <alignment horizontal="center"/>
    </xf>
    <xf numFmtId="0" fontId="17" fillId="0" borderId="4" xfId="0" applyFont="1" applyBorder="1"/>
    <xf numFmtId="0" fontId="18" fillId="11" borderId="4" xfId="0" applyFont="1" applyFill="1" applyBorder="1"/>
    <xf numFmtId="0" fontId="18" fillId="11" borderId="4" xfId="0" applyFont="1" applyFill="1" applyBorder="1" applyAlignment="1">
      <alignment horizontal="center"/>
    </xf>
    <xf numFmtId="0" fontId="18" fillId="11" borderId="1" xfId="0" applyFont="1" applyFill="1" applyBorder="1" applyAlignment="1">
      <alignment horizontal="center"/>
    </xf>
    <xf numFmtId="167" fontId="18" fillId="11" borderId="4" xfId="0" applyNumberFormat="1" applyFont="1" applyFill="1" applyBorder="1" applyAlignment="1">
      <alignment horizontal="center"/>
    </xf>
    <xf numFmtId="167" fontId="18" fillId="0" borderId="4" xfId="0" applyNumberFormat="1" applyFont="1" applyBorder="1" applyAlignment="1">
      <alignment horizontal="center"/>
    </xf>
    <xf numFmtId="0" fontId="16" fillId="4" borderId="3" xfId="0" applyFont="1" applyFill="1" applyBorder="1" applyAlignment="1">
      <alignment horizontal="center" vertical="center"/>
    </xf>
    <xf numFmtId="169" fontId="16" fillId="4" borderId="4" xfId="0" applyNumberFormat="1" applyFont="1" applyFill="1" applyBorder="1" applyAlignment="1">
      <alignment horizontal="center" vertical="center"/>
    </xf>
    <xf numFmtId="0" fontId="17" fillId="0" borderId="0" xfId="0" applyFont="1" applyAlignment="1">
      <alignment horizontal="center" vertical="center"/>
    </xf>
    <xf numFmtId="0" fontId="18" fillId="0" borderId="0" xfId="0" applyFont="1" applyAlignment="1">
      <alignment vertical="center"/>
    </xf>
    <xf numFmtId="0" fontId="17" fillId="0" borderId="10" xfId="0" applyFont="1" applyBorder="1" applyAlignment="1">
      <alignment horizontal="center" vertical="center"/>
    </xf>
    <xf numFmtId="168" fontId="17" fillId="2" borderId="10" xfId="1" applyNumberFormat="1" applyFont="1" applyFill="1" applyBorder="1" applyAlignment="1">
      <alignment horizontal="center" vertical="center"/>
    </xf>
    <xf numFmtId="0" fontId="18" fillId="2" borderId="4" xfId="0" applyFont="1" applyFill="1" applyBorder="1" applyAlignment="1">
      <alignment horizontal="center" vertical="center"/>
    </xf>
    <xf numFmtId="170" fontId="18" fillId="2" borderId="4" xfId="0" applyNumberFormat="1" applyFont="1" applyFill="1" applyBorder="1" applyAlignment="1">
      <alignment vertical="center"/>
    </xf>
    <xf numFmtId="0" fontId="18" fillId="0" borderId="4" xfId="0" applyFont="1" applyBorder="1" applyAlignment="1">
      <alignment horizontal="center" vertical="center"/>
    </xf>
    <xf numFmtId="0" fontId="18" fillId="2" borderId="1" xfId="0" applyFont="1" applyFill="1" applyBorder="1" applyAlignment="1">
      <alignment horizontal="center" vertical="center"/>
    </xf>
    <xf numFmtId="0" fontId="18" fillId="2" borderId="3" xfId="0" applyFont="1" applyFill="1" applyBorder="1" applyAlignment="1">
      <alignment horizontal="center" vertical="center"/>
    </xf>
    <xf numFmtId="168" fontId="18" fillId="2" borderId="4" xfId="1" applyNumberFormat="1" applyFont="1" applyFill="1" applyBorder="1" applyAlignment="1">
      <alignment horizontal="center" vertical="center"/>
    </xf>
    <xf numFmtId="0" fontId="18" fillId="0" borderId="6" xfId="0" applyFont="1" applyBorder="1" applyAlignment="1">
      <alignment vertical="center"/>
    </xf>
    <xf numFmtId="0" fontId="18" fillId="2" borderId="59" xfId="0" applyFont="1" applyFill="1" applyBorder="1" applyAlignment="1">
      <alignment horizontal="center" vertical="center"/>
    </xf>
    <xf numFmtId="170" fontId="18" fillId="2" borderId="0" xfId="0" applyNumberFormat="1" applyFont="1" applyFill="1" applyAlignment="1">
      <alignment vertical="center"/>
    </xf>
    <xf numFmtId="0" fontId="18" fillId="0" borderId="0" xfId="0" applyFont="1" applyAlignment="1">
      <alignment horizontal="center" vertical="center"/>
    </xf>
    <xf numFmtId="0" fontId="17" fillId="2" borderId="0" xfId="0" applyFont="1" applyFill="1" applyAlignment="1">
      <alignment horizontal="center" vertical="center"/>
    </xf>
    <xf numFmtId="168" fontId="17" fillId="2" borderId="0" xfId="1" applyNumberFormat="1" applyFont="1" applyFill="1" applyBorder="1" applyAlignment="1">
      <alignment horizontal="center" vertical="center"/>
    </xf>
    <xf numFmtId="0" fontId="18" fillId="0" borderId="1" xfId="0" applyFont="1" applyBorder="1" applyAlignment="1">
      <alignment horizontal="center" vertical="center"/>
    </xf>
    <xf numFmtId="0" fontId="18" fillId="2" borderId="5" xfId="0" applyFont="1" applyFill="1" applyBorder="1" applyAlignment="1">
      <alignment horizontal="center" vertical="center"/>
    </xf>
    <xf numFmtId="0" fontId="18" fillId="2" borderId="11" xfId="0" applyFont="1" applyFill="1" applyBorder="1" applyAlignment="1">
      <alignment horizontal="center" vertical="center"/>
    </xf>
    <xf numFmtId="170" fontId="18" fillId="2" borderId="1" xfId="0" applyNumberFormat="1" applyFont="1" applyFill="1" applyBorder="1" applyAlignment="1">
      <alignment vertical="center"/>
    </xf>
    <xf numFmtId="0" fontId="18" fillId="2" borderId="0" xfId="0" applyFont="1" applyFill="1" applyAlignment="1">
      <alignment vertical="center"/>
    </xf>
    <xf numFmtId="0" fontId="18" fillId="2" borderId="15" xfId="0" applyFont="1" applyFill="1" applyBorder="1" applyAlignment="1">
      <alignment horizontal="center" vertical="center"/>
    </xf>
    <xf numFmtId="0" fontId="18" fillId="0" borderId="8" xfId="0" applyFont="1" applyBorder="1" applyAlignment="1">
      <alignment vertical="center"/>
    </xf>
    <xf numFmtId="168" fontId="18" fillId="2" borderId="59" xfId="1" applyNumberFormat="1" applyFont="1" applyFill="1" applyBorder="1" applyAlignment="1">
      <alignment horizontal="center" vertical="center"/>
    </xf>
    <xf numFmtId="0" fontId="18" fillId="2" borderId="17" xfId="0" applyFont="1" applyFill="1" applyBorder="1" applyAlignment="1">
      <alignment horizontal="left" vertical="center"/>
    </xf>
    <xf numFmtId="0" fontId="18" fillId="2" borderId="18" xfId="0" applyFont="1" applyFill="1" applyBorder="1" applyAlignment="1">
      <alignment horizontal="left" vertical="center"/>
    </xf>
    <xf numFmtId="0" fontId="18" fillId="2" borderId="16" xfId="0" applyFont="1" applyFill="1" applyBorder="1" applyAlignment="1">
      <alignment horizontal="left" vertical="center"/>
    </xf>
    <xf numFmtId="0" fontId="18" fillId="2" borderId="19" xfId="0" applyFont="1" applyFill="1" applyBorder="1" applyAlignment="1">
      <alignment horizontal="left" vertical="center"/>
    </xf>
    <xf numFmtId="0" fontId="18" fillId="2" borderId="14" xfId="0" applyFont="1" applyFill="1" applyBorder="1" applyAlignment="1">
      <alignment horizontal="left" vertical="center"/>
    </xf>
    <xf numFmtId="170" fontId="18" fillId="2" borderId="16" xfId="0" applyNumberFormat="1" applyFont="1" applyFill="1" applyBorder="1" applyAlignment="1">
      <alignment horizontal="right" vertical="center"/>
    </xf>
    <xf numFmtId="0" fontId="18" fillId="0" borderId="16" xfId="0" applyFont="1" applyBorder="1" applyAlignment="1">
      <alignment horizontal="center" vertical="center"/>
    </xf>
    <xf numFmtId="168" fontId="18" fillId="2" borderId="4" xfId="1" quotePrefix="1" applyNumberFormat="1" applyFont="1" applyFill="1" applyBorder="1" applyAlignment="1">
      <alignment horizontal="center" vertical="center"/>
    </xf>
    <xf numFmtId="171" fontId="18" fillId="2" borderId="4" xfId="1" applyNumberFormat="1" applyFont="1" applyFill="1" applyBorder="1" applyAlignment="1">
      <alignment horizontal="center" vertical="center"/>
    </xf>
    <xf numFmtId="170" fontId="18" fillId="2" borderId="21" xfId="0" applyNumberFormat="1" applyFont="1" applyFill="1" applyBorder="1" applyAlignment="1">
      <alignment horizontal="right" vertical="center"/>
    </xf>
    <xf numFmtId="0" fontId="18" fillId="0" borderId="39" xfId="0" applyFont="1" applyBorder="1" applyAlignment="1">
      <alignment vertical="center"/>
    </xf>
    <xf numFmtId="170" fontId="18" fillId="2" borderId="10" xfId="0" applyNumberFormat="1" applyFont="1" applyFill="1" applyBorder="1" applyAlignment="1">
      <alignment vertical="center"/>
    </xf>
    <xf numFmtId="0" fontId="18" fillId="2" borderId="7" xfId="0" applyFont="1" applyFill="1" applyBorder="1" applyAlignment="1">
      <alignment vertical="center"/>
    </xf>
    <xf numFmtId="0" fontId="18" fillId="2" borderId="4" xfId="0" applyFont="1" applyFill="1" applyBorder="1" applyAlignment="1">
      <alignment horizontal="right" vertical="center"/>
    </xf>
    <xf numFmtId="170" fontId="18" fillId="2" borderId="4" xfId="0" applyNumberFormat="1" applyFont="1" applyFill="1" applyBorder="1" applyAlignment="1">
      <alignment horizontal="center" vertical="center"/>
    </xf>
    <xf numFmtId="168" fontId="18" fillId="2" borderId="0" xfId="1" applyNumberFormat="1" applyFont="1" applyFill="1" applyAlignment="1">
      <alignment horizontal="center" vertical="center"/>
    </xf>
    <xf numFmtId="168" fontId="18" fillId="2" borderId="10" xfId="1" applyNumberFormat="1" applyFont="1" applyFill="1" applyBorder="1" applyAlignment="1">
      <alignment horizontal="center" vertical="center"/>
    </xf>
    <xf numFmtId="0" fontId="18" fillId="0" borderId="9" xfId="0" applyFont="1" applyBorder="1" applyAlignment="1">
      <alignment horizontal="center" vertical="center"/>
    </xf>
    <xf numFmtId="167" fontId="18" fillId="0" borderId="0" xfId="0" applyNumberFormat="1" applyFont="1" applyAlignment="1">
      <alignment horizontal="center" vertical="center"/>
    </xf>
    <xf numFmtId="168" fontId="15" fillId="2" borderId="0" xfId="1" applyNumberFormat="1" applyFont="1" applyFill="1" applyAlignment="1">
      <alignment horizontal="right"/>
    </xf>
    <xf numFmtId="166" fontId="15" fillId="2" borderId="0" xfId="1" applyNumberFormat="1" applyFont="1" applyFill="1" applyAlignment="1">
      <alignment horizontal="right"/>
    </xf>
    <xf numFmtId="168" fontId="16" fillId="4" borderId="4" xfId="1" applyNumberFormat="1" applyFont="1" applyFill="1" applyBorder="1" applyAlignment="1">
      <alignment horizontal="right" vertical="center" wrapText="1"/>
    </xf>
    <xf numFmtId="168" fontId="14" fillId="2" borderId="0" xfId="1" applyNumberFormat="1" applyFont="1" applyFill="1" applyAlignment="1">
      <alignment horizontal="right" vertical="center" wrapText="1"/>
    </xf>
    <xf numFmtId="168" fontId="17" fillId="2" borderId="0" xfId="1" applyNumberFormat="1" applyFont="1" applyFill="1" applyAlignment="1">
      <alignment horizontal="right"/>
    </xf>
    <xf numFmtId="168" fontId="18" fillId="2" borderId="4" xfId="1" applyNumberFormat="1" applyFont="1" applyFill="1" applyBorder="1" applyAlignment="1">
      <alignment horizontal="right"/>
    </xf>
    <xf numFmtId="168" fontId="18" fillId="2" borderId="0" xfId="1" applyNumberFormat="1" applyFont="1" applyFill="1" applyBorder="1" applyAlignment="1">
      <alignment horizontal="right"/>
    </xf>
    <xf numFmtId="168" fontId="18" fillId="2" borderId="0" xfId="1" applyNumberFormat="1" applyFont="1" applyFill="1" applyAlignment="1">
      <alignment horizontal="right"/>
    </xf>
    <xf numFmtId="168" fontId="17" fillId="2" borderId="0" xfId="1" applyNumberFormat="1" applyFont="1" applyFill="1" applyAlignment="1">
      <alignment horizontal="right" vertical="top"/>
    </xf>
    <xf numFmtId="168" fontId="18" fillId="2" borderId="1" xfId="1" applyNumberFormat="1" applyFont="1" applyFill="1" applyBorder="1" applyAlignment="1">
      <alignment horizontal="right"/>
    </xf>
    <xf numFmtId="168" fontId="18" fillId="2" borderId="0" xfId="1" applyNumberFormat="1" applyFont="1" applyFill="1" applyAlignment="1">
      <alignment horizontal="right" vertical="top"/>
    </xf>
    <xf numFmtId="166" fontId="15" fillId="0" borderId="0" xfId="1" applyNumberFormat="1" applyFont="1" applyFill="1" applyAlignment="1">
      <alignment horizontal="right"/>
    </xf>
    <xf numFmtId="0" fontId="15" fillId="2" borderId="0" xfId="0" applyFont="1" applyFill="1" applyAlignment="1">
      <alignment vertical="center"/>
    </xf>
    <xf numFmtId="0" fontId="15" fillId="2" borderId="0" xfId="0" applyFont="1" applyFill="1"/>
    <xf numFmtId="0" fontId="18" fillId="2" borderId="6" xfId="0" applyFont="1" applyFill="1" applyBorder="1" applyAlignment="1">
      <alignment vertical="center"/>
    </xf>
    <xf numFmtId="0" fontId="13" fillId="2" borderId="0" xfId="0" applyFont="1" applyFill="1" applyAlignment="1">
      <alignment horizontal="center" vertical="center"/>
    </xf>
    <xf numFmtId="0" fontId="18" fillId="2" borderId="0" xfId="0" applyFont="1" applyFill="1" applyAlignment="1">
      <alignment horizontal="right" vertical="center"/>
    </xf>
    <xf numFmtId="14" fontId="18" fillId="2" borderId="4" xfId="0" applyNumberFormat="1" applyFont="1" applyFill="1" applyBorder="1" applyAlignment="1">
      <alignment horizontal="center" vertical="center"/>
    </xf>
    <xf numFmtId="14" fontId="18" fillId="2" borderId="0" xfId="0" applyNumberFormat="1" applyFont="1" applyFill="1" applyAlignment="1">
      <alignment horizontal="center" vertical="center"/>
    </xf>
    <xf numFmtId="0" fontId="17" fillId="2" borderId="10" xfId="0" applyFont="1" applyFill="1" applyBorder="1" applyAlignment="1">
      <alignment horizontal="center" vertical="center"/>
    </xf>
    <xf numFmtId="0" fontId="18" fillId="2" borderId="8" xfId="0" applyFont="1" applyFill="1" applyBorder="1" applyAlignment="1">
      <alignment vertical="center"/>
    </xf>
    <xf numFmtId="0" fontId="14" fillId="2" borderId="0" xfId="0" applyFont="1" applyFill="1" applyAlignment="1">
      <alignment horizontal="center" vertical="center"/>
    </xf>
    <xf numFmtId="0" fontId="14" fillId="2" borderId="0" xfId="0" applyFont="1" applyFill="1" applyAlignment="1">
      <alignment horizontal="center" vertical="top"/>
    </xf>
    <xf numFmtId="14" fontId="18" fillId="2" borderId="4" xfId="0" quotePrefix="1" applyNumberFormat="1" applyFont="1" applyFill="1" applyBorder="1" applyAlignment="1">
      <alignment horizontal="center" vertical="center"/>
    </xf>
    <xf numFmtId="0" fontId="18" fillId="2" borderId="16" xfId="0" applyFont="1" applyFill="1" applyBorder="1" applyAlignment="1">
      <alignment horizontal="center" vertical="center"/>
    </xf>
    <xf numFmtId="0" fontId="18" fillId="2" borderId="22" xfId="0" applyFont="1" applyFill="1" applyBorder="1" applyAlignment="1">
      <alignment horizontal="center" vertical="center"/>
    </xf>
    <xf numFmtId="0" fontId="18" fillId="2" borderId="23" xfId="0" applyFont="1" applyFill="1" applyBorder="1" applyAlignment="1">
      <alignment horizontal="center" vertical="center"/>
    </xf>
    <xf numFmtId="0" fontId="18" fillId="2" borderId="24"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27" xfId="0" applyFont="1" applyFill="1" applyBorder="1" applyAlignment="1">
      <alignment horizontal="center" vertical="center"/>
    </xf>
    <xf numFmtId="0" fontId="18" fillId="2" borderId="17" xfId="0" applyFont="1" applyFill="1" applyBorder="1" applyAlignment="1">
      <alignment horizontal="center" vertical="center"/>
    </xf>
    <xf numFmtId="0" fontId="18" fillId="2" borderId="28"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29" xfId="0" applyFont="1" applyFill="1" applyBorder="1" applyAlignment="1">
      <alignment horizontal="center" vertical="center"/>
    </xf>
    <xf numFmtId="0" fontId="18" fillId="2" borderId="30" xfId="0" applyFont="1" applyFill="1" applyBorder="1" applyAlignment="1">
      <alignment horizontal="center" vertical="center"/>
    </xf>
    <xf numFmtId="0" fontId="18" fillId="2" borderId="31" xfId="0" applyFont="1" applyFill="1" applyBorder="1" applyAlignment="1">
      <alignment horizontal="center" vertical="center"/>
    </xf>
    <xf numFmtId="0" fontId="18" fillId="2" borderId="32" xfId="0" applyFont="1" applyFill="1" applyBorder="1" applyAlignment="1">
      <alignment horizontal="center" vertical="center"/>
    </xf>
    <xf numFmtId="0" fontId="18" fillId="2" borderId="33" xfId="0" applyFont="1" applyFill="1" applyBorder="1" applyAlignment="1">
      <alignment horizontal="center" vertical="center"/>
    </xf>
    <xf numFmtId="0" fontId="18" fillId="2" borderId="34" xfId="0" applyFont="1" applyFill="1" applyBorder="1" applyAlignment="1">
      <alignment horizontal="center" vertical="center"/>
    </xf>
    <xf numFmtId="0" fontId="18" fillId="2" borderId="35" xfId="0" applyFont="1" applyFill="1" applyBorder="1" applyAlignment="1">
      <alignment horizontal="center" vertical="center"/>
    </xf>
    <xf numFmtId="0" fontId="18" fillId="2" borderId="36" xfId="0" applyFont="1" applyFill="1" applyBorder="1" applyAlignment="1">
      <alignment horizontal="center" vertical="center"/>
    </xf>
    <xf numFmtId="0" fontId="18" fillId="2" borderId="27" xfId="0" applyFont="1" applyFill="1" applyBorder="1" applyAlignment="1">
      <alignment vertical="center"/>
    </xf>
    <xf numFmtId="0" fontId="18" fillId="2" borderId="40" xfId="0" applyFont="1" applyFill="1" applyBorder="1" applyAlignment="1">
      <alignment horizontal="center" vertical="center"/>
    </xf>
    <xf numFmtId="2" fontId="18" fillId="2" borderId="4" xfId="0" applyNumberFormat="1" applyFont="1" applyFill="1" applyBorder="1" applyAlignment="1">
      <alignment horizontal="center" vertical="center"/>
    </xf>
    <xf numFmtId="0" fontId="18" fillId="2" borderId="10" xfId="0" applyFont="1" applyFill="1" applyBorder="1" applyAlignment="1">
      <alignment vertical="center"/>
    </xf>
    <xf numFmtId="0" fontId="15" fillId="2" borderId="0" xfId="0" applyFont="1" applyFill="1" applyAlignment="1">
      <alignment horizontal="center" vertical="center"/>
    </xf>
    <xf numFmtId="0" fontId="18" fillId="0" borderId="3" xfId="0" applyFont="1" applyBorder="1" applyAlignment="1">
      <alignment horizontal="center" vertical="center"/>
    </xf>
    <xf numFmtId="170" fontId="18" fillId="0" borderId="4" xfId="0" applyNumberFormat="1" applyFont="1" applyBorder="1" applyAlignment="1">
      <alignment horizontal="right" vertical="center"/>
    </xf>
    <xf numFmtId="0" fontId="18" fillId="0" borderId="11" xfId="0" applyFont="1" applyBorder="1" applyAlignment="1">
      <alignment horizontal="center" vertical="center"/>
    </xf>
    <xf numFmtId="170" fontId="18" fillId="0" borderId="1" xfId="0" applyNumberFormat="1" applyFont="1" applyBorder="1" applyAlignment="1">
      <alignment vertical="center"/>
    </xf>
    <xf numFmtId="0" fontId="19" fillId="2" borderId="4" xfId="0" applyFont="1" applyFill="1" applyBorder="1" applyAlignment="1">
      <alignment horizontal="center" vertical="center"/>
    </xf>
    <xf numFmtId="0" fontId="16" fillId="18" borderId="11" xfId="0" applyFont="1" applyFill="1" applyBorder="1" applyAlignment="1">
      <alignment horizontal="center" vertical="center" wrapText="1"/>
    </xf>
    <xf numFmtId="0" fontId="16" fillId="4" borderId="0" xfId="0" applyFont="1" applyFill="1" applyAlignment="1">
      <alignment horizontal="center" vertical="center"/>
    </xf>
    <xf numFmtId="175" fontId="16" fillId="4" borderId="5" xfId="0" applyNumberFormat="1" applyFont="1" applyFill="1" applyBorder="1" applyAlignment="1">
      <alignment horizontal="center" vertical="center"/>
    </xf>
    <xf numFmtId="175" fontId="16" fillId="4" borderId="5" xfId="0" applyNumberFormat="1" applyFont="1" applyFill="1" applyBorder="1" applyAlignment="1">
      <alignment vertical="center"/>
    </xf>
    <xf numFmtId="175" fontId="15" fillId="0" borderId="0" xfId="0" applyNumberFormat="1" applyFont="1" applyAlignment="1">
      <alignment vertical="center"/>
    </xf>
    <xf numFmtId="175" fontId="15" fillId="0" borderId="0" xfId="0" applyNumberFormat="1" applyFont="1" applyAlignment="1">
      <alignment horizontal="center" vertical="center"/>
    </xf>
    <xf numFmtId="0" fontId="16" fillId="4" borderId="59" xfId="0" applyFont="1" applyFill="1" applyBorder="1" applyAlignment="1">
      <alignment horizontal="center" vertical="center" wrapText="1"/>
    </xf>
    <xf numFmtId="0" fontId="16" fillId="4" borderId="6" xfId="0" applyFont="1" applyFill="1" applyBorder="1" applyAlignment="1">
      <alignment horizontal="center" vertical="center" wrapText="1"/>
    </xf>
    <xf numFmtId="14" fontId="18" fillId="0" borderId="4" xfId="0" applyNumberFormat="1" applyFont="1" applyBorder="1" applyAlignment="1">
      <alignment horizontal="center" vertical="center"/>
    </xf>
    <xf numFmtId="168" fontId="18" fillId="2" borderId="4" xfId="1" applyNumberFormat="1" applyFont="1" applyFill="1" applyBorder="1" applyAlignment="1">
      <alignment horizontal="right" wrapText="1"/>
    </xf>
    <xf numFmtId="0" fontId="20" fillId="19" borderId="4" xfId="0" applyFont="1" applyFill="1" applyBorder="1"/>
    <xf numFmtId="0" fontId="20" fillId="19" borderId="3" xfId="0" applyFont="1" applyFill="1" applyBorder="1"/>
    <xf numFmtId="0" fontId="12" fillId="2" borderId="0" xfId="0" applyFont="1" applyFill="1"/>
    <xf numFmtId="0" fontId="12" fillId="2" borderId="11" xfId="0" applyFont="1" applyFill="1" applyBorder="1"/>
    <xf numFmtId="0" fontId="12" fillId="2" borderId="25" xfId="0" applyFont="1" applyFill="1" applyBorder="1"/>
    <xf numFmtId="0" fontId="20" fillId="2" borderId="11" xfId="0" applyFont="1" applyFill="1" applyBorder="1"/>
    <xf numFmtId="0" fontId="12" fillId="2" borderId="25" xfId="0" applyFont="1" applyFill="1" applyBorder="1" applyAlignment="1">
      <alignment wrapText="1"/>
    </xf>
    <xf numFmtId="0" fontId="10" fillId="0" borderId="0" xfId="0" applyFont="1"/>
    <xf numFmtId="0" fontId="18" fillId="0" borderId="59" xfId="0" applyFont="1" applyBorder="1" applyAlignment="1">
      <alignment horizontal="center" vertical="center"/>
    </xf>
    <xf numFmtId="0" fontId="19" fillId="11" borderId="4" xfId="0" applyFont="1" applyFill="1" applyBorder="1"/>
    <xf numFmtId="167" fontId="19" fillId="11" borderId="4" xfId="0" applyNumberFormat="1" applyFont="1" applyFill="1" applyBorder="1" applyAlignment="1">
      <alignment horizontal="center"/>
    </xf>
    <xf numFmtId="14" fontId="18" fillId="0" borderId="4" xfId="0" quotePrefix="1" applyNumberFormat="1" applyFont="1" applyBorder="1" applyAlignment="1">
      <alignment horizontal="center" vertical="center"/>
    </xf>
    <xf numFmtId="0" fontId="18" fillId="20" borderId="4" xfId="0" applyFont="1" applyFill="1" applyBorder="1" applyAlignment="1">
      <alignment horizontal="left"/>
    </xf>
    <xf numFmtId="0" fontId="18" fillId="20" borderId="4" xfId="0" applyFont="1" applyFill="1" applyBorder="1" applyAlignment="1">
      <alignment horizontal="center"/>
    </xf>
    <xf numFmtId="0" fontId="18" fillId="20" borderId="1" xfId="0" applyFont="1" applyFill="1" applyBorder="1" applyAlignment="1">
      <alignment horizontal="center"/>
    </xf>
    <xf numFmtId="0" fontId="18" fillId="20" borderId="4" xfId="0" applyFont="1" applyFill="1" applyBorder="1" applyAlignment="1">
      <alignment horizontal="left" wrapText="1"/>
    </xf>
    <xf numFmtId="0" fontId="18" fillId="9" borderId="59" xfId="0" applyFont="1" applyFill="1" applyBorder="1" applyAlignment="1">
      <alignment horizontal="center"/>
    </xf>
    <xf numFmtId="0" fontId="18" fillId="0" borderId="59" xfId="0" applyFont="1" applyBorder="1" applyAlignment="1">
      <alignment horizontal="center"/>
    </xf>
    <xf numFmtId="0" fontId="18" fillId="0" borderId="1" xfId="0" applyFont="1" applyBorder="1" applyAlignment="1">
      <alignment horizontal="center"/>
    </xf>
    <xf numFmtId="0" fontId="18" fillId="0" borderId="3" xfId="0" applyFont="1" applyBorder="1" applyAlignment="1">
      <alignment horizontal="center"/>
    </xf>
    <xf numFmtId="0" fontId="18" fillId="21" borderId="4" xfId="0" applyFont="1" applyFill="1" applyBorder="1" applyAlignment="1">
      <alignment vertical="top"/>
    </xf>
    <xf numFmtId="0" fontId="18" fillId="21" borderId="4" xfId="0" applyFont="1" applyFill="1" applyBorder="1" applyAlignment="1">
      <alignment horizontal="center" vertical="top"/>
    </xf>
    <xf numFmtId="0" fontId="18" fillId="21" borderId="1" xfId="0" applyFont="1" applyFill="1" applyBorder="1" applyAlignment="1">
      <alignment horizontal="center" vertical="top"/>
    </xf>
    <xf numFmtId="0" fontId="18" fillId="0" borderId="5" xfId="0" applyFont="1" applyBorder="1" applyAlignment="1">
      <alignment horizontal="center"/>
    </xf>
    <xf numFmtId="0" fontId="18" fillId="9" borderId="59" xfId="0" applyFont="1" applyFill="1" applyBorder="1" applyAlignment="1">
      <alignment horizontal="left" wrapText="1"/>
    </xf>
    <xf numFmtId="0" fontId="18" fillId="9" borderId="5" xfId="0" applyFont="1" applyFill="1" applyBorder="1" applyAlignment="1">
      <alignment horizontal="left" wrapText="1"/>
    </xf>
    <xf numFmtId="0" fontId="18" fillId="9" borderId="5" xfId="0" applyFont="1" applyFill="1" applyBorder="1" applyAlignment="1">
      <alignment horizontal="center"/>
    </xf>
    <xf numFmtId="168" fontId="18" fillId="2" borderId="5" xfId="1" applyNumberFormat="1" applyFont="1" applyFill="1" applyBorder="1" applyAlignment="1">
      <alignment horizontal="right"/>
    </xf>
    <xf numFmtId="0" fontId="18" fillId="0" borderId="5" xfId="0" applyFont="1" applyBorder="1" applyAlignment="1">
      <alignment horizontal="center" vertical="center"/>
    </xf>
    <xf numFmtId="0" fontId="18" fillId="9" borderId="60" xfId="0" applyFont="1" applyFill="1" applyBorder="1" applyAlignment="1">
      <alignment horizontal="center"/>
    </xf>
    <xf numFmtId="168" fontId="18" fillId="2" borderId="61" xfId="1" applyNumberFormat="1" applyFont="1" applyFill="1" applyBorder="1" applyAlignment="1">
      <alignment horizontal="center"/>
    </xf>
    <xf numFmtId="0" fontId="18" fillId="22" borderId="4" xfId="0" applyFont="1" applyFill="1" applyBorder="1" applyAlignment="1">
      <alignment horizontal="center"/>
    </xf>
    <xf numFmtId="0" fontId="17" fillId="0" borderId="0" xfId="0" applyFont="1"/>
    <xf numFmtId="0" fontId="18" fillId="2" borderId="4" xfId="0" applyFont="1" applyFill="1" applyBorder="1" applyAlignment="1">
      <alignment horizontal="center"/>
    </xf>
    <xf numFmtId="3" fontId="18" fillId="2" borderId="4" xfId="0" applyNumberFormat="1" applyFont="1" applyFill="1" applyBorder="1" applyAlignment="1">
      <alignment horizontal="center" vertical="center"/>
    </xf>
    <xf numFmtId="0" fontId="18" fillId="9" borderId="5" xfId="0" applyFont="1" applyFill="1" applyBorder="1" applyAlignment="1">
      <alignment horizontal="left"/>
    </xf>
    <xf numFmtId="0" fontId="18" fillId="9" borderId="59" xfId="0" applyFont="1" applyFill="1" applyBorder="1" applyAlignment="1">
      <alignment horizontal="left"/>
    </xf>
    <xf numFmtId="0" fontId="18" fillId="23" borderId="4" xfId="0" applyFont="1" applyFill="1" applyBorder="1" applyAlignment="1">
      <alignment vertical="top"/>
    </xf>
    <xf numFmtId="0" fontId="18" fillId="23" borderId="4" xfId="0" applyFont="1" applyFill="1" applyBorder="1" applyAlignment="1">
      <alignment horizontal="center" vertical="top"/>
    </xf>
    <xf numFmtId="0" fontId="18" fillId="23" borderId="1" xfId="0" applyFont="1" applyFill="1" applyBorder="1" applyAlignment="1">
      <alignment horizontal="center" vertical="top"/>
    </xf>
    <xf numFmtId="0" fontId="18" fillId="23" borderId="4" xfId="0" applyFont="1" applyFill="1" applyBorder="1"/>
    <xf numFmtId="0" fontId="18" fillId="23" borderId="4" xfId="0" applyFont="1" applyFill="1" applyBorder="1" applyAlignment="1">
      <alignment horizontal="center"/>
    </xf>
    <xf numFmtId="0" fontId="18" fillId="24" borderId="4" xfId="0" applyFont="1" applyFill="1" applyBorder="1" applyAlignment="1">
      <alignment vertical="top"/>
    </xf>
    <xf numFmtId="0" fontId="18" fillId="0" borderId="18" xfId="0" applyFont="1" applyBorder="1" applyAlignment="1">
      <alignment horizontal="left" vertical="center"/>
    </xf>
    <xf numFmtId="176" fontId="18" fillId="2" borderId="4" xfId="0" applyNumberFormat="1" applyFont="1" applyFill="1" applyBorder="1" applyAlignment="1">
      <alignment horizontal="center" vertical="center"/>
    </xf>
    <xf numFmtId="0" fontId="18" fillId="24" borderId="4" xfId="0" applyFont="1" applyFill="1" applyBorder="1" applyAlignment="1">
      <alignment horizontal="center" vertical="top"/>
    </xf>
    <xf numFmtId="0" fontId="18" fillId="24" borderId="1" xfId="0" applyFont="1" applyFill="1" applyBorder="1" applyAlignment="1">
      <alignment horizontal="center" vertical="top"/>
    </xf>
    <xf numFmtId="0" fontId="18" fillId="24" borderId="4" xfId="0" applyFont="1" applyFill="1" applyBorder="1"/>
    <xf numFmtId="0" fontId="18" fillId="24" borderId="4" xfId="0" applyFont="1" applyFill="1" applyBorder="1" applyAlignment="1">
      <alignment horizontal="center"/>
    </xf>
    <xf numFmtId="0" fontId="18" fillId="24" borderId="59" xfId="0" applyFont="1" applyFill="1" applyBorder="1" applyAlignment="1">
      <alignment horizontal="left" wrapText="1"/>
    </xf>
    <xf numFmtId="0" fontId="18" fillId="24" borderId="59" xfId="0" applyFont="1" applyFill="1" applyBorder="1" applyAlignment="1">
      <alignment horizontal="center"/>
    </xf>
    <xf numFmtId="0" fontId="18" fillId="24" borderId="60" xfId="0" applyFont="1" applyFill="1" applyBorder="1" applyAlignment="1">
      <alignment horizontal="center"/>
    </xf>
    <xf numFmtId="0" fontId="18" fillId="24" borderId="59" xfId="0" applyFont="1" applyFill="1" applyBorder="1" applyAlignment="1">
      <alignment horizontal="left"/>
    </xf>
    <xf numFmtId="0" fontId="22" fillId="0" borderId="62" xfId="0" applyFont="1" applyBorder="1" applyAlignment="1">
      <alignment horizontal="center" vertical="center"/>
    </xf>
    <xf numFmtId="0" fontId="18" fillId="2" borderId="62" xfId="0" applyFont="1" applyFill="1" applyBorder="1" applyAlignment="1">
      <alignment horizontal="center" vertical="center"/>
    </xf>
    <xf numFmtId="0" fontId="18" fillId="0" borderId="62" xfId="0" applyFont="1" applyBorder="1" applyAlignment="1">
      <alignment horizontal="center" vertical="center"/>
    </xf>
    <xf numFmtId="0" fontId="18" fillId="2" borderId="63" xfId="0" applyFont="1" applyFill="1" applyBorder="1" applyAlignment="1">
      <alignment horizontal="center" vertical="center"/>
    </xf>
    <xf numFmtId="0" fontId="18" fillId="0" borderId="19" xfId="0" applyFont="1" applyBorder="1" applyAlignment="1">
      <alignment horizontal="left" vertical="center"/>
    </xf>
    <xf numFmtId="0" fontId="18" fillId="0" borderId="17" xfId="0" applyFont="1" applyBorder="1" applyAlignment="1">
      <alignment horizontal="left" vertical="center"/>
    </xf>
    <xf numFmtId="0" fontId="16" fillId="4"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3" xfId="0" applyFont="1" applyFill="1" applyBorder="1" applyAlignment="1">
      <alignment horizontal="center" vertical="center"/>
    </xf>
    <xf numFmtId="0" fontId="17" fillId="20" borderId="1" xfId="0" applyFont="1" applyFill="1" applyBorder="1" applyAlignment="1">
      <alignment horizontal="center"/>
    </xf>
    <xf numFmtId="0" fontId="17" fillId="20" borderId="2" xfId="0" applyFont="1" applyFill="1" applyBorder="1" applyAlignment="1">
      <alignment horizontal="center"/>
    </xf>
    <xf numFmtId="0" fontId="17" fillId="10" borderId="1" xfId="0" applyFont="1" applyFill="1" applyBorder="1" applyAlignment="1">
      <alignment horizontal="center"/>
    </xf>
    <xf numFmtId="0" fontId="17" fillId="10" borderId="2" xfId="0" applyFont="1" applyFill="1" applyBorder="1" applyAlignment="1">
      <alignment horizontal="center"/>
    </xf>
    <xf numFmtId="0" fontId="16" fillId="4" borderId="7" xfId="0" applyFont="1" applyFill="1" applyBorder="1" applyAlignment="1">
      <alignment horizontal="center" vertical="center"/>
    </xf>
    <xf numFmtId="0" fontId="16" fillId="4" borderId="0" xfId="0" applyFont="1" applyFill="1" applyAlignment="1">
      <alignment horizontal="center" vertical="center"/>
    </xf>
    <xf numFmtId="0" fontId="16" fillId="4" borderId="9"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17" fillId="23" borderId="1" xfId="0" applyFont="1" applyFill="1" applyBorder="1" applyAlignment="1">
      <alignment horizontal="center" vertical="top"/>
    </xf>
    <xf numFmtId="0" fontId="17" fillId="23" borderId="2" xfId="0" applyFont="1" applyFill="1" applyBorder="1" applyAlignment="1">
      <alignment horizontal="center" vertical="top"/>
    </xf>
    <xf numFmtId="0" fontId="17" fillId="5" borderId="1" xfId="0" applyFont="1" applyFill="1" applyBorder="1" applyAlignment="1">
      <alignment horizontal="center"/>
    </xf>
    <xf numFmtId="0" fontId="17" fillId="5" borderId="2" xfId="0" applyFont="1" applyFill="1" applyBorder="1" applyAlignment="1">
      <alignment horizontal="center"/>
    </xf>
    <xf numFmtId="0" fontId="17" fillId="6" borderId="1" xfId="0" applyFont="1" applyFill="1" applyBorder="1" applyAlignment="1">
      <alignment horizontal="center"/>
    </xf>
    <xf numFmtId="0" fontId="17" fillId="6" borderId="2" xfId="0" applyFont="1" applyFill="1" applyBorder="1" applyAlignment="1">
      <alignment horizontal="center"/>
    </xf>
    <xf numFmtId="0" fontId="17" fillId="7" borderId="1" xfId="0" applyFont="1" applyFill="1" applyBorder="1" applyAlignment="1">
      <alignment horizontal="center"/>
    </xf>
    <xf numFmtId="0" fontId="17" fillId="7" borderId="2" xfId="0" applyFont="1" applyFill="1" applyBorder="1" applyAlignment="1">
      <alignment horizontal="center"/>
    </xf>
    <xf numFmtId="0" fontId="17" fillId="7" borderId="3" xfId="0" applyFont="1" applyFill="1" applyBorder="1" applyAlignment="1">
      <alignment horizontal="center"/>
    </xf>
    <xf numFmtId="0" fontId="17" fillId="9" borderId="1" xfId="0" applyFont="1" applyFill="1" applyBorder="1" applyAlignment="1">
      <alignment horizontal="center"/>
    </xf>
    <xf numFmtId="0" fontId="17" fillId="9" borderId="2" xfId="0" applyFont="1" applyFill="1" applyBorder="1" applyAlignment="1">
      <alignment horizontal="center"/>
    </xf>
    <xf numFmtId="0" fontId="17" fillId="24" borderId="1" xfId="0" applyFont="1" applyFill="1" applyBorder="1" applyAlignment="1">
      <alignment horizontal="center" vertical="top"/>
    </xf>
    <xf numFmtId="0" fontId="17" fillId="24" borderId="2" xfId="0" applyFont="1" applyFill="1" applyBorder="1" applyAlignment="1">
      <alignment horizontal="center" vertical="top"/>
    </xf>
    <xf numFmtId="0" fontId="17" fillId="21" borderId="1" xfId="0" applyFont="1" applyFill="1" applyBorder="1" applyAlignment="1">
      <alignment horizontal="center" vertical="top"/>
    </xf>
    <xf numFmtId="0" fontId="17" fillId="21" borderId="2" xfId="0" applyFont="1" applyFill="1" applyBorder="1" applyAlignment="1">
      <alignment horizontal="center" vertical="top"/>
    </xf>
    <xf numFmtId="0" fontId="3" fillId="0" borderId="5"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11" xfId="0" applyFont="1" applyBorder="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5" fillId="0" borderId="6" xfId="0" applyFont="1" applyBorder="1" applyAlignment="1">
      <alignment horizontal="center" vertical="center"/>
    </xf>
    <xf numFmtId="0" fontId="5" fillId="0" borderId="11" xfId="0" applyFont="1" applyBorder="1" applyAlignment="1">
      <alignment horizontal="center" vertical="center"/>
    </xf>
    <xf numFmtId="0" fontId="5" fillId="0" borderId="9" xfId="0" applyFont="1" applyBorder="1" applyAlignment="1">
      <alignment horizontal="center"/>
    </xf>
    <xf numFmtId="0" fontId="5" fillId="0" borderId="10" xfId="0" applyFont="1" applyBorder="1" applyAlignment="1">
      <alignment horizontal="center"/>
    </xf>
    <xf numFmtId="0" fontId="5" fillId="0" borderId="25" xfId="0" applyFont="1" applyBorder="1"/>
    <xf numFmtId="0" fontId="5" fillId="0" borderId="11" xfId="0" applyFont="1" applyBorder="1" applyAlignment="1">
      <alignment horizontal="left" vertical="top" wrapText="1"/>
    </xf>
    <xf numFmtId="0" fontId="5" fillId="0" borderId="17" xfId="0" applyFont="1" applyBorder="1" applyAlignment="1">
      <alignment horizontal="center" vertical="center"/>
    </xf>
    <xf numFmtId="0" fontId="5" fillId="0" borderId="20" xfId="0" applyFont="1" applyBorder="1" applyAlignment="1">
      <alignment horizontal="center" vertical="center"/>
    </xf>
    <xf numFmtId="0" fontId="5" fillId="0" borderId="26" xfId="0" applyFont="1" applyBorder="1" applyAlignment="1">
      <alignment horizontal="center" vertical="center"/>
    </xf>
    <xf numFmtId="0" fontId="5" fillId="0" borderId="56" xfId="0" applyFont="1" applyBorder="1" applyAlignment="1">
      <alignment horizontal="center" vertic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xf numFmtId="0" fontId="5" fillId="0" borderId="6" xfId="0" applyFont="1" applyBorder="1" applyAlignment="1">
      <alignment horizontal="center" vertical="center" wrapText="1"/>
    </xf>
    <xf numFmtId="0" fontId="5" fillId="0" borderId="6" xfId="0" applyFont="1" applyBorder="1" applyAlignment="1">
      <alignment horizontal="left" vertical="top" wrapText="1"/>
    </xf>
    <xf numFmtId="0" fontId="5" fillId="0" borderId="17" xfId="0" applyFont="1" applyBorder="1" applyAlignment="1">
      <alignment horizontal="center" vertical="top" wrapText="1"/>
    </xf>
    <xf numFmtId="0" fontId="5" fillId="0" borderId="20" xfId="0" applyFont="1" applyBorder="1" applyAlignment="1">
      <alignment horizontal="center" vertical="top" wrapText="1"/>
    </xf>
    <xf numFmtId="0" fontId="5" fillId="0" borderId="21" xfId="0" applyFont="1" applyBorder="1" applyAlignment="1">
      <alignment horizontal="center" vertical="top" wrapText="1"/>
    </xf>
    <xf numFmtId="0" fontId="5" fillId="0" borderId="29" xfId="0" applyFont="1" applyBorder="1" applyAlignment="1">
      <alignment horizontal="center" vertical="center"/>
    </xf>
    <xf numFmtId="0" fontId="5" fillId="0" borderId="28" xfId="0" applyFont="1" applyBorder="1" applyAlignment="1">
      <alignment horizontal="center" vertical="center"/>
    </xf>
    <xf numFmtId="0" fontId="5" fillId="0" borderId="35" xfId="0" applyFont="1" applyBorder="1" applyAlignment="1">
      <alignment horizontal="center" vertical="center"/>
    </xf>
    <xf numFmtId="0" fontId="0" fillId="0" borderId="0" xfId="0" applyAlignment="1">
      <alignment horizontal="center"/>
    </xf>
  </cellXfs>
  <cellStyles count="3">
    <cellStyle name="Currency" xfId="1" builtinId="4"/>
    <cellStyle name="Neutral" xfId="2" builtinId="28"/>
    <cellStyle name="Normal" xfId="0" builtinId="0"/>
  </cellStyles>
  <dxfs count="13364">
    <dxf>
      <font>
        <color rgb="FFE7484D"/>
      </font>
      <fill>
        <patternFill patternType="solid">
          <fgColor rgb="FFF8CDCF"/>
          <bgColor rgb="FFF8CDCF"/>
        </patternFill>
      </fill>
    </dxf>
    <dxf>
      <fill>
        <patternFill patternType="solid">
          <fgColor rgb="FFBFBFBF"/>
          <bgColor rgb="FFBFBFBF"/>
        </patternFill>
      </fill>
    </dxf>
    <dxf>
      <font>
        <color rgb="FF006100"/>
      </font>
      <fill>
        <patternFill patternType="solid">
          <fgColor rgb="FFC6EFCE"/>
          <bgColor rgb="FFC6EFCE"/>
        </patternFill>
      </fill>
    </dxf>
    <dxf>
      <font>
        <color rgb="FFE7484D"/>
      </font>
      <fill>
        <patternFill patternType="solid">
          <fgColor rgb="FFF8CDCF"/>
          <bgColor rgb="FFF8CDC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E7484D"/>
      </font>
      <fill>
        <patternFill patternType="solid">
          <fgColor rgb="FFF8CDCF"/>
          <bgColor rgb="FFF8CDCF"/>
        </patternFill>
      </fill>
    </dxf>
    <dxf>
      <fill>
        <patternFill patternType="solid">
          <fgColor rgb="FFBFBFBF"/>
          <bgColor rgb="FFBFBFBF"/>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5700"/>
      </font>
      <fill>
        <patternFill>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0006"/>
      </font>
      <fill>
        <patternFill>
          <bgColor rgb="FFFFC7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0006"/>
      </font>
      <fill>
        <patternFill>
          <bgColor rgb="FFFFC7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bgColor rgb="FFFFC7CE"/>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patternType="solid">
          <fgColor rgb="FFC6EFCE"/>
          <bgColor rgb="FFC6EF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5700"/>
      </font>
      <fill>
        <patternFill>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ill>
        <patternFill patternType="solid">
          <fgColor rgb="FFBFBFBF"/>
          <bgColor rgb="FFBFBFBF"/>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0006"/>
      </font>
      <fill>
        <patternFill>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ill>
        <patternFill patternType="solid">
          <fgColor rgb="FFBFBFBF"/>
          <bgColor rgb="FFBFBFBF"/>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6500"/>
      </font>
      <fill>
        <patternFill patternType="solid">
          <fgColor rgb="FFFFEB9C"/>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9C0006"/>
      </font>
      <fill>
        <patternFill>
          <bgColor rgb="FFFFC7CE"/>
        </patternFill>
      </fill>
    </dxf>
    <dxf>
      <font>
        <color rgb="FF006100"/>
      </font>
      <fill>
        <patternFill patternType="solid">
          <fgColor rgb="FFC6EFCE"/>
          <bgColor rgb="FFC6EF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0006"/>
      </font>
      <fill>
        <patternFill>
          <bgColor rgb="FFFFC7CE"/>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006100"/>
      </font>
      <fill>
        <patternFill>
          <bgColor rgb="FFC6EFCE"/>
        </patternFill>
      </fill>
    </dxf>
    <dxf>
      <font>
        <color rgb="FF006100"/>
      </font>
      <fill>
        <patternFill>
          <bgColor rgb="FFC6EFCE"/>
        </patternFill>
      </fill>
    </dxf>
    <dxf>
      <font>
        <color rgb="FF006100"/>
      </font>
      <fill>
        <patternFill patternType="solid">
          <fgColor rgb="FFC6EFCE"/>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5700"/>
      </font>
      <fill>
        <patternFill>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5700"/>
      </font>
      <fill>
        <patternFill>
          <bgColor rgb="FFFFEB9C"/>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ont>
        <color rgb="FF006100"/>
      </font>
      <fill>
        <patternFill>
          <bgColor rgb="FFC6EFCE"/>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bgColor rgb="FFC6EF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0006"/>
      </font>
      <fill>
        <patternFill>
          <bgColor rgb="FFFFC7CE"/>
        </patternFill>
      </fill>
    </dxf>
    <dxf>
      <font>
        <color rgb="FF006100"/>
      </font>
      <fill>
        <patternFill>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0006"/>
      </font>
      <fill>
        <patternFill>
          <bgColor rgb="FFFFC7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9C6500"/>
      </font>
      <fill>
        <patternFill patternType="solid">
          <fgColor rgb="FFFFEB9C"/>
          <bgColor rgb="FFFFEB9C"/>
        </patternFill>
      </fill>
    </dxf>
    <dxf>
      <font>
        <color rgb="FF9C5700"/>
      </font>
      <fill>
        <patternFill>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ont>
        <color rgb="FF9C6500"/>
      </font>
      <fill>
        <patternFill patternType="solid">
          <fgColor rgb="FFFFEB9C"/>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0006"/>
      </font>
      <fill>
        <patternFill>
          <bgColor rgb="FFFFC7CE"/>
        </patternFill>
      </fill>
    </dxf>
    <dxf>
      <font>
        <color rgb="FF9C5700"/>
      </font>
      <fill>
        <patternFill>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0006"/>
      </font>
      <fill>
        <patternFill>
          <bgColor rgb="FFFFC7CE"/>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0006"/>
      </font>
      <fill>
        <patternFill>
          <bgColor rgb="FFFFC7CE"/>
        </patternFill>
      </fill>
    </dxf>
    <dxf>
      <fill>
        <patternFill patternType="solid">
          <fgColor rgb="FFBFBFBF"/>
          <bgColor rgb="FFBFBFBF"/>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bgColor rgb="FFC6EFCE"/>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9C5700"/>
      </font>
      <fill>
        <patternFill>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9C6500"/>
      </font>
      <fill>
        <patternFill patternType="solid">
          <fgColor rgb="FFFFEB9C"/>
          <bgColor rgb="FFFFEB9C"/>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006100"/>
      </font>
      <fill>
        <patternFill>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0006"/>
      </font>
      <fill>
        <patternFill>
          <bgColor rgb="FFFFC7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5700"/>
      </font>
      <fill>
        <patternFill>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5700"/>
      </font>
      <fill>
        <patternFill>
          <bgColor rgb="FFFFEB9C"/>
        </patternFill>
      </fill>
    </dxf>
    <dxf>
      <font>
        <color rgb="FF9C0006"/>
      </font>
      <fill>
        <patternFill>
          <bgColor rgb="FFFFC7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bgColor rgb="FFC6EFCE"/>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bgColor rgb="FFC6EFCE"/>
        </patternFill>
      </fill>
    </dxf>
    <dxf>
      <font>
        <color rgb="FF9C5700"/>
      </font>
      <fill>
        <patternFill>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5700"/>
      </font>
      <fill>
        <patternFill>
          <bgColor rgb="FFFFEB9C"/>
        </patternFill>
      </fill>
    </dxf>
    <dxf>
      <font>
        <color rgb="FF9C0006"/>
      </font>
      <fill>
        <patternFill>
          <bgColor rgb="FFFFC7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5700"/>
      </font>
      <fill>
        <patternFill>
          <bgColor rgb="FFFFEB9C"/>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bgColor rgb="FFC6EFCE"/>
        </patternFill>
      </fill>
    </dxf>
    <dxf>
      <font>
        <color rgb="FF9C5700"/>
      </font>
      <fill>
        <patternFill>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bgColor rgb="FFC6EFCE"/>
        </patternFill>
      </fill>
    </dxf>
    <dxf>
      <font>
        <color rgb="FF9C5700"/>
      </font>
      <fill>
        <patternFill>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5700"/>
      </font>
      <fill>
        <patternFill>
          <bgColor rgb="FFFFEB9C"/>
        </patternFill>
      </fill>
    </dxf>
    <dxf>
      <fill>
        <patternFill patternType="solid">
          <fgColor rgb="FFBFBFBF"/>
          <bgColor rgb="FFBFBFBF"/>
        </patternFill>
      </fill>
    </dxf>
    <dxf>
      <font>
        <color rgb="FF006100"/>
      </font>
      <fill>
        <patternFill>
          <bgColor rgb="FFC6EFCE"/>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9C6500"/>
      </font>
      <fill>
        <patternFill patternType="solid">
          <fgColor rgb="FFFFEB9C"/>
          <bgColor rgb="FFFFEB9C"/>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ill>
        <patternFill patternType="solid">
          <fgColor rgb="FFBFBFBF"/>
          <bgColor rgb="FFBFBFBF"/>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s>
  <tableStyles count="0" defaultTableStyle="TableStyleMedium2" defaultPivotStyle="PivotStyleLight16"/>
  <colors>
    <mruColors>
      <color rgb="FFD2F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ahantesh Kembhavi" id="{D726F55E-819C-D35D-AD48-686DA92C8A5A}" userId="281" providerId="Teamlab"/>
  <person displayName="Venkatesha H S" id="{C91381B9-596C-6BBF-7740-0F3F43F0A1CA}" userId="301" providerId="Teamlab"/>
  <person displayName="Keshava Murthy N S" id="{73B0FDB3-8E1D-4CAF-8099-E75868AB4169}" userId="323" providerId="Teamlab"/>
  <person displayName="Aruna Hegde" id="{ADBBC19C-7922-3781-DD8B-8B9BCD443D32}" userId="497" providerId="Teamlab"/>
  <person displayName="Vellala Sainadh" id="{9DB81778-8F86-58F3-628F-B6A1B9A1A01D}" userId="513" providerId="Teamlab"/>
  <person displayName="Badri Narayanan S" id="{58480F3E-F68A-151B-497E-974ACC101DD1}" userId="515" providerId="Teamlab"/>
  <person displayName="Badri Narayanan" id="{B7F6D00E-895C-4D45-8360-F8A64E8975DC}" userId="S::badri.n@bclindia.in::72db710b-4b83-4ec0-a38e-163e727f0811" providerId="AD"/>
  <person displayName="Keshava Murthy N S" id="{36BBD562-0053-49E4-B737-E2626743D23E}" userId="S::keshava@bclindia.in::0489a0a7-e616-4871-a488-fa29f049d376" providerId="AD"/>
  <person displayName="Sainadh" id="{2AE2B6B1-117C-412C-9C85-6CA1C70DA00B}" userId="S::sainadh.v@bclindia.in::1053e17c-b11b-41b5-866e-7e49683e8e15" providerId="AD"/>
  <person displayName="Sharan Prakash" id="{E03D1E85-3CA1-49C5-8046-EE425F30A710}" userId="S::sharan.prakash@bclindia.in::a48ade7c-a5ff-435c-b10c-9091dd7df72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8" dT="2024-03-25T11:01:41.44" personId="{D726F55E-819C-D35D-AD48-686DA92C8A5A}" id="{6C4F7C23-D1A7-833F-FECB-4F9723325CB2}">
    <text xml:space="preserve">Effective from April'24
</text>
  </threadedComment>
  <threadedComment ref="H18" dT="2024-05-07T07:19:21.79" personId="{73B0FDB3-8E1D-4CAF-8099-E75868AB4169}" id="{A725C730-5B11-1C6E-70A3-3FA57F2D26A7}">
    <text xml:space="preserve">It may change based on employees
</text>
  </threadedComment>
  <threadedComment ref="J18" dT="2024-05-07T07:19:58.47" personId="{73B0FDB3-8E1D-4CAF-8099-E75868AB4169}" id="{6CE4D442-A9D8-4A33-D605-AB1FB90EA41C}">
    <text xml:space="preserve">Invoice raise based on employees
</text>
  </threadedComment>
  <threadedComment ref="J20" dT="2025-01-20T07:00:22.31" personId="{73B0FDB3-8E1D-4CAF-8099-E75868AB4169}" id="{AAF27838-3AC4-18EB-FD26-FEA8A52F028F}">
    <text xml:space="preserve">Increment based on employees count
</text>
  </threadedComment>
  <threadedComment ref="I29" dT="2024-05-07T07:47:22.02" personId="{73B0FDB3-8E1D-4CAF-8099-E75868AB4169}" id="{7D050D6B-939F-48E6-6FA2-F2F4B60F4C92}">
    <text xml:space="preserve">Rs. 8250 per quarter for Secretetial Services
</text>
  </threadedComment>
  <threadedComment ref="CF30" dT="2024-05-09T06:52:10.06" personId="{73B0FDB3-8E1D-4CAF-8099-E75868AB4169}" id="{87003478-028A-42E5-5A1B-11547F1A0DBA}">
    <text xml:space="preserve">Aruna Hegde's details mentioned
</text>
  </threadedComment>
  <threadedComment ref="H31" dT="2025-06-16T13:42:00.46" personId="{36BBD562-0053-49E4-B737-E2626743D23E}" id="{1F7FA338-71BF-4B48-91FD-B3A3AF431C4A}">
    <text>It may change based on employees</text>
  </threadedComment>
  <threadedComment ref="I36" dT="2024-04-12T08:55:49.34" personId="{9DB81778-8F86-58F3-628F-B6A1B9A1A01D}" id="{F40722D4-53D9-6D89-EAB1-3B75B0FF82CB}">
    <text xml:space="preserve">ETDS filing fees per quarter
</text>
  </threadedComment>
  <threadedComment ref="BH39" dT="2024-04-22T07:52:08.99" personId="{9DB81778-8F86-58F3-628F-B6A1B9A1A01D}" id="{CAFDB5AC-3817-D27B-4268-CAB8737B947C}">
    <text xml:space="preserve">ITC we are offsetting with Domestic sales liability
</text>
  </threadedComment>
</ThreadedComments>
</file>

<file path=xl/threadedComments/threadedComment3.xml><?xml version="1.0" encoding="utf-8"?>
<ThreadedComments xmlns="http://schemas.microsoft.com/office/spreadsheetml/2018/threadedcomments" xmlns:x="http://schemas.openxmlformats.org/spreadsheetml/2006/main">
  <threadedComment ref="AF16" dT="2024-04-17T09:29:19.93" personId="{ADBBC19C-7922-3781-DD8B-8B9BCD443D32}" id="{1E7886FD-9D25-3EED-B766-462B6135C893}">
    <text xml:space="preserve">10,000 as we are closing the company. Remaining one lakh will be paid from Yaga OU
</text>
  </threadedComment>
  <threadedComment ref="AG16" dT="2024-04-17T09:29:19.93" personId="{ADBBC19C-7922-3781-DD8B-8B9BCD443D32}" id="{277F5A10-0D8D-FD2C-3CF9-E909EEEFB32A}">
    <text xml:space="preserve">10,000 as we are closing the company. Remaining one lakh will be paid from Yaga OU
</text>
  </threadedComment>
  <threadedComment ref="J26" dT="2024-05-16T06:49:49.92" personId="{58480F3E-F68A-151B-497E-974ACC101DD1}" id="{AE2FF46B-8B65-A04C-BB2C-E5ECF8716BB8}">
    <text xml:space="preserve">Bank statement is pending with the client. Follow-up is under process for the same.
</text>
  </threadedComment>
  <threadedComment ref="W26" dT="2024-10-28T11:51:39.61" personId="{58480F3E-F68A-151B-497E-974ACC101DD1}" id="{8CE5D103-9F03-8FC4-29E4-4D95A6EF1434}">
    <text xml:space="preserve">External ROC team
</text>
  </threadedComment>
  <threadedComment ref="X26" dT="2024-10-28T11:51:39.61" personId="{58480F3E-F68A-151B-497E-974ACC101DD1}" id="{D98541C2-491F-09B4-01F9-58D6FF8C611A}">
    <text xml:space="preserve">External ROC team
</text>
  </threadedComment>
  <threadedComment ref="J27" dT="2024-05-16T06:49:49.92" personId="{58480F3E-F68A-151B-497E-974ACC101DD1}" id="{ACAE0166-B809-70F3-2F23-6470E58012C4}">
    <text xml:space="preserve">Bank statement is pending with the client. Follow-up is under process for the same.
</text>
  </threadedComment>
  <threadedComment ref="W30" dT="2024-10-28T11:51:39.61" personId="{58480F3E-F68A-151B-497E-974ACC101DD1}" id="{6A89DCDD-EF47-3CA4-EF53-BBA7E7481C90}">
    <text xml:space="preserve">External ROC team
</text>
  </threadedComment>
  <threadedComment ref="X30" dT="2024-10-28T11:51:39.61" personId="{58480F3E-F68A-151B-497E-974ACC101DD1}" id="{324C1395-B8EE-6044-E4F9-6D08311300C9}">
    <text xml:space="preserve">External ROC team
</text>
  </threadedComment>
  <threadedComment ref="I36" dT="2024-04-22T11:22:30.79" personId="{9DB81778-8F86-58F3-628F-B6A1B9A1A01D}" id="{962D87CD-80BE-80B3-8F78-0A82A2E81EB7}">
    <text xml:space="preserve">To be discussed with Soniya
</text>
  </threadedComment>
  <threadedComment ref="AF36" dT="2024-04-22T10:56:37.74" personId="{9DB81778-8F86-58F3-628F-B6A1B9A1A01D}" id="{D2366713-8E63-5334-8FF8-ACE063EA9BB6}">
    <text xml:space="preserve">To be discussed
</text>
  </threadedComment>
</ThreadedComments>
</file>

<file path=xl/threadedComments/threadedComment4.xml><?xml version="1.0" encoding="utf-8"?>
<ThreadedComments xmlns="http://schemas.microsoft.com/office/spreadsheetml/2018/threadedcomments" xmlns:x="http://schemas.openxmlformats.org/spreadsheetml/2006/main">
  <threadedComment ref="AF16" dT="2024-04-17T09:29:19.93" personId="{ADBBC19C-7922-3781-DD8B-8B9BCD443D32}" id="{D876792C-1B01-D897-CB62-4E1E41D517D9}">
    <text xml:space="preserve">10,000 as we are closing the company. Remaining one lakh will be paid from Yaga OU
</text>
  </threadedComment>
  <threadedComment ref="AG16" dT="2024-04-17T09:29:19.93" personId="{ADBBC19C-7922-3781-DD8B-8B9BCD443D32}" id="{BBFB59EC-D3B8-5582-0B80-31457A33C38A}">
    <text xml:space="preserve">10,000 as we are closing the company. Remaining one lakh will be paid from Yaga OU
</text>
  </threadedComment>
  <threadedComment ref="J26" dT="2024-05-16T06:49:49.92" personId="{58480F3E-F68A-151B-497E-974ACC101DD1}" id="{76C7B71A-EE1C-76E0-9DED-3918FBED9CB7}">
    <text xml:space="preserve">Bank statement is pending with the client. Follow-up is under process for the same.
</text>
  </threadedComment>
  <threadedComment ref="W26" dT="2024-10-28T11:51:39.61" personId="{58480F3E-F68A-151B-497E-974ACC101DD1}" id="{9782FAAF-BEEA-69DF-5C0E-C4FCA2B35F21}">
    <text xml:space="preserve">External ROC team
</text>
  </threadedComment>
  <threadedComment ref="X26" dT="2024-10-28T11:51:39.61" personId="{58480F3E-F68A-151B-497E-974ACC101DD1}" id="{DACFC238-58FA-0ADB-B463-59784A99B84F}">
    <text xml:space="preserve">External ROC team
</text>
  </threadedComment>
  <threadedComment ref="J27" dT="2024-05-16T06:49:49.92" personId="{58480F3E-F68A-151B-497E-974ACC101DD1}" id="{D32CEF2F-30DE-D0E2-2861-4374004B224E}">
    <text xml:space="preserve">Bank statement is pending with the client. Follow-up is under process for the same.
</text>
  </threadedComment>
  <threadedComment ref="W30" dT="2024-10-28T11:51:39.61" personId="{58480F3E-F68A-151B-497E-974ACC101DD1}" id="{2161DCE7-08FB-61F0-645B-345BAA3873E2}">
    <text xml:space="preserve">External ROC team
</text>
  </threadedComment>
  <threadedComment ref="X30" dT="2024-10-28T11:51:39.61" personId="{58480F3E-F68A-151B-497E-974ACC101DD1}" id="{F834E9E7-71FB-496D-90FA-A9F4B23A2DC9}">
    <text xml:space="preserve">External ROC team
</text>
  </threadedComment>
  <threadedComment ref="I36" dT="2024-04-22T11:22:30.79" personId="{9DB81778-8F86-58F3-628F-B6A1B9A1A01D}" id="{1C68943F-A365-F21E-8C77-0646594FB8F8}">
    <text xml:space="preserve">To be discussed with Soniya
</text>
  </threadedComment>
  <threadedComment ref="AF36" dT="2024-04-22T10:56:37.74" personId="{9DB81778-8F86-58F3-628F-B6A1B9A1A01D}" id="{2FB190A2-92E2-5E9D-43D3-DBE5655E57DA}">
    <text xml:space="preserve">To be discussed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E5387-6D9E-458F-8700-61777E249292}">
  <dimension ref="A1:B13"/>
  <sheetViews>
    <sheetView workbookViewId="0">
      <selection activeCell="B7" sqref="B7"/>
    </sheetView>
  </sheetViews>
  <sheetFormatPr defaultColWidth="8.85546875" defaultRowHeight="15" x14ac:dyDescent="0.25"/>
  <cols>
    <col min="2" max="2" width="123.7109375" bestFit="1" customWidth="1"/>
  </cols>
  <sheetData>
    <row r="1" spans="1:2" x14ac:dyDescent="0.25">
      <c r="A1" t="s">
        <v>0</v>
      </c>
    </row>
    <row r="3" spans="1:2" x14ac:dyDescent="0.25">
      <c r="A3" s="88">
        <v>1</v>
      </c>
      <c r="B3" t="s">
        <v>1</v>
      </c>
    </row>
    <row r="4" spans="1:2" x14ac:dyDescent="0.25">
      <c r="A4" s="88">
        <v>2</v>
      </c>
      <c r="B4" t="s">
        <v>2</v>
      </c>
    </row>
    <row r="5" spans="1:2" x14ac:dyDescent="0.25">
      <c r="A5" s="88">
        <v>3</v>
      </c>
      <c r="B5" t="s">
        <v>3</v>
      </c>
    </row>
    <row r="6" spans="1:2" x14ac:dyDescent="0.25">
      <c r="A6" s="88">
        <v>4</v>
      </c>
      <c r="B6" t="s">
        <v>4</v>
      </c>
    </row>
    <row r="7" spans="1:2" x14ac:dyDescent="0.25">
      <c r="A7" s="88">
        <v>5</v>
      </c>
      <c r="B7" t="s">
        <v>5</v>
      </c>
    </row>
    <row r="8" spans="1:2" x14ac:dyDescent="0.25">
      <c r="A8" s="88">
        <v>6</v>
      </c>
      <c r="B8" t="s">
        <v>6</v>
      </c>
    </row>
    <row r="11" spans="1:2" x14ac:dyDescent="0.25">
      <c r="A11" s="297" t="s">
        <v>7</v>
      </c>
    </row>
    <row r="12" spans="1:2" x14ac:dyDescent="0.25">
      <c r="A12" s="88">
        <v>1</v>
      </c>
      <c r="B12" t="s">
        <v>8</v>
      </c>
    </row>
    <row r="13" spans="1:2" x14ac:dyDescent="0.25">
      <c r="A13" s="88">
        <v>2</v>
      </c>
      <c r="B1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IC193"/>
  <sheetViews>
    <sheetView showGridLines="0" tabSelected="1" zoomScale="114" workbookViewId="0">
      <pane xSplit="1" ySplit="4" topLeftCell="BJ65" activePane="bottomRight" state="frozen"/>
      <selection pane="topRight"/>
      <selection pane="bottomLeft"/>
      <selection pane="bottomRight" activeCell="M63" sqref="M63"/>
    </sheetView>
  </sheetViews>
  <sheetFormatPr defaultColWidth="8.7109375" defaultRowHeight="15" customHeight="1" outlineLevelCol="1" x14ac:dyDescent="0.2"/>
  <cols>
    <col min="1" max="1" width="36.42578125" style="128" customWidth="1"/>
    <col min="2" max="2" width="19" style="128" customWidth="1"/>
    <col min="3" max="3" width="17.7109375" style="127" customWidth="1"/>
    <col min="4" max="4" width="17.42578125" style="127" bestFit="1" customWidth="1"/>
    <col min="5" max="5" width="11.42578125" style="127" customWidth="1"/>
    <col min="6" max="6" width="14.28515625" style="127" customWidth="1"/>
    <col min="7" max="7" width="11.42578125" style="127" customWidth="1"/>
    <col min="8" max="8" width="13" style="240" customWidth="1"/>
    <col min="9" max="10" width="8.7109375" style="127" customWidth="1"/>
    <col min="11" max="11" width="9.85546875" style="127" customWidth="1" outlineLevel="1"/>
    <col min="12" max="12" width="10.140625" style="127" customWidth="1" outlineLevel="1"/>
    <col min="13" max="13" width="10.42578125" style="127" customWidth="1" outlineLevel="1"/>
    <col min="14" max="14" width="10.140625" style="127" customWidth="1" outlineLevel="1"/>
    <col min="15" max="15" width="8.7109375" style="129" customWidth="1"/>
    <col min="16" max="18" width="8.7109375" style="137" customWidth="1"/>
    <col min="19" max="24" width="8.7109375" style="137"/>
    <col min="25" max="25" width="10.140625" style="137" customWidth="1"/>
    <col min="26" max="30" width="8.7109375" style="137"/>
    <col min="31" max="31" width="10.42578125" style="137" customWidth="1"/>
    <col min="32" max="32" width="10.7109375" style="137" customWidth="1"/>
    <col min="33" max="33" width="15.42578125" style="137" customWidth="1"/>
    <col min="34" max="34" width="11.42578125" style="137" customWidth="1"/>
    <col min="35" max="35" width="13.42578125" style="129" customWidth="1"/>
    <col min="36" max="36" width="8.7109375" style="137" bestFit="1" customWidth="1"/>
    <col min="37" max="38" width="10.140625" style="137" customWidth="1"/>
    <col min="39" max="39" width="8.7109375" style="137" customWidth="1"/>
    <col min="40" max="46" width="8.7109375" style="137" bestFit="1" customWidth="1"/>
    <col min="47" max="47" width="8.7109375" style="137" customWidth="1"/>
    <col min="48" max="48" width="7.42578125" style="137" hidden="1" customWidth="1"/>
    <col min="49" max="52" width="8.7109375" style="137" hidden="1" customWidth="1"/>
    <col min="53" max="53" width="10.42578125" style="137" hidden="1" customWidth="1"/>
    <col min="54" max="54" width="13.140625" style="137" customWidth="1"/>
    <col min="55" max="58" width="13.140625" style="137" hidden="1" customWidth="1"/>
    <col min="59" max="59" width="8.7109375" style="137" customWidth="1"/>
    <col min="60" max="60" width="21.42578125" style="129" bestFit="1" customWidth="1"/>
    <col min="61" max="61" width="16.7109375" style="129" customWidth="1"/>
    <col min="62" max="62" width="20" style="129" customWidth="1"/>
    <col min="63" max="63" width="17.42578125" style="129" customWidth="1"/>
    <col min="64" max="64" width="14.140625" style="129" customWidth="1"/>
    <col min="65" max="65" width="13.140625" style="129" customWidth="1"/>
    <col min="66" max="66" width="15.85546875" style="129" customWidth="1"/>
    <col min="67" max="67" width="12.7109375" style="129" customWidth="1"/>
    <col min="68" max="68" width="14.42578125" style="129" customWidth="1"/>
    <col min="69" max="93" width="8.7109375" style="137"/>
    <col min="94" max="94" width="11.42578125" style="137" customWidth="1"/>
    <col min="95" max="95" width="10.140625" style="137" customWidth="1"/>
    <col min="96" max="97" width="10.7109375" style="137" customWidth="1"/>
    <col min="98" max="102" width="8.7109375" style="137"/>
    <col min="103" max="103" width="12" style="137" bestFit="1"/>
    <col min="104" max="105" width="8.7109375" style="137"/>
    <col min="106" max="106" width="10.7109375" style="137" customWidth="1"/>
    <col min="107" max="109" width="8.7109375" style="137"/>
    <col min="110" max="110" width="11.85546875" style="137" customWidth="1"/>
    <col min="111" max="112" width="8.7109375" style="137"/>
    <col min="113" max="16384" width="8.7109375" style="128"/>
  </cols>
  <sheetData>
    <row r="1" spans="1:114" ht="12" x14ac:dyDescent="0.2">
      <c r="A1" s="126" t="s">
        <v>10</v>
      </c>
      <c r="B1" s="126"/>
      <c r="H1" s="229"/>
    </row>
    <row r="2" spans="1:114" ht="12" x14ac:dyDescent="0.2">
      <c r="H2" s="230"/>
      <c r="O2" s="184" t="s">
        <v>11</v>
      </c>
      <c r="P2" s="130" t="s">
        <v>12</v>
      </c>
      <c r="Q2" s="130" t="s">
        <v>13</v>
      </c>
      <c r="R2" s="130" t="s">
        <v>14</v>
      </c>
      <c r="S2" s="130" t="s">
        <v>14</v>
      </c>
      <c r="T2" s="130" t="s">
        <v>15</v>
      </c>
      <c r="U2" s="130" t="s">
        <v>15</v>
      </c>
      <c r="V2" s="130" t="s">
        <v>15</v>
      </c>
      <c r="W2" s="130" t="s">
        <v>15</v>
      </c>
      <c r="X2" s="130" t="s">
        <v>15</v>
      </c>
      <c r="Y2" s="130" t="s">
        <v>16</v>
      </c>
      <c r="Z2" s="130" t="s">
        <v>16</v>
      </c>
      <c r="AA2" s="130" t="s">
        <v>14</v>
      </c>
      <c r="AB2" s="130" t="s">
        <v>14</v>
      </c>
      <c r="AC2" s="130" t="s">
        <v>14</v>
      </c>
      <c r="AD2" s="130" t="s">
        <v>14</v>
      </c>
      <c r="AE2" s="130" t="s">
        <v>11</v>
      </c>
      <c r="AF2" s="130" t="s">
        <v>11</v>
      </c>
      <c r="AG2" s="130" t="s">
        <v>17</v>
      </c>
      <c r="AH2" s="130" t="s">
        <v>17</v>
      </c>
      <c r="AI2" s="130" t="s">
        <v>17</v>
      </c>
      <c r="AJ2" s="129"/>
      <c r="AK2" s="185">
        <v>46006</v>
      </c>
      <c r="AL2" s="185">
        <v>46006</v>
      </c>
      <c r="AM2" s="129"/>
      <c r="AN2" s="282" t="s">
        <v>18</v>
      </c>
      <c r="AO2" s="282" t="s">
        <v>19</v>
      </c>
      <c r="AP2" s="282" t="s">
        <v>19</v>
      </c>
      <c r="AQ2" s="282" t="s">
        <v>19</v>
      </c>
      <c r="AR2" s="283" t="s">
        <v>20</v>
      </c>
      <c r="AS2" s="283" t="s">
        <v>20</v>
      </c>
      <c r="AT2" s="283" t="s">
        <v>20</v>
      </c>
      <c r="AU2" s="283" t="s">
        <v>21</v>
      </c>
      <c r="AV2" s="283" t="s">
        <v>22</v>
      </c>
      <c r="AW2" s="283" t="s">
        <v>23</v>
      </c>
      <c r="AX2" s="283" t="s">
        <v>24</v>
      </c>
      <c r="AY2" s="283" t="s">
        <v>25</v>
      </c>
      <c r="AZ2" s="283" t="s">
        <v>21</v>
      </c>
      <c r="BA2" s="283" t="s">
        <v>25</v>
      </c>
      <c r="BB2" s="282" t="s">
        <v>26</v>
      </c>
      <c r="BC2" s="282" t="s">
        <v>26</v>
      </c>
      <c r="BD2" s="282" t="s">
        <v>27</v>
      </c>
      <c r="BE2" s="282" t="s">
        <v>27</v>
      </c>
      <c r="BF2" s="282" t="s">
        <v>27</v>
      </c>
      <c r="BG2" s="284"/>
      <c r="BH2" s="285"/>
      <c r="BI2" s="285"/>
    </row>
    <row r="3" spans="1:114" ht="12" customHeight="1" x14ac:dyDescent="0.2">
      <c r="H3" s="230"/>
      <c r="O3" s="349" t="s">
        <v>28</v>
      </c>
      <c r="P3" s="350"/>
      <c r="Q3" s="350"/>
      <c r="R3" s="350"/>
      <c r="S3" s="350"/>
      <c r="T3" s="350"/>
      <c r="U3" s="350"/>
      <c r="V3" s="350"/>
      <c r="W3" s="350"/>
      <c r="X3" s="350"/>
      <c r="Y3" s="350"/>
      <c r="Z3" s="350"/>
      <c r="AA3" s="350"/>
      <c r="AB3" s="350"/>
      <c r="AC3" s="350"/>
      <c r="AD3" s="350"/>
      <c r="AE3" s="350"/>
      <c r="AF3" s="350"/>
      <c r="AG3" s="350"/>
      <c r="AH3" s="350"/>
      <c r="AI3" s="351"/>
      <c r="AK3" s="281"/>
      <c r="AL3" s="281"/>
      <c r="AN3" s="349" t="s">
        <v>29</v>
      </c>
      <c r="AO3" s="350"/>
      <c r="AP3" s="350"/>
      <c r="AQ3" s="350"/>
      <c r="AR3" s="350"/>
      <c r="AS3" s="350"/>
      <c r="AT3" s="350"/>
      <c r="AU3" s="350"/>
      <c r="AV3" s="350"/>
      <c r="AW3" s="350"/>
      <c r="AX3" s="350"/>
      <c r="AY3" s="350"/>
      <c r="AZ3" s="350"/>
      <c r="BA3" s="350"/>
      <c r="BB3" s="350"/>
      <c r="BC3" s="350"/>
      <c r="BD3" s="350"/>
      <c r="BE3" s="350"/>
      <c r="BF3" s="351"/>
      <c r="BH3" s="356" t="s">
        <v>30</v>
      </c>
      <c r="BI3" s="357"/>
      <c r="BJ3" s="357"/>
      <c r="BK3" s="357"/>
      <c r="BL3" s="357"/>
      <c r="BM3" s="357"/>
      <c r="BN3" s="357"/>
      <c r="BO3" s="357"/>
      <c r="BP3" s="357"/>
      <c r="BR3" s="356" t="s">
        <v>31</v>
      </c>
      <c r="BS3" s="357"/>
      <c r="BT3" s="357"/>
      <c r="BU3" s="357"/>
      <c r="BV3" s="357"/>
      <c r="BW3" s="357"/>
      <c r="BX3" s="357"/>
      <c r="BY3" s="357"/>
      <c r="BZ3" s="357"/>
      <c r="CA3" s="357"/>
      <c r="CB3" s="357"/>
      <c r="CD3" s="358" t="s">
        <v>32</v>
      </c>
      <c r="CE3" s="359"/>
      <c r="CF3" s="359"/>
      <c r="CG3" s="359"/>
      <c r="CH3" s="359"/>
      <c r="CI3" s="359"/>
      <c r="CJ3" s="359"/>
      <c r="CK3" s="359"/>
      <c r="CL3" s="359"/>
      <c r="CM3" s="359"/>
      <c r="CN3" s="359"/>
      <c r="CP3" s="349" t="s">
        <v>33</v>
      </c>
      <c r="CQ3" s="350"/>
      <c r="CR3" s="350"/>
      <c r="CS3" s="350"/>
      <c r="CT3" s="350"/>
      <c r="CU3" s="350"/>
      <c r="CV3" s="351"/>
      <c r="CX3" s="349" t="s">
        <v>34</v>
      </c>
      <c r="CY3" s="350"/>
      <c r="CZ3" s="350"/>
      <c r="DA3" s="350"/>
      <c r="DB3" s="350"/>
      <c r="DC3" s="350"/>
      <c r="DD3" s="351"/>
      <c r="DF3" s="184"/>
    </row>
    <row r="4" spans="1:114" s="137" customFormat="1" ht="72" x14ac:dyDescent="0.25">
      <c r="A4" s="131" t="s">
        <v>35</v>
      </c>
      <c r="B4" s="131"/>
      <c r="C4" s="131" t="s">
        <v>36</v>
      </c>
      <c r="D4" s="131" t="s">
        <v>37</v>
      </c>
      <c r="E4" s="131" t="s">
        <v>38</v>
      </c>
      <c r="F4" s="131" t="s">
        <v>39</v>
      </c>
      <c r="G4" s="131" t="s">
        <v>40</v>
      </c>
      <c r="H4" s="231" t="s">
        <v>41</v>
      </c>
      <c r="I4" s="130" t="s">
        <v>42</v>
      </c>
      <c r="J4" s="131" t="s">
        <v>43</v>
      </c>
      <c r="K4" s="131" t="s">
        <v>44</v>
      </c>
      <c r="L4" s="131" t="s">
        <v>45</v>
      </c>
      <c r="M4" s="131" t="s">
        <v>46</v>
      </c>
      <c r="N4" s="133" t="s">
        <v>47</v>
      </c>
      <c r="O4" s="131" t="s">
        <v>48</v>
      </c>
      <c r="P4" s="131" t="s">
        <v>49</v>
      </c>
      <c r="Q4" s="131" t="s">
        <v>50</v>
      </c>
      <c r="R4" s="131" t="s">
        <v>51</v>
      </c>
      <c r="S4" s="131" t="s">
        <v>52</v>
      </c>
      <c r="T4" s="131" t="s">
        <v>53</v>
      </c>
      <c r="U4" s="131" t="s">
        <v>54</v>
      </c>
      <c r="V4" s="131" t="s">
        <v>55</v>
      </c>
      <c r="W4" s="131" t="s">
        <v>56</v>
      </c>
      <c r="X4" s="131" t="s">
        <v>57</v>
      </c>
      <c r="Y4" s="131" t="s">
        <v>58</v>
      </c>
      <c r="Z4" s="131" t="s">
        <v>59</v>
      </c>
      <c r="AA4" s="131" t="s">
        <v>60</v>
      </c>
      <c r="AB4" s="131" t="s">
        <v>61</v>
      </c>
      <c r="AC4" s="131" t="s">
        <v>62</v>
      </c>
      <c r="AD4" s="131" t="s">
        <v>63</v>
      </c>
      <c r="AE4" s="131" t="s">
        <v>64</v>
      </c>
      <c r="AF4" s="131" t="s">
        <v>65</v>
      </c>
      <c r="AG4" s="131" t="s">
        <v>66</v>
      </c>
      <c r="AH4" s="131" t="s">
        <v>67</v>
      </c>
      <c r="AI4" s="131" t="s">
        <v>68</v>
      </c>
      <c r="AJ4" s="129"/>
      <c r="AK4" s="133" t="s">
        <v>69</v>
      </c>
      <c r="AL4" s="133" t="s">
        <v>70</v>
      </c>
      <c r="AM4" s="129"/>
      <c r="AN4" s="287" t="s">
        <v>71</v>
      </c>
      <c r="AO4" s="287" t="s">
        <v>72</v>
      </c>
      <c r="AP4" s="287" t="s">
        <v>73</v>
      </c>
      <c r="AQ4" s="287" t="s">
        <v>74</v>
      </c>
      <c r="AR4" s="287" t="s">
        <v>75</v>
      </c>
      <c r="AS4" s="287" t="s">
        <v>76</v>
      </c>
      <c r="AT4" s="287" t="s">
        <v>77</v>
      </c>
      <c r="AU4" s="287" t="s">
        <v>78</v>
      </c>
      <c r="AV4" s="287" t="s">
        <v>79</v>
      </c>
      <c r="AW4" s="287" t="s">
        <v>80</v>
      </c>
      <c r="AX4" s="135" t="s">
        <v>81</v>
      </c>
      <c r="AY4" s="134" t="s">
        <v>82</v>
      </c>
      <c r="AZ4" s="134" t="s">
        <v>83</v>
      </c>
      <c r="BA4" s="136" t="s">
        <v>84</v>
      </c>
      <c r="BB4" s="136" t="s">
        <v>85</v>
      </c>
      <c r="BC4" s="134" t="s">
        <v>86</v>
      </c>
      <c r="BD4" s="134" t="s">
        <v>87</v>
      </c>
      <c r="BE4" s="134" t="s">
        <v>88</v>
      </c>
      <c r="BF4" s="134" t="s">
        <v>89</v>
      </c>
      <c r="BH4" s="280" t="s">
        <v>90</v>
      </c>
      <c r="BI4" s="133" t="s">
        <v>91</v>
      </c>
      <c r="BJ4" s="133" t="s">
        <v>92</v>
      </c>
      <c r="BK4" s="133" t="s">
        <v>93</v>
      </c>
      <c r="BL4" s="133" t="s">
        <v>94</v>
      </c>
      <c r="BM4" s="133" t="s">
        <v>95</v>
      </c>
      <c r="BN4" s="133" t="s">
        <v>96</v>
      </c>
      <c r="BO4" s="133" t="s">
        <v>97</v>
      </c>
      <c r="BP4" s="133" t="s">
        <v>98</v>
      </c>
      <c r="BR4" s="133" t="s">
        <v>99</v>
      </c>
      <c r="BS4" s="133" t="s">
        <v>100</v>
      </c>
      <c r="BT4" s="133" t="s">
        <v>101</v>
      </c>
      <c r="BU4" s="133" t="s">
        <v>102</v>
      </c>
      <c r="BV4" s="133" t="s">
        <v>103</v>
      </c>
      <c r="BW4" s="133" t="s">
        <v>104</v>
      </c>
      <c r="BX4" s="133" t="s">
        <v>105</v>
      </c>
      <c r="BY4" s="133" t="s">
        <v>106</v>
      </c>
      <c r="BZ4" s="133" t="s">
        <v>107</v>
      </c>
      <c r="CA4" s="133" t="s">
        <v>108</v>
      </c>
      <c r="CB4" s="133" t="s">
        <v>109</v>
      </c>
      <c r="CD4" s="133" t="s">
        <v>99</v>
      </c>
      <c r="CE4" s="133" t="s">
        <v>110</v>
      </c>
      <c r="CF4" s="133" t="s">
        <v>111</v>
      </c>
      <c r="CG4" s="133" t="s">
        <v>101</v>
      </c>
      <c r="CH4" s="133" t="s">
        <v>103</v>
      </c>
      <c r="CI4" s="133" t="s">
        <v>104</v>
      </c>
      <c r="CJ4" s="133" t="s">
        <v>105</v>
      </c>
      <c r="CK4" s="133" t="s">
        <v>108</v>
      </c>
      <c r="CL4" s="133" t="s">
        <v>112</v>
      </c>
      <c r="CM4" s="133" t="s">
        <v>113</v>
      </c>
      <c r="CN4" s="133" t="s">
        <v>114</v>
      </c>
      <c r="CP4" s="131" t="s">
        <v>115</v>
      </c>
      <c r="CQ4" s="131" t="s">
        <v>116</v>
      </c>
      <c r="CR4" s="131" t="s">
        <v>117</v>
      </c>
      <c r="CS4" s="131" t="s">
        <v>118</v>
      </c>
      <c r="CT4" s="132" t="s">
        <v>119</v>
      </c>
      <c r="CU4" s="131" t="s">
        <v>120</v>
      </c>
      <c r="CV4" s="131" t="s">
        <v>121</v>
      </c>
      <c r="CX4" s="131" t="s">
        <v>115</v>
      </c>
      <c r="CY4" s="131" t="s">
        <v>116</v>
      </c>
      <c r="CZ4" s="131" t="s">
        <v>122</v>
      </c>
      <c r="DA4" s="131" t="s">
        <v>123</v>
      </c>
      <c r="DB4" s="132" t="s">
        <v>119</v>
      </c>
      <c r="DC4" s="131" t="s">
        <v>120</v>
      </c>
      <c r="DD4" s="131" t="s">
        <v>121</v>
      </c>
      <c r="DF4" s="131" t="s">
        <v>124</v>
      </c>
    </row>
    <row r="5" spans="1:114" ht="12" x14ac:dyDescent="0.2">
      <c r="A5" s="138"/>
      <c r="B5" s="139"/>
      <c r="C5" s="139"/>
      <c r="D5" s="139"/>
      <c r="E5" s="139"/>
      <c r="F5" s="139"/>
      <c r="G5" s="139"/>
      <c r="H5" s="232"/>
      <c r="I5" s="140"/>
      <c r="J5" s="140"/>
      <c r="K5" s="140"/>
      <c r="L5" s="140"/>
      <c r="M5" s="140"/>
      <c r="N5" s="140"/>
      <c r="O5" s="140"/>
      <c r="P5" s="139"/>
      <c r="Q5" s="139"/>
      <c r="R5" s="139"/>
      <c r="S5" s="139"/>
      <c r="T5" s="139"/>
      <c r="U5" s="139"/>
      <c r="V5" s="139"/>
      <c r="W5" s="139"/>
      <c r="X5" s="139"/>
      <c r="Y5" s="139"/>
      <c r="Z5" s="139"/>
      <c r="AA5" s="139"/>
      <c r="AB5" s="139"/>
      <c r="AC5" s="139"/>
      <c r="AD5" s="139"/>
      <c r="AE5" s="139"/>
      <c r="AF5" s="139"/>
      <c r="AG5" s="139"/>
      <c r="AH5" s="139"/>
      <c r="AI5" s="139"/>
      <c r="AJ5" s="139"/>
      <c r="AK5" s="139"/>
      <c r="AL5" s="139"/>
      <c r="AM5" s="139"/>
      <c r="AN5" s="286" t="s">
        <v>125</v>
      </c>
      <c r="AO5" s="286" t="s">
        <v>126</v>
      </c>
      <c r="AP5" s="286" t="s">
        <v>127</v>
      </c>
      <c r="AQ5" s="286" t="s">
        <v>126</v>
      </c>
      <c r="AR5" s="286" t="s">
        <v>128</v>
      </c>
      <c r="AS5" s="286" t="s">
        <v>127</v>
      </c>
      <c r="AT5" s="286" t="s">
        <v>127</v>
      </c>
      <c r="AU5" s="286" t="s">
        <v>128</v>
      </c>
      <c r="AV5" s="286" t="s">
        <v>127</v>
      </c>
      <c r="AW5" s="286" t="s">
        <v>127</v>
      </c>
      <c r="AX5" s="139"/>
      <c r="AY5" s="139" t="s">
        <v>128</v>
      </c>
      <c r="AZ5" s="139" t="s">
        <v>128</v>
      </c>
      <c r="BA5" s="139" t="s">
        <v>127</v>
      </c>
      <c r="BB5" s="286" t="s">
        <v>127</v>
      </c>
      <c r="BC5" s="139" t="s">
        <v>127</v>
      </c>
      <c r="BD5" s="139" t="s">
        <v>128</v>
      </c>
      <c r="BE5" s="139" t="s">
        <v>129</v>
      </c>
      <c r="BF5" s="139" t="s">
        <v>130</v>
      </c>
      <c r="BG5" s="139"/>
      <c r="BH5" s="140"/>
      <c r="BI5" s="140"/>
      <c r="BJ5" s="140"/>
      <c r="BK5" s="140"/>
      <c r="BL5" s="140"/>
      <c r="BM5" s="140"/>
      <c r="BN5" s="140"/>
      <c r="BO5" s="140"/>
      <c r="BP5" s="140"/>
      <c r="BQ5" s="139"/>
      <c r="BR5" s="139"/>
      <c r="BS5" s="139"/>
      <c r="BT5" s="139"/>
      <c r="BU5" s="139"/>
      <c r="BV5" s="139"/>
      <c r="BW5" s="139"/>
      <c r="BX5" s="139"/>
      <c r="BY5" s="139"/>
      <c r="BZ5" s="139"/>
      <c r="CA5" s="139"/>
      <c r="CB5" s="139"/>
      <c r="CC5" s="139"/>
      <c r="CD5" s="139"/>
      <c r="CE5" s="139"/>
      <c r="CF5" s="139"/>
      <c r="CG5" s="139"/>
      <c r="CH5" s="139"/>
      <c r="CI5" s="139"/>
      <c r="CJ5" s="139"/>
      <c r="CK5" s="139"/>
      <c r="CL5" s="139"/>
      <c r="CM5" s="139"/>
      <c r="CN5" s="139"/>
      <c r="CO5" s="139"/>
      <c r="CP5" s="139"/>
      <c r="CQ5" s="139"/>
      <c r="CR5" s="139"/>
      <c r="CS5" s="139"/>
      <c r="CT5" s="139"/>
      <c r="CU5" s="139"/>
      <c r="CV5" s="139"/>
      <c r="CW5" s="139"/>
      <c r="CX5" s="139"/>
      <c r="CY5" s="139"/>
      <c r="CZ5" s="139"/>
      <c r="DA5" s="139"/>
      <c r="DB5" s="139"/>
      <c r="DC5" s="139"/>
      <c r="DD5" s="139"/>
      <c r="DE5" s="139"/>
      <c r="DF5" s="139"/>
      <c r="DG5" s="139"/>
      <c r="DH5" s="139"/>
      <c r="DI5" s="139"/>
    </row>
    <row r="6" spans="1:114" ht="12" x14ac:dyDescent="0.2">
      <c r="A6" s="362" t="s">
        <v>131</v>
      </c>
      <c r="B6" s="363"/>
      <c r="C6" s="363"/>
      <c r="D6" s="363"/>
      <c r="E6" s="363"/>
      <c r="F6" s="363"/>
      <c r="G6" s="363"/>
      <c r="H6" s="233"/>
      <c r="I6" s="141"/>
      <c r="J6" s="141"/>
      <c r="K6" s="141"/>
      <c r="L6" s="141"/>
      <c r="M6" s="141"/>
      <c r="N6" s="141"/>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7"/>
      <c r="CP6" s="188"/>
      <c r="CQ6" s="188"/>
      <c r="CR6" s="188"/>
      <c r="CS6" s="188"/>
      <c r="CT6" s="189"/>
      <c r="CU6" s="188"/>
      <c r="CV6" s="188"/>
      <c r="CW6" s="187"/>
      <c r="CX6" s="188"/>
      <c r="CY6" s="188"/>
      <c r="CZ6" s="188"/>
      <c r="DA6" s="188"/>
      <c r="DB6" s="189"/>
      <c r="DC6" s="188"/>
      <c r="DD6" s="188"/>
      <c r="DE6" s="187"/>
      <c r="DF6" s="188"/>
    </row>
    <row r="7" spans="1:114" ht="12" x14ac:dyDescent="0.2">
      <c r="A7" s="143" t="s">
        <v>132</v>
      </c>
      <c r="B7" s="143" t="s">
        <v>11</v>
      </c>
      <c r="C7" s="144" t="s">
        <v>133</v>
      </c>
      <c r="D7" s="144" t="s">
        <v>134</v>
      </c>
      <c r="E7" s="144" t="s">
        <v>133</v>
      </c>
      <c r="F7" s="144" t="s">
        <v>135</v>
      </c>
      <c r="G7" s="145" t="s">
        <v>136</v>
      </c>
      <c r="H7" s="234">
        <v>14000</v>
      </c>
      <c r="I7" s="147" t="s">
        <v>11</v>
      </c>
      <c r="J7" s="147" t="s">
        <v>137</v>
      </c>
      <c r="K7" s="147" t="s">
        <v>11</v>
      </c>
      <c r="L7" s="147" t="s">
        <v>138</v>
      </c>
      <c r="M7" s="147" t="s">
        <v>11</v>
      </c>
      <c r="N7" s="147" t="s">
        <v>138</v>
      </c>
      <c r="O7" s="192" t="s">
        <v>139</v>
      </c>
      <c r="P7" s="190" t="s">
        <v>140</v>
      </c>
      <c r="Q7" s="190" t="s">
        <v>11</v>
      </c>
      <c r="R7" s="190" t="s">
        <v>140</v>
      </c>
      <c r="S7" s="190" t="s">
        <v>140</v>
      </c>
      <c r="T7" s="190" t="s">
        <v>140</v>
      </c>
      <c r="U7" s="190" t="s">
        <v>140</v>
      </c>
      <c r="V7" s="190" t="s">
        <v>11</v>
      </c>
      <c r="W7" s="190" t="s">
        <v>11</v>
      </c>
      <c r="X7" s="190" t="s">
        <v>11</v>
      </c>
      <c r="Y7" s="190" t="s">
        <v>11</v>
      </c>
      <c r="Z7" s="190" t="s">
        <v>140</v>
      </c>
      <c r="AA7" s="190" t="s">
        <v>11</v>
      </c>
      <c r="AB7" s="190" t="s">
        <v>140</v>
      </c>
      <c r="AC7" s="190" t="s">
        <v>11</v>
      </c>
      <c r="AD7" s="190" t="s">
        <v>11</v>
      </c>
      <c r="AE7" s="190" t="s">
        <v>140</v>
      </c>
      <c r="AF7" s="190" t="s">
        <v>11</v>
      </c>
      <c r="AG7" s="190" t="s">
        <v>140</v>
      </c>
      <c r="AH7" s="191">
        <v>5</v>
      </c>
      <c r="AI7" s="190" t="s">
        <v>140</v>
      </c>
      <c r="AJ7" s="187"/>
      <c r="AK7" s="193" t="s">
        <v>140</v>
      </c>
      <c r="AL7" s="346" t="s">
        <v>11</v>
      </c>
      <c r="AM7" s="200"/>
      <c r="AN7" s="190" t="s">
        <v>11</v>
      </c>
      <c r="AO7" s="190" t="s">
        <v>140</v>
      </c>
      <c r="AP7" s="190" t="s">
        <v>140</v>
      </c>
      <c r="AQ7" s="190" t="s">
        <v>11</v>
      </c>
      <c r="AR7" s="190" t="s">
        <v>140</v>
      </c>
      <c r="AS7" s="190" t="s">
        <v>11</v>
      </c>
      <c r="AT7" s="190" t="s">
        <v>11</v>
      </c>
      <c r="AU7" s="190" t="s">
        <v>140</v>
      </c>
      <c r="AV7" s="190" t="s">
        <v>11</v>
      </c>
      <c r="AW7" s="190" t="s">
        <v>11</v>
      </c>
      <c r="AX7" s="190"/>
      <c r="AY7" s="190"/>
      <c r="AZ7" s="190"/>
      <c r="BA7" s="190"/>
      <c r="BB7" s="190" t="s">
        <v>11</v>
      </c>
      <c r="BC7" s="190"/>
      <c r="BD7" s="190"/>
      <c r="BE7" s="190"/>
      <c r="BF7" s="190"/>
      <c r="BG7" s="206"/>
      <c r="BH7" s="190" t="s">
        <v>11</v>
      </c>
      <c r="BI7" s="190" t="s">
        <v>11</v>
      </c>
      <c r="BJ7" s="190" t="s">
        <v>11</v>
      </c>
      <c r="BK7" s="190" t="s">
        <v>11</v>
      </c>
      <c r="BL7" s="190" t="s">
        <v>11</v>
      </c>
      <c r="BM7" s="190" t="s">
        <v>11</v>
      </c>
      <c r="BN7" s="190" t="s">
        <v>11</v>
      </c>
      <c r="BO7" s="190" t="s">
        <v>11</v>
      </c>
      <c r="BP7" s="190" t="s">
        <v>11</v>
      </c>
      <c r="BQ7" s="206"/>
      <c r="BR7" s="190" t="s">
        <v>141</v>
      </c>
      <c r="BS7" s="190" t="s">
        <v>141</v>
      </c>
      <c r="BT7" s="190" t="s">
        <v>141</v>
      </c>
      <c r="BU7" s="190" t="s">
        <v>141</v>
      </c>
      <c r="BV7" s="190" t="s">
        <v>141</v>
      </c>
      <c r="BW7" s="190" t="s">
        <v>141</v>
      </c>
      <c r="BX7" s="190" t="s">
        <v>141</v>
      </c>
      <c r="BY7" s="190" t="s">
        <v>141</v>
      </c>
      <c r="BZ7" s="190" t="s">
        <v>141</v>
      </c>
      <c r="CA7" s="190" t="s">
        <v>11</v>
      </c>
      <c r="CB7" s="190" t="s">
        <v>141</v>
      </c>
      <c r="CC7" s="206"/>
      <c r="CD7" s="190" t="s">
        <v>141</v>
      </c>
      <c r="CE7" s="190" t="s">
        <v>142</v>
      </c>
      <c r="CF7" s="190" t="s">
        <v>142</v>
      </c>
      <c r="CG7" s="190" t="s">
        <v>141</v>
      </c>
      <c r="CH7" s="190" t="s">
        <v>141</v>
      </c>
      <c r="CI7" s="190" t="s">
        <v>141</v>
      </c>
      <c r="CJ7" s="190" t="s">
        <v>141</v>
      </c>
      <c r="CK7" s="190" t="s">
        <v>11</v>
      </c>
      <c r="CL7" s="190" t="s">
        <v>141</v>
      </c>
      <c r="CM7" s="190" t="s">
        <v>141</v>
      </c>
      <c r="CN7" s="190" t="s">
        <v>141</v>
      </c>
      <c r="CO7" s="206"/>
      <c r="CP7" s="190" t="s">
        <v>11</v>
      </c>
      <c r="CQ7" s="190" t="s">
        <v>11</v>
      </c>
      <c r="CR7" s="190" t="s">
        <v>11</v>
      </c>
      <c r="CS7" s="190" t="s">
        <v>11</v>
      </c>
      <c r="CT7" s="195" t="s">
        <v>11</v>
      </c>
      <c r="CU7" s="190" t="s">
        <v>11</v>
      </c>
      <c r="CV7" s="190" t="s">
        <v>11</v>
      </c>
      <c r="CW7" s="206"/>
      <c r="CX7" s="190" t="s">
        <v>11</v>
      </c>
      <c r="CY7" s="190" t="s">
        <v>11</v>
      </c>
      <c r="CZ7" s="190" t="s">
        <v>11</v>
      </c>
      <c r="DA7" s="190" t="s">
        <v>11</v>
      </c>
      <c r="DB7" s="195" t="s">
        <v>11</v>
      </c>
      <c r="DC7" s="190" t="s">
        <v>11</v>
      </c>
      <c r="DD7" s="190" t="s">
        <v>11</v>
      </c>
      <c r="DE7" s="206"/>
      <c r="DF7" s="190" t="s">
        <v>11</v>
      </c>
      <c r="DG7" s="241"/>
      <c r="DH7" s="241"/>
      <c r="DI7" s="242"/>
      <c r="DJ7" s="242"/>
    </row>
    <row r="8" spans="1:114" ht="12.75" x14ac:dyDescent="0.2">
      <c r="A8" s="143" t="s">
        <v>143</v>
      </c>
      <c r="B8" s="143" t="s">
        <v>144</v>
      </c>
      <c r="C8" s="144" t="s">
        <v>145</v>
      </c>
      <c r="D8" s="144" t="s">
        <v>134</v>
      </c>
      <c r="E8" s="144" t="s">
        <v>133</v>
      </c>
      <c r="F8" s="144" t="s">
        <v>135</v>
      </c>
      <c r="G8" s="145" t="s">
        <v>136</v>
      </c>
      <c r="H8" s="234">
        <v>104500</v>
      </c>
      <c r="I8" s="149">
        <v>16500</v>
      </c>
      <c r="J8" s="147" t="s">
        <v>146</v>
      </c>
      <c r="K8" s="147" t="s">
        <v>147</v>
      </c>
      <c r="L8" s="147" t="s">
        <v>138</v>
      </c>
      <c r="M8" s="147" t="s">
        <v>147</v>
      </c>
      <c r="N8" s="147" t="s">
        <v>138</v>
      </c>
      <c r="O8" s="192" t="s">
        <v>139</v>
      </c>
      <c r="P8" s="190" t="s">
        <v>140</v>
      </c>
      <c r="Q8" s="190" t="s">
        <v>11</v>
      </c>
      <c r="R8" s="190" t="s">
        <v>140</v>
      </c>
      <c r="S8" s="190" t="s">
        <v>140</v>
      </c>
      <c r="T8" s="190" t="s">
        <v>140</v>
      </c>
      <c r="U8" s="190" t="s">
        <v>140</v>
      </c>
      <c r="V8" s="190" t="s">
        <v>148</v>
      </c>
      <c r="W8" s="190" t="s">
        <v>11</v>
      </c>
      <c r="X8" s="190" t="s">
        <v>140</v>
      </c>
      <c r="Y8" s="190" t="s">
        <v>140</v>
      </c>
      <c r="Z8" s="190" t="s">
        <v>140</v>
      </c>
      <c r="AA8" s="190" t="s">
        <v>11</v>
      </c>
      <c r="AB8" s="190" t="s">
        <v>140</v>
      </c>
      <c r="AC8" s="190" t="s">
        <v>11</v>
      </c>
      <c r="AD8" s="190" t="s">
        <v>11</v>
      </c>
      <c r="AE8" s="190" t="s">
        <v>140</v>
      </c>
      <c r="AF8" s="190" t="s">
        <v>140</v>
      </c>
      <c r="AG8" s="190" t="s">
        <v>140</v>
      </c>
      <c r="AH8" s="191">
        <v>17</v>
      </c>
      <c r="AI8" s="190" t="s">
        <v>148</v>
      </c>
      <c r="AJ8" s="187"/>
      <c r="AK8" s="193" t="s">
        <v>140</v>
      </c>
      <c r="AL8" s="346" t="s">
        <v>140</v>
      </c>
      <c r="AM8" s="244"/>
      <c r="AN8" s="190" t="s">
        <v>11</v>
      </c>
      <c r="AO8" s="190" t="s">
        <v>140</v>
      </c>
      <c r="AP8" s="190" t="s">
        <v>140</v>
      </c>
      <c r="AQ8" s="190" t="s">
        <v>140</v>
      </c>
      <c r="AR8" s="190" t="s">
        <v>140</v>
      </c>
      <c r="AS8" s="190" t="s">
        <v>140</v>
      </c>
      <c r="AT8" s="190" t="s">
        <v>11</v>
      </c>
      <c r="AU8" s="190" t="s">
        <v>140</v>
      </c>
      <c r="AV8" s="190" t="s">
        <v>140</v>
      </c>
      <c r="AW8" s="190" t="s">
        <v>11</v>
      </c>
      <c r="AX8" s="190"/>
      <c r="AY8" s="190"/>
      <c r="AZ8" s="190"/>
      <c r="BA8" s="190"/>
      <c r="BB8" s="190" t="s">
        <v>140</v>
      </c>
      <c r="BC8" s="190"/>
      <c r="BD8" s="190"/>
      <c r="BE8" s="190"/>
      <c r="BF8" s="190"/>
      <c r="BG8" s="245"/>
      <c r="BH8" s="190" t="s">
        <v>149</v>
      </c>
      <c r="BI8" s="246">
        <v>45571</v>
      </c>
      <c r="BJ8" s="190" t="s">
        <v>150</v>
      </c>
      <c r="BK8" s="190" t="s">
        <v>151</v>
      </c>
      <c r="BL8" s="190" t="s">
        <v>140</v>
      </c>
      <c r="BM8" s="190" t="s">
        <v>140</v>
      </c>
      <c r="BN8" s="190" t="s">
        <v>152</v>
      </c>
      <c r="BO8" s="190" t="s">
        <v>140</v>
      </c>
      <c r="BP8" s="190" t="s">
        <v>140</v>
      </c>
      <c r="BQ8" s="206"/>
      <c r="BR8" s="190" t="s">
        <v>141</v>
      </c>
      <c r="BS8" s="190" t="s">
        <v>141</v>
      </c>
      <c r="BT8" s="190" t="s">
        <v>141</v>
      </c>
      <c r="BU8" s="190" t="s">
        <v>141</v>
      </c>
      <c r="BV8" s="190" t="s">
        <v>141</v>
      </c>
      <c r="BW8" s="190" t="s">
        <v>141</v>
      </c>
      <c r="BX8" s="190" t="s">
        <v>141</v>
      </c>
      <c r="BY8" s="190" t="s">
        <v>141</v>
      </c>
      <c r="BZ8" s="190" t="s">
        <v>141</v>
      </c>
      <c r="CA8" s="190" t="s">
        <v>11</v>
      </c>
      <c r="CB8" s="190" t="s">
        <v>141</v>
      </c>
      <c r="CC8" s="206"/>
      <c r="CD8" s="190" t="s">
        <v>141</v>
      </c>
      <c r="CE8" s="190" t="s">
        <v>142</v>
      </c>
      <c r="CF8" s="190" t="s">
        <v>142</v>
      </c>
      <c r="CG8" s="190" t="s">
        <v>142</v>
      </c>
      <c r="CH8" s="190" t="s">
        <v>142</v>
      </c>
      <c r="CI8" s="190" t="s">
        <v>141</v>
      </c>
      <c r="CJ8" s="190" t="s">
        <v>141</v>
      </c>
      <c r="CK8" s="190" t="s">
        <v>11</v>
      </c>
      <c r="CL8" s="190" t="s">
        <v>142</v>
      </c>
      <c r="CM8" s="190" t="s">
        <v>142</v>
      </c>
      <c r="CN8" s="190" t="s">
        <v>141</v>
      </c>
      <c r="CO8" s="206"/>
      <c r="CP8" s="190" t="s">
        <v>140</v>
      </c>
      <c r="CQ8" s="190" t="s">
        <v>140</v>
      </c>
      <c r="CR8" s="190" t="s">
        <v>11</v>
      </c>
      <c r="CS8" s="190" t="s">
        <v>148</v>
      </c>
      <c r="CT8" s="195" t="s">
        <v>148</v>
      </c>
      <c r="CU8" s="190" t="s">
        <v>148</v>
      </c>
      <c r="CV8" s="190" t="s">
        <v>148</v>
      </c>
      <c r="CW8" s="206"/>
      <c r="CX8" s="190" t="s">
        <v>140</v>
      </c>
      <c r="CY8" s="190" t="s">
        <v>148</v>
      </c>
      <c r="CZ8" s="190" t="s">
        <v>148</v>
      </c>
      <c r="DA8" s="190" t="s">
        <v>148</v>
      </c>
      <c r="DB8" s="195" t="s">
        <v>148</v>
      </c>
      <c r="DC8" s="190" t="s">
        <v>148</v>
      </c>
      <c r="DD8" s="190" t="s">
        <v>148</v>
      </c>
      <c r="DE8" s="206"/>
      <c r="DF8" s="190" t="s">
        <v>11</v>
      </c>
      <c r="DG8" s="241"/>
      <c r="DH8" s="241"/>
      <c r="DI8" s="242"/>
      <c r="DJ8" s="242"/>
    </row>
    <row r="9" spans="1:114" ht="12" customHeight="1" x14ac:dyDescent="0.2">
      <c r="A9" s="143" t="s">
        <v>153</v>
      </c>
      <c r="B9" s="143">
        <v>998314</v>
      </c>
      <c r="C9" s="144" t="s">
        <v>154</v>
      </c>
      <c r="D9" s="144" t="s">
        <v>134</v>
      </c>
      <c r="E9" s="144" t="s">
        <v>133</v>
      </c>
      <c r="F9" s="144" t="s">
        <v>135</v>
      </c>
      <c r="G9" s="145" t="s">
        <v>136</v>
      </c>
      <c r="H9" s="234">
        <v>34500</v>
      </c>
      <c r="I9" s="147" t="s">
        <v>11</v>
      </c>
      <c r="J9" s="147" t="s">
        <v>155</v>
      </c>
      <c r="K9" s="147" t="s">
        <v>147</v>
      </c>
      <c r="L9" s="147" t="s">
        <v>138</v>
      </c>
      <c r="M9" s="147" t="s">
        <v>147</v>
      </c>
      <c r="N9" s="147" t="s">
        <v>138</v>
      </c>
      <c r="O9" s="192" t="s">
        <v>139</v>
      </c>
      <c r="P9" s="190" t="s">
        <v>140</v>
      </c>
      <c r="Q9" s="190" t="s">
        <v>11</v>
      </c>
      <c r="R9" s="190" t="s">
        <v>140</v>
      </c>
      <c r="S9" s="190" t="s">
        <v>140</v>
      </c>
      <c r="T9" s="190" t="s">
        <v>11</v>
      </c>
      <c r="U9" s="190" t="s">
        <v>11</v>
      </c>
      <c r="V9" s="190" t="s">
        <v>11</v>
      </c>
      <c r="W9" s="190" t="s">
        <v>11</v>
      </c>
      <c r="X9" s="190" t="s">
        <v>11</v>
      </c>
      <c r="Y9" s="190" t="s">
        <v>11</v>
      </c>
      <c r="Z9" s="190" t="s">
        <v>140</v>
      </c>
      <c r="AA9" s="190" t="s">
        <v>11</v>
      </c>
      <c r="AB9" s="190" t="s">
        <v>148</v>
      </c>
      <c r="AC9" s="190" t="s">
        <v>11</v>
      </c>
      <c r="AD9" s="190" t="s">
        <v>11</v>
      </c>
      <c r="AE9" s="190" t="s">
        <v>140</v>
      </c>
      <c r="AF9" s="190" t="s">
        <v>140</v>
      </c>
      <c r="AG9" s="190" t="s">
        <v>140</v>
      </c>
      <c r="AH9" s="191">
        <v>7</v>
      </c>
      <c r="AI9" s="190" t="s">
        <v>140</v>
      </c>
      <c r="AJ9" s="187"/>
      <c r="AK9" s="193" t="s">
        <v>140</v>
      </c>
      <c r="AL9" s="346" t="s">
        <v>11</v>
      </c>
      <c r="AM9" s="249"/>
      <c r="AN9" s="190" t="s">
        <v>11</v>
      </c>
      <c r="AO9" s="190" t="s">
        <v>140</v>
      </c>
      <c r="AP9" s="190" t="s">
        <v>140</v>
      </c>
      <c r="AQ9" s="190" t="s">
        <v>11</v>
      </c>
      <c r="AR9" s="190" t="s">
        <v>140</v>
      </c>
      <c r="AS9" s="190" t="s">
        <v>140</v>
      </c>
      <c r="AT9" s="190" t="s">
        <v>11</v>
      </c>
      <c r="AU9" s="190" t="s">
        <v>140</v>
      </c>
      <c r="AV9" s="190" t="s">
        <v>140</v>
      </c>
      <c r="AW9" s="190" t="s">
        <v>11</v>
      </c>
      <c r="AX9" s="190"/>
      <c r="AY9" s="190"/>
      <c r="AZ9" s="190"/>
      <c r="BA9" s="190"/>
      <c r="BB9" s="190" t="s">
        <v>140</v>
      </c>
      <c r="BC9" s="190"/>
      <c r="BD9" s="190"/>
      <c r="BE9" s="190"/>
      <c r="BF9" s="190"/>
      <c r="BG9" s="245"/>
      <c r="BH9" s="190" t="s">
        <v>11</v>
      </c>
      <c r="BI9" s="246" t="s">
        <v>11</v>
      </c>
      <c r="BJ9" s="190" t="s">
        <v>11</v>
      </c>
      <c r="BK9" s="190" t="s">
        <v>11</v>
      </c>
      <c r="BL9" s="190" t="s">
        <v>11</v>
      </c>
      <c r="BM9" s="190" t="s">
        <v>11</v>
      </c>
      <c r="BN9" s="190" t="s">
        <v>11</v>
      </c>
      <c r="BO9" s="190" t="s">
        <v>11</v>
      </c>
      <c r="BP9" s="190" t="s">
        <v>11</v>
      </c>
      <c r="BQ9" s="206"/>
      <c r="BR9" s="190" t="s">
        <v>141</v>
      </c>
      <c r="BS9" s="190" t="s">
        <v>141</v>
      </c>
      <c r="BT9" s="190" t="s">
        <v>141</v>
      </c>
      <c r="BU9" s="190" t="s">
        <v>141</v>
      </c>
      <c r="BV9" s="190" t="s">
        <v>141</v>
      </c>
      <c r="BW9" s="190" t="s">
        <v>141</v>
      </c>
      <c r="BX9" s="190" t="s">
        <v>141</v>
      </c>
      <c r="BY9" s="190" t="s">
        <v>141</v>
      </c>
      <c r="BZ9" s="190" t="s">
        <v>141</v>
      </c>
      <c r="CA9" s="190" t="s">
        <v>11</v>
      </c>
      <c r="CB9" s="190" t="s">
        <v>141</v>
      </c>
      <c r="CC9" s="206"/>
      <c r="CD9" s="190" t="s">
        <v>141</v>
      </c>
      <c r="CE9" s="190" t="s">
        <v>141</v>
      </c>
      <c r="CF9" s="190" t="s">
        <v>141</v>
      </c>
      <c r="CG9" s="190" t="s">
        <v>141</v>
      </c>
      <c r="CH9" s="190" t="s">
        <v>141</v>
      </c>
      <c r="CI9" s="190" t="s">
        <v>141</v>
      </c>
      <c r="CJ9" s="190" t="s">
        <v>141</v>
      </c>
      <c r="CK9" s="190" t="s">
        <v>11</v>
      </c>
      <c r="CL9" s="190" t="s">
        <v>11</v>
      </c>
      <c r="CM9" s="190" t="s">
        <v>11</v>
      </c>
      <c r="CN9" s="190" t="s">
        <v>141</v>
      </c>
      <c r="CO9" s="206"/>
      <c r="CP9" s="190" t="s">
        <v>140</v>
      </c>
      <c r="CQ9" s="190" t="s">
        <v>140</v>
      </c>
      <c r="CR9" s="190" t="s">
        <v>11</v>
      </c>
      <c r="CS9" s="190" t="s">
        <v>148</v>
      </c>
      <c r="CT9" s="190" t="s">
        <v>148</v>
      </c>
      <c r="CU9" s="190" t="s">
        <v>148</v>
      </c>
      <c r="CV9" s="190" t="s">
        <v>148</v>
      </c>
      <c r="CW9" s="206"/>
      <c r="CX9" s="190" t="s">
        <v>140</v>
      </c>
      <c r="CY9" s="190" t="s">
        <v>148</v>
      </c>
      <c r="CZ9" s="190" t="s">
        <v>148</v>
      </c>
      <c r="DA9" s="190" t="s">
        <v>148</v>
      </c>
      <c r="DB9" s="195" t="s">
        <v>148</v>
      </c>
      <c r="DC9" s="190" t="s">
        <v>148</v>
      </c>
      <c r="DD9" s="190" t="s">
        <v>148</v>
      </c>
      <c r="DE9" s="206"/>
      <c r="DF9" s="190" t="s">
        <v>11</v>
      </c>
      <c r="DG9" s="241"/>
      <c r="DH9" s="241"/>
      <c r="DI9" s="242"/>
      <c r="DJ9" s="242"/>
    </row>
    <row r="10" spans="1:114" ht="12" x14ac:dyDescent="0.2">
      <c r="A10" s="143" t="s">
        <v>156</v>
      </c>
      <c r="B10" s="143"/>
      <c r="C10" s="144" t="s">
        <v>145</v>
      </c>
      <c r="D10" s="144" t="s">
        <v>134</v>
      </c>
      <c r="E10" s="144" t="s">
        <v>133</v>
      </c>
      <c r="F10" s="144" t="s">
        <v>135</v>
      </c>
      <c r="G10" s="145" t="s">
        <v>136</v>
      </c>
      <c r="H10" s="234">
        <f>26000</f>
        <v>26000</v>
      </c>
      <c r="I10" s="147" t="s">
        <v>11</v>
      </c>
      <c r="J10" s="147" t="s">
        <v>157</v>
      </c>
      <c r="K10" s="147" t="s">
        <v>138</v>
      </c>
      <c r="L10" s="147" t="s">
        <v>138</v>
      </c>
      <c r="M10" s="147" t="s">
        <v>138</v>
      </c>
      <c r="N10" s="147" t="s">
        <v>138</v>
      </c>
      <c r="O10" s="192" t="s">
        <v>139</v>
      </c>
      <c r="P10" s="190" t="s">
        <v>140</v>
      </c>
      <c r="Q10" s="190" t="s">
        <v>11</v>
      </c>
      <c r="R10" s="190" t="s">
        <v>140</v>
      </c>
      <c r="S10" s="190" t="s">
        <v>140</v>
      </c>
      <c r="T10" s="190" t="s">
        <v>140</v>
      </c>
      <c r="U10" s="190" t="s">
        <v>140</v>
      </c>
      <c r="V10" s="190" t="s">
        <v>11</v>
      </c>
      <c r="W10" s="190" t="s">
        <v>11</v>
      </c>
      <c r="X10" s="190" t="s">
        <v>11</v>
      </c>
      <c r="Y10" s="190" t="s">
        <v>11</v>
      </c>
      <c r="Z10" s="190" t="s">
        <v>140</v>
      </c>
      <c r="AA10" s="190" t="s">
        <v>11</v>
      </c>
      <c r="AB10" s="190" t="s">
        <v>140</v>
      </c>
      <c r="AC10" s="190" t="s">
        <v>11</v>
      </c>
      <c r="AD10" s="190" t="s">
        <v>11</v>
      </c>
      <c r="AE10" s="190" t="s">
        <v>140</v>
      </c>
      <c r="AF10" s="190" t="s">
        <v>140</v>
      </c>
      <c r="AG10" s="190" t="s">
        <v>140</v>
      </c>
      <c r="AH10" s="191">
        <v>2</v>
      </c>
      <c r="AI10" s="190" t="s">
        <v>140</v>
      </c>
      <c r="AJ10" s="187"/>
      <c r="AK10" s="193" t="s">
        <v>140</v>
      </c>
      <c r="AL10" s="346" t="s">
        <v>140</v>
      </c>
      <c r="AM10" s="206"/>
      <c r="AN10" s="190" t="s">
        <v>11</v>
      </c>
      <c r="AO10" s="190" t="s">
        <v>140</v>
      </c>
      <c r="AP10" s="190" t="s">
        <v>140</v>
      </c>
      <c r="AQ10" s="190" t="s">
        <v>11</v>
      </c>
      <c r="AR10" s="190" t="s">
        <v>140</v>
      </c>
      <c r="AS10" s="190" t="s">
        <v>11</v>
      </c>
      <c r="AT10" s="190" t="s">
        <v>11</v>
      </c>
      <c r="AU10" s="190" t="s">
        <v>140</v>
      </c>
      <c r="AV10" s="190" t="s">
        <v>140</v>
      </c>
      <c r="AW10" s="190" t="s">
        <v>11</v>
      </c>
      <c r="AX10" s="190"/>
      <c r="AY10" s="190"/>
      <c r="AZ10" s="190"/>
      <c r="BA10" s="190"/>
      <c r="BB10" s="190" t="s">
        <v>140</v>
      </c>
      <c r="BC10" s="190"/>
      <c r="BD10" s="190"/>
      <c r="BE10" s="190"/>
      <c r="BF10" s="190"/>
      <c r="BG10" s="245"/>
      <c r="BH10" s="190" t="s">
        <v>11</v>
      </c>
      <c r="BI10" s="192" t="s">
        <v>11</v>
      </c>
      <c r="BJ10" s="190" t="s">
        <v>11</v>
      </c>
      <c r="BK10" s="190" t="s">
        <v>11</v>
      </c>
      <c r="BL10" s="190" t="s">
        <v>11</v>
      </c>
      <c r="BM10" s="190" t="s">
        <v>11</v>
      </c>
      <c r="BN10" s="190" t="s">
        <v>11</v>
      </c>
      <c r="BO10" s="190" t="s">
        <v>11</v>
      </c>
      <c r="BP10" s="190" t="s">
        <v>11</v>
      </c>
      <c r="BQ10" s="206"/>
      <c r="BR10" s="190" t="s">
        <v>141</v>
      </c>
      <c r="BS10" s="190" t="s">
        <v>141</v>
      </c>
      <c r="BT10" s="190" t="s">
        <v>141</v>
      </c>
      <c r="BU10" s="190" t="s">
        <v>141</v>
      </c>
      <c r="BV10" s="190" t="s">
        <v>141</v>
      </c>
      <c r="BW10" s="190" t="s">
        <v>141</v>
      </c>
      <c r="BX10" s="190" t="s">
        <v>141</v>
      </c>
      <c r="BY10" s="190" t="s">
        <v>141</v>
      </c>
      <c r="BZ10" s="190" t="s">
        <v>141</v>
      </c>
      <c r="CA10" s="190" t="s">
        <v>11</v>
      </c>
      <c r="CB10" s="190" t="s">
        <v>141</v>
      </c>
      <c r="CC10" s="206"/>
      <c r="CD10" s="190" t="s">
        <v>141</v>
      </c>
      <c r="CE10" s="190" t="s">
        <v>141</v>
      </c>
      <c r="CF10" s="190" t="s">
        <v>141</v>
      </c>
      <c r="CG10" s="190" t="s">
        <v>141</v>
      </c>
      <c r="CH10" s="190" t="s">
        <v>141</v>
      </c>
      <c r="CI10" s="190" t="s">
        <v>141</v>
      </c>
      <c r="CJ10" s="190" t="s">
        <v>141</v>
      </c>
      <c r="CK10" s="190" t="s">
        <v>11</v>
      </c>
      <c r="CL10" s="190" t="s">
        <v>141</v>
      </c>
      <c r="CM10" s="190" t="s">
        <v>11</v>
      </c>
      <c r="CN10" s="190" t="s">
        <v>141</v>
      </c>
      <c r="CO10" s="206"/>
      <c r="CP10" s="190" t="s">
        <v>11</v>
      </c>
      <c r="CQ10" s="190" t="s">
        <v>11</v>
      </c>
      <c r="CR10" s="190" t="s">
        <v>11</v>
      </c>
      <c r="CS10" s="190" t="s">
        <v>11</v>
      </c>
      <c r="CT10" s="195" t="s">
        <v>11</v>
      </c>
      <c r="CU10" s="190" t="s">
        <v>11</v>
      </c>
      <c r="CV10" s="190" t="s">
        <v>11</v>
      </c>
      <c r="CW10" s="206"/>
      <c r="CX10" s="190" t="s">
        <v>140</v>
      </c>
      <c r="CY10" s="190" t="s">
        <v>140</v>
      </c>
      <c r="CZ10" s="190" t="s">
        <v>148</v>
      </c>
      <c r="DA10" s="190" t="s">
        <v>148</v>
      </c>
      <c r="DB10" s="195" t="s">
        <v>148</v>
      </c>
      <c r="DC10" s="190" t="s">
        <v>148</v>
      </c>
      <c r="DD10" s="190" t="s">
        <v>148</v>
      </c>
      <c r="DE10" s="206"/>
      <c r="DF10" s="190" t="s">
        <v>11</v>
      </c>
      <c r="DG10" s="241"/>
      <c r="DH10" s="241"/>
      <c r="DI10" s="242"/>
      <c r="DJ10" s="242"/>
    </row>
    <row r="11" spans="1:114" ht="12" x14ac:dyDescent="0.2">
      <c r="A11" s="143" t="s">
        <v>158</v>
      </c>
      <c r="B11" s="143"/>
      <c r="C11" s="144" t="s">
        <v>145</v>
      </c>
      <c r="D11" s="144" t="s">
        <v>134</v>
      </c>
      <c r="E11" s="144" t="s">
        <v>133</v>
      </c>
      <c r="F11" s="144" t="s">
        <v>135</v>
      </c>
      <c r="G11" s="145" t="s">
        <v>136</v>
      </c>
      <c r="H11" s="234">
        <f>37500</f>
        <v>37500</v>
      </c>
      <c r="I11" s="147" t="s">
        <v>11</v>
      </c>
      <c r="J11" s="147" t="s">
        <v>159</v>
      </c>
      <c r="K11" s="147" t="s">
        <v>138</v>
      </c>
      <c r="L11" s="147" t="s">
        <v>138</v>
      </c>
      <c r="M11" s="147" t="s">
        <v>138</v>
      </c>
      <c r="N11" s="147" t="s">
        <v>138</v>
      </c>
      <c r="O11" s="192" t="s">
        <v>139</v>
      </c>
      <c r="P11" s="190" t="s">
        <v>140</v>
      </c>
      <c r="Q11" s="190" t="s">
        <v>11</v>
      </c>
      <c r="R11" s="190" t="s">
        <v>140</v>
      </c>
      <c r="S11" s="190" t="s">
        <v>148</v>
      </c>
      <c r="T11" s="190" t="s">
        <v>140</v>
      </c>
      <c r="U11" s="190" t="s">
        <v>140</v>
      </c>
      <c r="V11" s="190" t="s">
        <v>11</v>
      </c>
      <c r="W11" s="190" t="s">
        <v>11</v>
      </c>
      <c r="X11" s="190" t="s">
        <v>140</v>
      </c>
      <c r="Y11" s="190" t="s">
        <v>11</v>
      </c>
      <c r="Z11" s="190" t="s">
        <v>140</v>
      </c>
      <c r="AA11" s="190" t="s">
        <v>11</v>
      </c>
      <c r="AB11" s="190" t="s">
        <v>140</v>
      </c>
      <c r="AC11" s="190" t="s">
        <v>11</v>
      </c>
      <c r="AD11" s="190" t="s">
        <v>11</v>
      </c>
      <c r="AE11" s="190" t="s">
        <v>148</v>
      </c>
      <c r="AF11" s="190" t="s">
        <v>148</v>
      </c>
      <c r="AG11" s="190" t="s">
        <v>140</v>
      </c>
      <c r="AH11" s="191">
        <v>47</v>
      </c>
      <c r="AI11" s="190" t="s">
        <v>140</v>
      </c>
      <c r="AJ11" s="187"/>
      <c r="AK11" s="193" t="s">
        <v>140</v>
      </c>
      <c r="AL11" s="346" t="s">
        <v>11</v>
      </c>
      <c r="AM11" s="206"/>
      <c r="AN11" s="190" t="s">
        <v>11</v>
      </c>
      <c r="AO11" s="190" t="s">
        <v>140</v>
      </c>
      <c r="AP11" s="190" t="s">
        <v>140</v>
      </c>
      <c r="AQ11" s="190" t="s">
        <v>11</v>
      </c>
      <c r="AR11" s="190" t="s">
        <v>140</v>
      </c>
      <c r="AS11" s="190" t="s">
        <v>11</v>
      </c>
      <c r="AT11" s="190" t="s">
        <v>11</v>
      </c>
      <c r="AU11" s="190" t="s">
        <v>140</v>
      </c>
      <c r="AV11" s="190" t="s">
        <v>11</v>
      </c>
      <c r="AW11" s="190" t="s">
        <v>11</v>
      </c>
      <c r="AX11" s="190"/>
      <c r="AY11" s="190"/>
      <c r="AZ11" s="190"/>
      <c r="BA11" s="190"/>
      <c r="BB11" s="190" t="s">
        <v>11</v>
      </c>
      <c r="BC11" s="190"/>
      <c r="BD11" s="190"/>
      <c r="BE11" s="190"/>
      <c r="BF11" s="190"/>
      <c r="BG11" s="245"/>
      <c r="BH11" s="190" t="s">
        <v>11</v>
      </c>
      <c r="BI11" s="192" t="s">
        <v>11</v>
      </c>
      <c r="BJ11" s="190" t="s">
        <v>11</v>
      </c>
      <c r="BK11" s="190" t="s">
        <v>11</v>
      </c>
      <c r="BL11" s="190" t="s">
        <v>11</v>
      </c>
      <c r="BM11" s="190" t="s">
        <v>11</v>
      </c>
      <c r="BN11" s="190" t="s">
        <v>11</v>
      </c>
      <c r="BO11" s="190" t="s">
        <v>11</v>
      </c>
      <c r="BP11" s="190" t="s">
        <v>11</v>
      </c>
      <c r="BQ11" s="206"/>
      <c r="BR11" s="190" t="s">
        <v>141</v>
      </c>
      <c r="BS11" s="190" t="s">
        <v>141</v>
      </c>
      <c r="BT11" s="190" t="s">
        <v>141</v>
      </c>
      <c r="BU11" s="190" t="s">
        <v>141</v>
      </c>
      <c r="BV11" s="190" t="s">
        <v>141</v>
      </c>
      <c r="BW11" s="190" t="s">
        <v>141</v>
      </c>
      <c r="BX11" s="190" t="s">
        <v>11</v>
      </c>
      <c r="BY11" s="190" t="s">
        <v>141</v>
      </c>
      <c r="BZ11" s="190" t="s">
        <v>141</v>
      </c>
      <c r="CA11" s="190" t="s">
        <v>141</v>
      </c>
      <c r="CB11" s="190" t="s">
        <v>141</v>
      </c>
      <c r="CC11" s="206"/>
      <c r="CD11" s="190" t="s">
        <v>141</v>
      </c>
      <c r="CE11" s="190" t="s">
        <v>141</v>
      </c>
      <c r="CF11" s="190" t="s">
        <v>141</v>
      </c>
      <c r="CG11" s="190" t="s">
        <v>141</v>
      </c>
      <c r="CH11" s="190" t="s">
        <v>141</v>
      </c>
      <c r="CI11" s="190" t="s">
        <v>141</v>
      </c>
      <c r="CJ11" s="190" t="s">
        <v>11</v>
      </c>
      <c r="CK11" s="190" t="s">
        <v>141</v>
      </c>
      <c r="CL11" s="190" t="s">
        <v>141</v>
      </c>
      <c r="CM11" s="190" t="s">
        <v>141</v>
      </c>
      <c r="CN11" s="190" t="s">
        <v>141</v>
      </c>
      <c r="CO11" s="206"/>
      <c r="CP11" s="190" t="s">
        <v>11</v>
      </c>
      <c r="CQ11" s="190" t="s">
        <v>11</v>
      </c>
      <c r="CR11" s="190" t="s">
        <v>11</v>
      </c>
      <c r="CS11" s="190" t="s">
        <v>11</v>
      </c>
      <c r="CT11" s="195" t="s">
        <v>11</v>
      </c>
      <c r="CU11" s="190" t="s">
        <v>11</v>
      </c>
      <c r="CV11" s="190" t="s">
        <v>11</v>
      </c>
      <c r="CW11" s="206"/>
      <c r="CX11" s="190" t="s">
        <v>11</v>
      </c>
      <c r="CY11" s="190" t="s">
        <v>11</v>
      </c>
      <c r="CZ11" s="190" t="s">
        <v>11</v>
      </c>
      <c r="DA11" s="190" t="s">
        <v>11</v>
      </c>
      <c r="DB11" s="190" t="s">
        <v>11</v>
      </c>
      <c r="DC11" s="190" t="s">
        <v>11</v>
      </c>
      <c r="DD11" s="190" t="s">
        <v>11</v>
      </c>
      <c r="DE11" s="206"/>
      <c r="DF11" s="190" t="s">
        <v>11</v>
      </c>
      <c r="DG11" s="241"/>
      <c r="DH11" s="241"/>
      <c r="DI11" s="242"/>
      <c r="DJ11" s="242"/>
    </row>
    <row r="12" spans="1:114" ht="12" x14ac:dyDescent="0.2">
      <c r="A12" s="143" t="s">
        <v>160</v>
      </c>
      <c r="B12" s="143"/>
      <c r="C12" s="144" t="s">
        <v>145</v>
      </c>
      <c r="D12" s="144" t="s">
        <v>134</v>
      </c>
      <c r="E12" s="144" t="s">
        <v>133</v>
      </c>
      <c r="F12" s="144" t="s">
        <v>135</v>
      </c>
      <c r="G12" s="145" t="s">
        <v>136</v>
      </c>
      <c r="H12" s="234">
        <f>42500</f>
        <v>42500</v>
      </c>
      <c r="I12" s="147" t="s">
        <v>11</v>
      </c>
      <c r="J12" s="147" t="s">
        <v>161</v>
      </c>
      <c r="K12" s="147"/>
      <c r="L12" s="147"/>
      <c r="M12" s="147"/>
      <c r="N12" s="147"/>
      <c r="O12" s="192" t="s">
        <v>139</v>
      </c>
      <c r="P12" s="190" t="s">
        <v>11</v>
      </c>
      <c r="Q12" s="190" t="s">
        <v>11</v>
      </c>
      <c r="R12" s="190" t="s">
        <v>11</v>
      </c>
      <c r="S12" s="190" t="s">
        <v>11</v>
      </c>
      <c r="T12" s="190" t="s">
        <v>11</v>
      </c>
      <c r="U12" s="190" t="s">
        <v>11</v>
      </c>
      <c r="V12" s="190" t="s">
        <v>11</v>
      </c>
      <c r="W12" s="190" t="s">
        <v>11</v>
      </c>
      <c r="X12" s="190" t="s">
        <v>11</v>
      </c>
      <c r="Y12" s="190" t="s">
        <v>11</v>
      </c>
      <c r="Z12" s="190" t="s">
        <v>11</v>
      </c>
      <c r="AA12" s="190" t="s">
        <v>11</v>
      </c>
      <c r="AB12" s="190" t="s">
        <v>11</v>
      </c>
      <c r="AC12" s="190" t="s">
        <v>11</v>
      </c>
      <c r="AD12" s="190" t="s">
        <v>11</v>
      </c>
      <c r="AE12" s="190" t="s">
        <v>11</v>
      </c>
      <c r="AF12" s="190" t="s">
        <v>11</v>
      </c>
      <c r="AG12" s="190" t="s">
        <v>11</v>
      </c>
      <c r="AH12" s="191">
        <v>0</v>
      </c>
      <c r="AI12" s="190" t="s">
        <v>11</v>
      </c>
      <c r="AJ12" s="187"/>
      <c r="AK12" s="193" t="s">
        <v>11</v>
      </c>
      <c r="AL12" s="346" t="s">
        <v>11</v>
      </c>
      <c r="AM12" s="206"/>
      <c r="AN12" s="190" t="s">
        <v>11</v>
      </c>
      <c r="AO12" s="190" t="s">
        <v>11</v>
      </c>
      <c r="AP12" s="190" t="s">
        <v>11</v>
      </c>
      <c r="AQ12" s="190" t="s">
        <v>11</v>
      </c>
      <c r="AR12" s="190" t="s">
        <v>148</v>
      </c>
      <c r="AS12" s="190" t="s">
        <v>11</v>
      </c>
      <c r="AT12" s="190" t="s">
        <v>11</v>
      </c>
      <c r="AU12" s="190" t="s">
        <v>148</v>
      </c>
      <c r="AV12" s="190"/>
      <c r="AW12" s="190"/>
      <c r="AX12" s="190"/>
      <c r="AY12" s="190"/>
      <c r="AZ12" s="190"/>
      <c r="BA12" s="190"/>
      <c r="BB12" s="190" t="s">
        <v>11</v>
      </c>
      <c r="BC12" s="190"/>
      <c r="BD12" s="190"/>
      <c r="BE12" s="190"/>
      <c r="BF12" s="190"/>
      <c r="BG12" s="245"/>
      <c r="BH12" s="190" t="s">
        <v>11</v>
      </c>
      <c r="BI12" s="192" t="s">
        <v>11</v>
      </c>
      <c r="BJ12" s="190" t="s">
        <v>11</v>
      </c>
      <c r="BK12" s="190" t="s">
        <v>11</v>
      </c>
      <c r="BL12" s="190" t="s">
        <v>11</v>
      </c>
      <c r="BM12" s="190" t="s">
        <v>11</v>
      </c>
      <c r="BN12" s="190" t="s">
        <v>11</v>
      </c>
      <c r="BO12" s="190" t="s">
        <v>11</v>
      </c>
      <c r="BP12" s="190" t="s">
        <v>11</v>
      </c>
      <c r="BQ12" s="206"/>
      <c r="BR12" s="190" t="s">
        <v>11</v>
      </c>
      <c r="BS12" s="190" t="s">
        <v>11</v>
      </c>
      <c r="BT12" s="190" t="s">
        <v>11</v>
      </c>
      <c r="BU12" s="190" t="s">
        <v>11</v>
      </c>
      <c r="BV12" s="190" t="s">
        <v>11</v>
      </c>
      <c r="BW12" s="190" t="s">
        <v>11</v>
      </c>
      <c r="BX12" s="190" t="s">
        <v>11</v>
      </c>
      <c r="BY12" s="190" t="s">
        <v>11</v>
      </c>
      <c r="BZ12" s="190" t="s">
        <v>11</v>
      </c>
      <c r="CA12" s="190" t="s">
        <v>11</v>
      </c>
      <c r="CB12" s="190" t="s">
        <v>11</v>
      </c>
      <c r="CC12" s="206"/>
      <c r="CD12" s="190" t="s">
        <v>11</v>
      </c>
      <c r="CE12" s="190" t="s">
        <v>11</v>
      </c>
      <c r="CF12" s="190" t="s">
        <v>11</v>
      </c>
      <c r="CG12" s="190" t="s">
        <v>11</v>
      </c>
      <c r="CH12" s="190" t="s">
        <v>11</v>
      </c>
      <c r="CI12" s="190" t="s">
        <v>11</v>
      </c>
      <c r="CJ12" s="190" t="s">
        <v>11</v>
      </c>
      <c r="CK12" s="190" t="s">
        <v>11</v>
      </c>
      <c r="CL12" s="190" t="s">
        <v>11</v>
      </c>
      <c r="CM12" s="190" t="s">
        <v>11</v>
      </c>
      <c r="CN12" s="190" t="s">
        <v>11</v>
      </c>
      <c r="CO12" s="206"/>
      <c r="CP12" s="190" t="s">
        <v>11</v>
      </c>
      <c r="CQ12" s="190" t="s">
        <v>11</v>
      </c>
      <c r="CR12" s="190" t="s">
        <v>11</v>
      </c>
      <c r="CS12" s="190" t="s">
        <v>11</v>
      </c>
      <c r="CT12" s="190" t="s">
        <v>11</v>
      </c>
      <c r="CU12" s="190" t="s">
        <v>11</v>
      </c>
      <c r="CV12" s="190" t="s">
        <v>11</v>
      </c>
      <c r="CW12" s="206"/>
      <c r="CX12" s="190" t="s">
        <v>11</v>
      </c>
      <c r="CY12" s="190" t="s">
        <v>11</v>
      </c>
      <c r="CZ12" s="190" t="s">
        <v>11</v>
      </c>
      <c r="DA12" s="190" t="s">
        <v>11</v>
      </c>
      <c r="DB12" s="190" t="s">
        <v>11</v>
      </c>
      <c r="DC12" s="190" t="s">
        <v>11</v>
      </c>
      <c r="DD12" s="190" t="s">
        <v>11</v>
      </c>
      <c r="DE12" s="206"/>
      <c r="DF12" s="190" t="s">
        <v>11</v>
      </c>
      <c r="DG12" s="241"/>
      <c r="DH12" s="241"/>
      <c r="DI12" s="242"/>
      <c r="DJ12" s="242"/>
    </row>
    <row r="13" spans="1:114" ht="12" x14ac:dyDescent="0.2">
      <c r="A13" s="143" t="s">
        <v>162</v>
      </c>
      <c r="B13" s="143" t="s">
        <v>163</v>
      </c>
      <c r="C13" s="144" t="s">
        <v>164</v>
      </c>
      <c r="D13" s="144" t="s">
        <v>134</v>
      </c>
      <c r="E13" s="144" t="s">
        <v>133</v>
      </c>
      <c r="F13" s="144" t="s">
        <v>135</v>
      </c>
      <c r="G13" s="145" t="s">
        <v>136</v>
      </c>
      <c r="H13" s="234">
        <v>25000</v>
      </c>
      <c r="I13" s="147" t="s">
        <v>11</v>
      </c>
      <c r="J13" s="147" t="s">
        <v>157</v>
      </c>
      <c r="K13" s="147" t="s">
        <v>147</v>
      </c>
      <c r="L13" s="147" t="s">
        <v>138</v>
      </c>
      <c r="M13" s="147" t="s">
        <v>138</v>
      </c>
      <c r="N13" s="147" t="s">
        <v>138</v>
      </c>
      <c r="O13" s="192" t="s">
        <v>139</v>
      </c>
      <c r="P13" s="190" t="s">
        <v>140</v>
      </c>
      <c r="Q13" s="190" t="s">
        <v>11</v>
      </c>
      <c r="R13" s="190" t="s">
        <v>11</v>
      </c>
      <c r="S13" s="190" t="s">
        <v>11</v>
      </c>
      <c r="T13" s="190" t="s">
        <v>11</v>
      </c>
      <c r="U13" s="190" t="s">
        <v>11</v>
      </c>
      <c r="V13" s="190" t="s">
        <v>11</v>
      </c>
      <c r="W13" s="190" t="s">
        <v>11</v>
      </c>
      <c r="X13" s="190" t="s">
        <v>11</v>
      </c>
      <c r="Y13" s="190" t="s">
        <v>11</v>
      </c>
      <c r="Z13" s="190" t="s">
        <v>140</v>
      </c>
      <c r="AA13" s="190" t="s">
        <v>11</v>
      </c>
      <c r="AB13" s="190" t="s">
        <v>140</v>
      </c>
      <c r="AC13" s="190" t="s">
        <v>11</v>
      </c>
      <c r="AD13" s="190" t="s">
        <v>11</v>
      </c>
      <c r="AE13" s="190" t="s">
        <v>140</v>
      </c>
      <c r="AF13" s="190" t="s">
        <v>140</v>
      </c>
      <c r="AG13" s="190" t="s">
        <v>140</v>
      </c>
      <c r="AH13" s="191">
        <v>1</v>
      </c>
      <c r="AI13" s="190" t="s">
        <v>140</v>
      </c>
      <c r="AJ13" s="187"/>
      <c r="AK13" s="193" t="s">
        <v>140</v>
      </c>
      <c r="AL13" s="346" t="s">
        <v>148</v>
      </c>
      <c r="AM13" s="206"/>
      <c r="AN13" s="190" t="s">
        <v>11</v>
      </c>
      <c r="AO13" s="190" t="s">
        <v>11</v>
      </c>
      <c r="AP13" s="190" t="s">
        <v>11</v>
      </c>
      <c r="AQ13" s="190" t="s">
        <v>11</v>
      </c>
      <c r="AR13" s="190" t="s">
        <v>11</v>
      </c>
      <c r="AS13" s="190" t="s">
        <v>11</v>
      </c>
      <c r="AT13" s="190" t="s">
        <v>11</v>
      </c>
      <c r="AU13" s="190" t="s">
        <v>11</v>
      </c>
      <c r="AV13" s="190" t="s">
        <v>140</v>
      </c>
      <c r="AW13" s="190" t="s">
        <v>11</v>
      </c>
      <c r="AX13" s="190"/>
      <c r="AY13" s="190"/>
      <c r="AZ13" s="190"/>
      <c r="BA13" s="190"/>
      <c r="BB13" s="190" t="s">
        <v>140</v>
      </c>
      <c r="BC13" s="190"/>
      <c r="BD13" s="190"/>
      <c r="BE13" s="190"/>
      <c r="BF13" s="190"/>
      <c r="BG13" s="245"/>
      <c r="BH13" s="190" t="s">
        <v>11</v>
      </c>
      <c r="BI13" s="192" t="s">
        <v>11</v>
      </c>
      <c r="BJ13" s="190" t="s">
        <v>11</v>
      </c>
      <c r="BK13" s="190" t="s">
        <v>11</v>
      </c>
      <c r="BL13" s="190" t="s">
        <v>11</v>
      </c>
      <c r="BM13" s="190" t="s">
        <v>11</v>
      </c>
      <c r="BN13" s="190" t="s">
        <v>11</v>
      </c>
      <c r="BO13" s="190" t="s">
        <v>11</v>
      </c>
      <c r="BP13" s="190" t="s">
        <v>11</v>
      </c>
      <c r="BQ13" s="206"/>
      <c r="BR13" s="190" t="s">
        <v>141</v>
      </c>
      <c r="BS13" s="190" t="s">
        <v>141</v>
      </c>
      <c r="BT13" s="190" t="s">
        <v>141</v>
      </c>
      <c r="BU13" s="190" t="s">
        <v>141</v>
      </c>
      <c r="BV13" s="190" t="s">
        <v>141</v>
      </c>
      <c r="BW13" s="190" t="s">
        <v>141</v>
      </c>
      <c r="BX13" s="190" t="s">
        <v>141</v>
      </c>
      <c r="BY13" s="190" t="s">
        <v>141</v>
      </c>
      <c r="BZ13" s="190" t="s">
        <v>141</v>
      </c>
      <c r="CA13" s="190" t="s">
        <v>141</v>
      </c>
      <c r="CB13" s="190" t="s">
        <v>141</v>
      </c>
      <c r="CC13" s="206"/>
      <c r="CD13" s="190" t="s">
        <v>141</v>
      </c>
      <c r="CE13" s="190" t="s">
        <v>141</v>
      </c>
      <c r="CF13" s="190" t="s">
        <v>141</v>
      </c>
      <c r="CG13" s="190" t="s">
        <v>141</v>
      </c>
      <c r="CH13" s="190" t="s">
        <v>141</v>
      </c>
      <c r="CI13" s="190" t="s">
        <v>141</v>
      </c>
      <c r="CJ13" s="190" t="s">
        <v>141</v>
      </c>
      <c r="CK13" s="190" t="s">
        <v>141</v>
      </c>
      <c r="CL13" s="190" t="s">
        <v>141</v>
      </c>
      <c r="CM13" s="190" t="s">
        <v>141</v>
      </c>
      <c r="CN13" s="190" t="s">
        <v>141</v>
      </c>
      <c r="CO13" s="206"/>
      <c r="CP13" s="190" t="s">
        <v>11</v>
      </c>
      <c r="CQ13" s="190" t="s">
        <v>11</v>
      </c>
      <c r="CR13" s="190" t="s">
        <v>11</v>
      </c>
      <c r="CS13" s="190" t="s">
        <v>11</v>
      </c>
      <c r="CT13" s="190" t="s">
        <v>11</v>
      </c>
      <c r="CU13" s="190" t="s">
        <v>11</v>
      </c>
      <c r="CV13" s="190" t="s">
        <v>11</v>
      </c>
      <c r="CW13" s="206"/>
      <c r="CX13" s="190" t="s">
        <v>140</v>
      </c>
      <c r="CY13" s="190"/>
      <c r="CZ13" s="190"/>
      <c r="DA13" s="190"/>
      <c r="DB13" s="190"/>
      <c r="DC13" s="190"/>
      <c r="DD13" s="190"/>
      <c r="DE13" s="206"/>
      <c r="DF13" s="190" t="s">
        <v>11</v>
      </c>
      <c r="DG13" s="241"/>
      <c r="DH13" s="241"/>
      <c r="DI13" s="242"/>
      <c r="DJ13" s="242"/>
    </row>
    <row r="14" spans="1:114" ht="12" x14ac:dyDescent="0.2">
      <c r="A14" s="143" t="s">
        <v>165</v>
      </c>
      <c r="B14" s="143" t="s">
        <v>166</v>
      </c>
      <c r="C14" s="144" t="s">
        <v>164</v>
      </c>
      <c r="D14" s="144" t="s">
        <v>134</v>
      </c>
      <c r="E14" s="144" t="s">
        <v>133</v>
      </c>
      <c r="F14" s="144" t="s">
        <v>135</v>
      </c>
      <c r="G14" s="145" t="s">
        <v>136</v>
      </c>
      <c r="H14" s="234">
        <v>55000</v>
      </c>
      <c r="I14" s="147">
        <v>7500</v>
      </c>
      <c r="J14" s="147" t="s">
        <v>167</v>
      </c>
      <c r="K14" s="147" t="s">
        <v>147</v>
      </c>
      <c r="L14" s="147" t="s">
        <v>138</v>
      </c>
      <c r="M14" s="147" t="s">
        <v>147</v>
      </c>
      <c r="N14" s="147" t="s">
        <v>138</v>
      </c>
      <c r="O14" s="192" t="s">
        <v>139</v>
      </c>
      <c r="P14" s="190" t="s">
        <v>140</v>
      </c>
      <c r="Q14" s="190" t="s">
        <v>11</v>
      </c>
      <c r="R14" s="190" t="s">
        <v>140</v>
      </c>
      <c r="S14" s="190" t="s">
        <v>140</v>
      </c>
      <c r="T14" s="190" t="s">
        <v>140</v>
      </c>
      <c r="U14" s="190" t="s">
        <v>140</v>
      </c>
      <c r="V14" s="190" t="s">
        <v>11</v>
      </c>
      <c r="W14" s="190" t="s">
        <v>11</v>
      </c>
      <c r="X14" s="190" t="s">
        <v>11</v>
      </c>
      <c r="Y14" s="190" t="s">
        <v>140</v>
      </c>
      <c r="Z14" s="190" t="s">
        <v>140</v>
      </c>
      <c r="AA14" s="190" t="s">
        <v>11</v>
      </c>
      <c r="AB14" s="190" t="s">
        <v>140</v>
      </c>
      <c r="AC14" s="190" t="s">
        <v>11</v>
      </c>
      <c r="AD14" s="190" t="s">
        <v>11</v>
      </c>
      <c r="AE14" s="190" t="s">
        <v>140</v>
      </c>
      <c r="AF14" s="190" t="s">
        <v>148</v>
      </c>
      <c r="AG14" s="190" t="s">
        <v>140</v>
      </c>
      <c r="AH14" s="191">
        <v>0</v>
      </c>
      <c r="AI14" s="190" t="s">
        <v>11</v>
      </c>
      <c r="AJ14" s="187"/>
      <c r="AK14" s="193" t="s">
        <v>140</v>
      </c>
      <c r="AL14" s="346" t="s">
        <v>140</v>
      </c>
      <c r="AM14" s="206"/>
      <c r="AN14" s="190" t="s">
        <v>11</v>
      </c>
      <c r="AO14" s="190" t="s">
        <v>140</v>
      </c>
      <c r="AP14" s="190" t="s">
        <v>11</v>
      </c>
      <c r="AQ14" s="190" t="s">
        <v>11</v>
      </c>
      <c r="AR14" s="190" t="s">
        <v>140</v>
      </c>
      <c r="AS14" s="190" t="s">
        <v>140</v>
      </c>
      <c r="AT14" s="190" t="s">
        <v>11</v>
      </c>
      <c r="AU14" s="190" t="s">
        <v>11</v>
      </c>
      <c r="AV14" s="190" t="s">
        <v>11</v>
      </c>
      <c r="AW14" s="190" t="s">
        <v>11</v>
      </c>
      <c r="AX14" s="190"/>
      <c r="AY14" s="190"/>
      <c r="AZ14" s="190"/>
      <c r="BA14" s="190"/>
      <c r="BB14" s="190" t="s">
        <v>11</v>
      </c>
      <c r="BC14" s="190"/>
      <c r="BD14" s="190"/>
      <c r="BE14" s="190"/>
      <c r="BF14" s="190"/>
      <c r="BG14" s="245"/>
      <c r="BH14" s="190" t="s">
        <v>168</v>
      </c>
      <c r="BI14" s="192" t="s">
        <v>11</v>
      </c>
      <c r="BJ14" s="190" t="s">
        <v>11</v>
      </c>
      <c r="BK14" s="190" t="s">
        <v>169</v>
      </c>
      <c r="BL14" s="190" t="s">
        <v>140</v>
      </c>
      <c r="BM14" s="190" t="s">
        <v>140</v>
      </c>
      <c r="BN14" s="190" t="s">
        <v>170</v>
      </c>
      <c r="BO14" s="190" t="s">
        <v>140</v>
      </c>
      <c r="BP14" s="190" t="s">
        <v>140</v>
      </c>
      <c r="BQ14" s="206"/>
      <c r="BR14" s="190" t="s">
        <v>141</v>
      </c>
      <c r="BS14" s="190" t="s">
        <v>141</v>
      </c>
      <c r="BT14" s="190" t="s">
        <v>141</v>
      </c>
      <c r="BU14" s="190" t="s">
        <v>141</v>
      </c>
      <c r="BV14" s="190" t="s">
        <v>141</v>
      </c>
      <c r="BW14" s="190" t="s">
        <v>141</v>
      </c>
      <c r="BX14" s="190" t="s">
        <v>141</v>
      </c>
      <c r="BY14" s="190" t="s">
        <v>141</v>
      </c>
      <c r="BZ14" s="190" t="s">
        <v>141</v>
      </c>
      <c r="CA14" s="190" t="s">
        <v>141</v>
      </c>
      <c r="CB14" s="190" t="s">
        <v>141</v>
      </c>
      <c r="CC14" s="206"/>
      <c r="CD14" s="190" t="s">
        <v>141</v>
      </c>
      <c r="CE14" s="190" t="s">
        <v>141</v>
      </c>
      <c r="CF14" s="190" t="s">
        <v>141</v>
      </c>
      <c r="CG14" s="190" t="s">
        <v>141</v>
      </c>
      <c r="CH14" s="190" t="s">
        <v>141</v>
      </c>
      <c r="CI14" s="190" t="s">
        <v>141</v>
      </c>
      <c r="CJ14" s="190" t="s">
        <v>11</v>
      </c>
      <c r="CK14" s="190" t="s">
        <v>11</v>
      </c>
      <c r="CL14" s="190" t="s">
        <v>141</v>
      </c>
      <c r="CM14" s="190" t="s">
        <v>141</v>
      </c>
      <c r="CN14" s="190" t="s">
        <v>141</v>
      </c>
      <c r="CO14" s="206"/>
      <c r="CP14" s="190" t="s">
        <v>140</v>
      </c>
      <c r="CQ14" s="190" t="s">
        <v>148</v>
      </c>
      <c r="CR14" s="190" t="s">
        <v>148</v>
      </c>
      <c r="CS14" s="190" t="s">
        <v>148</v>
      </c>
      <c r="CT14" s="190" t="s">
        <v>148</v>
      </c>
      <c r="CU14" s="190" t="s">
        <v>148</v>
      </c>
      <c r="CV14" s="190" t="s">
        <v>148</v>
      </c>
      <c r="CW14" s="206"/>
      <c r="CX14" s="190" t="s">
        <v>11</v>
      </c>
      <c r="CY14" s="190"/>
      <c r="CZ14" s="190"/>
      <c r="DA14" s="190"/>
      <c r="DB14" s="190"/>
      <c r="DC14" s="190"/>
      <c r="DD14" s="190"/>
      <c r="DE14" s="206"/>
      <c r="DF14" s="190" t="s">
        <v>11</v>
      </c>
      <c r="DG14" s="241"/>
      <c r="DH14" s="241"/>
      <c r="DI14" s="242"/>
      <c r="DJ14" s="242"/>
    </row>
    <row r="15" spans="1:114" ht="12" x14ac:dyDescent="0.2">
      <c r="A15" s="143" t="s">
        <v>171</v>
      </c>
      <c r="B15" s="143" t="s">
        <v>11</v>
      </c>
      <c r="C15" s="144" t="s">
        <v>164</v>
      </c>
      <c r="D15" s="144" t="s">
        <v>134</v>
      </c>
      <c r="E15" s="144" t="s">
        <v>133</v>
      </c>
      <c r="F15" s="144" t="s">
        <v>135</v>
      </c>
      <c r="G15" s="145" t="s">
        <v>136</v>
      </c>
      <c r="H15" s="173">
        <v>750</v>
      </c>
      <c r="I15" s="147" t="s">
        <v>11</v>
      </c>
      <c r="J15" s="147" t="s">
        <v>167</v>
      </c>
      <c r="K15" s="147" t="s">
        <v>11</v>
      </c>
      <c r="L15" s="147" t="s">
        <v>11</v>
      </c>
      <c r="M15" s="147" t="s">
        <v>147</v>
      </c>
      <c r="N15" s="147" t="s">
        <v>138</v>
      </c>
      <c r="O15" s="192" t="s">
        <v>11</v>
      </c>
      <c r="P15" s="190" t="s">
        <v>11</v>
      </c>
      <c r="Q15" s="190" t="s">
        <v>11</v>
      </c>
      <c r="R15" s="190" t="s">
        <v>11</v>
      </c>
      <c r="S15" s="190" t="s">
        <v>11</v>
      </c>
      <c r="T15" s="190" t="s">
        <v>11</v>
      </c>
      <c r="U15" s="190" t="s">
        <v>11</v>
      </c>
      <c r="V15" s="190" t="s">
        <v>11</v>
      </c>
      <c r="W15" s="190" t="s">
        <v>11</v>
      </c>
      <c r="X15" s="190" t="s">
        <v>11</v>
      </c>
      <c r="Y15" s="190" t="s">
        <v>11</v>
      </c>
      <c r="Z15" s="190" t="s">
        <v>11</v>
      </c>
      <c r="AA15" s="190" t="s">
        <v>11</v>
      </c>
      <c r="AB15" s="190" t="s">
        <v>11</v>
      </c>
      <c r="AC15" s="190" t="s">
        <v>11</v>
      </c>
      <c r="AD15" s="190" t="s">
        <v>11</v>
      </c>
      <c r="AE15" s="190" t="s">
        <v>140</v>
      </c>
      <c r="AF15" s="190" t="s">
        <v>11</v>
      </c>
      <c r="AG15" s="190" t="s">
        <v>11</v>
      </c>
      <c r="AH15" s="191">
        <v>0</v>
      </c>
      <c r="AI15" s="190" t="s">
        <v>11</v>
      </c>
      <c r="AJ15" s="187"/>
      <c r="AK15" s="193" t="s">
        <v>11</v>
      </c>
      <c r="AL15" s="346" t="s">
        <v>11</v>
      </c>
      <c r="AM15" s="206"/>
      <c r="AN15" s="190" t="s">
        <v>11</v>
      </c>
      <c r="AO15" s="190" t="s">
        <v>11</v>
      </c>
      <c r="AP15" s="190" t="s">
        <v>11</v>
      </c>
      <c r="AQ15" s="190" t="s">
        <v>11</v>
      </c>
      <c r="AR15" s="190" t="s">
        <v>11</v>
      </c>
      <c r="AS15" s="190" t="s">
        <v>11</v>
      </c>
      <c r="AT15" s="190" t="s">
        <v>11</v>
      </c>
      <c r="AU15" s="190" t="s">
        <v>11</v>
      </c>
      <c r="AV15" s="190" t="s">
        <v>11</v>
      </c>
      <c r="AW15" s="190" t="s">
        <v>11</v>
      </c>
      <c r="AX15" s="190"/>
      <c r="AY15" s="190"/>
      <c r="AZ15" s="190"/>
      <c r="BA15" s="190"/>
      <c r="BB15" s="190" t="s">
        <v>11</v>
      </c>
      <c r="BC15" s="190"/>
      <c r="BD15" s="190"/>
      <c r="BE15" s="190"/>
      <c r="BF15" s="190"/>
      <c r="BG15" s="245"/>
      <c r="BH15" s="190" t="s">
        <v>11</v>
      </c>
      <c r="BI15" s="192" t="s">
        <v>11</v>
      </c>
      <c r="BJ15" s="190" t="s">
        <v>11</v>
      </c>
      <c r="BK15" s="190" t="s">
        <v>11</v>
      </c>
      <c r="BL15" s="190" t="s">
        <v>11</v>
      </c>
      <c r="BM15" s="190" t="s">
        <v>11</v>
      </c>
      <c r="BN15" s="190" t="s">
        <v>11</v>
      </c>
      <c r="BO15" s="190" t="s">
        <v>11</v>
      </c>
      <c r="BP15" s="190" t="s">
        <v>11</v>
      </c>
      <c r="BQ15" s="206"/>
      <c r="BR15" s="190" t="s">
        <v>11</v>
      </c>
      <c r="BS15" s="190" t="s">
        <v>11</v>
      </c>
      <c r="BT15" s="190" t="s">
        <v>11</v>
      </c>
      <c r="BU15" s="190" t="s">
        <v>11</v>
      </c>
      <c r="BV15" s="190" t="s">
        <v>11</v>
      </c>
      <c r="BW15" s="190" t="s">
        <v>11</v>
      </c>
      <c r="BX15" s="190" t="s">
        <v>11</v>
      </c>
      <c r="BY15" s="190" t="s">
        <v>11</v>
      </c>
      <c r="BZ15" s="190" t="s">
        <v>11</v>
      </c>
      <c r="CA15" s="190" t="s">
        <v>11</v>
      </c>
      <c r="CB15" s="190" t="s">
        <v>11</v>
      </c>
      <c r="CC15" s="206"/>
      <c r="CD15" s="190" t="s">
        <v>11</v>
      </c>
      <c r="CE15" s="190" t="s">
        <v>11</v>
      </c>
      <c r="CF15" s="190" t="s">
        <v>11</v>
      </c>
      <c r="CG15" s="190" t="s">
        <v>11</v>
      </c>
      <c r="CH15" s="190" t="s">
        <v>11</v>
      </c>
      <c r="CI15" s="190" t="s">
        <v>11</v>
      </c>
      <c r="CJ15" s="190" t="s">
        <v>11</v>
      </c>
      <c r="CK15" s="190" t="s">
        <v>11</v>
      </c>
      <c r="CL15" s="190" t="s">
        <v>11</v>
      </c>
      <c r="CM15" s="190" t="s">
        <v>11</v>
      </c>
      <c r="CN15" s="190" t="s">
        <v>11</v>
      </c>
      <c r="CO15" s="206"/>
      <c r="CP15" s="190" t="s">
        <v>11</v>
      </c>
      <c r="CQ15" s="190" t="s">
        <v>11</v>
      </c>
      <c r="CR15" s="190" t="s">
        <v>11</v>
      </c>
      <c r="CS15" s="190" t="s">
        <v>11</v>
      </c>
      <c r="CT15" s="190" t="s">
        <v>11</v>
      </c>
      <c r="CU15" s="190" t="s">
        <v>11</v>
      </c>
      <c r="CV15" s="190" t="s">
        <v>11</v>
      </c>
      <c r="CW15" s="206"/>
      <c r="CX15" s="190" t="s">
        <v>11</v>
      </c>
      <c r="CY15" s="190"/>
      <c r="CZ15" s="190"/>
      <c r="DA15" s="190"/>
      <c r="DB15" s="190"/>
      <c r="DC15" s="190"/>
      <c r="DD15" s="190"/>
      <c r="DE15" s="206"/>
      <c r="DF15" s="190" t="s">
        <v>11</v>
      </c>
      <c r="DG15" s="241"/>
      <c r="DH15" s="241"/>
      <c r="DI15" s="242"/>
      <c r="DJ15" s="242"/>
    </row>
    <row r="16" spans="1:114" ht="12" x14ac:dyDescent="0.2">
      <c r="A16" s="150"/>
      <c r="B16" s="150"/>
      <c r="C16" s="150"/>
      <c r="D16" s="150"/>
      <c r="E16" s="150"/>
      <c r="F16" s="150"/>
      <c r="G16" s="150"/>
      <c r="H16" s="235"/>
      <c r="I16" s="151"/>
      <c r="J16" s="151"/>
      <c r="K16" s="151"/>
      <c r="L16" s="151"/>
      <c r="M16" s="151"/>
      <c r="N16" s="151"/>
      <c r="O16" s="199"/>
      <c r="P16" s="174"/>
      <c r="Q16" s="174"/>
      <c r="R16" s="174"/>
      <c r="S16" s="174"/>
      <c r="T16" s="174"/>
      <c r="U16" s="174"/>
      <c r="V16" s="174"/>
      <c r="W16" s="174"/>
      <c r="X16" s="174"/>
      <c r="Y16" s="174"/>
      <c r="Z16" s="174"/>
      <c r="AA16" s="174"/>
      <c r="AB16" s="174"/>
      <c r="AC16" s="174"/>
      <c r="AD16" s="174"/>
      <c r="AE16" s="174"/>
      <c r="AF16" s="174"/>
      <c r="AG16" s="174"/>
      <c r="AH16" s="198"/>
      <c r="AI16" s="174"/>
      <c r="AJ16" s="187"/>
      <c r="AK16" s="174"/>
      <c r="AL16" s="174"/>
      <c r="AM16" s="206"/>
      <c r="AN16" s="174"/>
      <c r="AO16" s="174"/>
      <c r="AP16" s="174"/>
      <c r="AQ16" s="174"/>
      <c r="AR16" s="174"/>
      <c r="AS16" s="174"/>
      <c r="AT16" s="174"/>
      <c r="AU16" s="174"/>
      <c r="AV16" s="174"/>
      <c r="AW16" s="174"/>
      <c r="AX16" s="174"/>
      <c r="AY16" s="174"/>
      <c r="AZ16" s="174"/>
      <c r="BA16" s="174"/>
      <c r="BB16" s="174"/>
      <c r="BC16" s="174"/>
      <c r="BD16" s="174"/>
      <c r="BE16" s="174"/>
      <c r="BF16" s="174"/>
      <c r="BG16" s="245"/>
      <c r="BH16" s="174"/>
      <c r="BI16" s="247"/>
      <c r="BJ16" s="174"/>
      <c r="BK16" s="174"/>
      <c r="BL16" s="174"/>
      <c r="BM16" s="174"/>
      <c r="BN16" s="174"/>
      <c r="BO16" s="174"/>
      <c r="BP16" s="174"/>
      <c r="BQ16" s="206"/>
      <c r="BR16" s="174"/>
      <c r="BS16" s="200"/>
      <c r="BT16" s="200"/>
      <c r="BU16" s="200"/>
      <c r="BV16" s="200"/>
      <c r="BW16" s="174"/>
      <c r="BX16" s="174"/>
      <c r="BY16" s="174"/>
      <c r="BZ16" s="174"/>
      <c r="CA16" s="174"/>
      <c r="CB16" s="174"/>
      <c r="CC16" s="206"/>
      <c r="CD16" s="174"/>
      <c r="CE16" s="174"/>
      <c r="CF16" s="174"/>
      <c r="CG16" s="174"/>
      <c r="CH16" s="174"/>
      <c r="CI16" s="174"/>
      <c r="CJ16" s="174"/>
      <c r="CK16" s="174"/>
      <c r="CL16" s="174"/>
      <c r="CM16" s="174"/>
      <c r="CN16" s="174"/>
      <c r="CO16" s="206"/>
      <c r="CP16" s="174"/>
      <c r="CQ16" s="174"/>
      <c r="CR16" s="174"/>
      <c r="CS16" s="174"/>
      <c r="CT16" s="174"/>
      <c r="CU16" s="174"/>
      <c r="CV16" s="174"/>
      <c r="CW16" s="206"/>
      <c r="CX16" s="174"/>
      <c r="CY16" s="174"/>
      <c r="CZ16" s="174"/>
      <c r="DA16" s="174"/>
      <c r="DB16" s="174"/>
      <c r="DC16" s="174"/>
      <c r="DD16" s="174"/>
      <c r="DE16" s="206"/>
      <c r="DF16" s="174"/>
      <c r="DG16" s="241"/>
      <c r="DH16" s="241"/>
      <c r="DI16" s="242"/>
      <c r="DJ16" s="242"/>
    </row>
    <row r="17" spans="1:2941" ht="12" x14ac:dyDescent="0.2">
      <c r="A17" s="364" t="s">
        <v>172</v>
      </c>
      <c r="B17" s="365"/>
      <c r="C17" s="365"/>
      <c r="D17" s="365"/>
      <c r="E17" s="365"/>
      <c r="F17" s="365"/>
      <c r="G17" s="365"/>
      <c r="H17" s="233"/>
      <c r="I17" s="141"/>
      <c r="J17" s="141"/>
      <c r="K17" s="141"/>
      <c r="L17" s="141"/>
      <c r="M17" s="141"/>
      <c r="N17" s="141"/>
      <c r="O17" s="186"/>
      <c r="P17" s="200"/>
      <c r="Q17" s="200"/>
      <c r="R17" s="200"/>
      <c r="S17" s="200"/>
      <c r="T17" s="200"/>
      <c r="U17" s="200"/>
      <c r="V17" s="200"/>
      <c r="W17" s="200"/>
      <c r="X17" s="200"/>
      <c r="Y17" s="200"/>
      <c r="Z17" s="200"/>
      <c r="AA17" s="200"/>
      <c r="AB17" s="200"/>
      <c r="AC17" s="200"/>
      <c r="AD17" s="200"/>
      <c r="AE17" s="200"/>
      <c r="AF17" s="200"/>
      <c r="AG17" s="200"/>
      <c r="AH17" s="200"/>
      <c r="AI17" s="200"/>
      <c r="AJ17" s="186"/>
      <c r="AK17" s="200"/>
      <c r="AL17" s="200"/>
      <c r="AM17" s="200"/>
      <c r="AN17" s="200"/>
      <c r="AO17" s="200"/>
      <c r="AP17" s="200"/>
      <c r="AQ17" s="200"/>
      <c r="AR17" s="200"/>
      <c r="AS17" s="200"/>
      <c r="AT17" s="200"/>
      <c r="AU17" s="200"/>
      <c r="AV17" s="200"/>
      <c r="AW17" s="200"/>
      <c r="AX17" s="200"/>
      <c r="AY17" s="200"/>
      <c r="AZ17" s="200"/>
      <c r="BA17" s="200"/>
      <c r="BB17" s="200"/>
      <c r="BC17" s="200"/>
      <c r="BD17" s="200"/>
      <c r="BE17" s="200"/>
      <c r="BF17" s="200"/>
      <c r="BG17" s="200"/>
      <c r="BH17" s="200"/>
      <c r="BI17" s="200"/>
      <c r="BJ17" s="200"/>
      <c r="BK17" s="200"/>
      <c r="BL17" s="200"/>
      <c r="BM17" s="200"/>
      <c r="BN17" s="200"/>
      <c r="BO17" s="200"/>
      <c r="BP17" s="200"/>
      <c r="BQ17" s="200"/>
      <c r="BR17" s="200"/>
      <c r="BS17" s="200"/>
      <c r="BT17" s="200"/>
      <c r="BU17" s="200"/>
      <c r="BV17" s="200"/>
      <c r="BW17" s="200"/>
      <c r="BX17" s="200"/>
      <c r="BY17" s="200"/>
      <c r="BZ17" s="200"/>
      <c r="CA17" s="200"/>
      <c r="CB17" s="200"/>
      <c r="CC17" s="200"/>
      <c r="CD17" s="200"/>
      <c r="CE17" s="200"/>
      <c r="CF17" s="200"/>
      <c r="CG17" s="200"/>
      <c r="CH17" s="200"/>
      <c r="CI17" s="200"/>
      <c r="CJ17" s="200"/>
      <c r="CK17" s="200"/>
      <c r="CL17" s="200"/>
      <c r="CM17" s="200"/>
      <c r="CN17" s="200"/>
      <c r="CO17" s="206"/>
      <c r="CP17" s="248"/>
      <c r="CQ17" s="248"/>
      <c r="CR17" s="248"/>
      <c r="CS17" s="200"/>
      <c r="CT17" s="201"/>
      <c r="CU17" s="248"/>
      <c r="CV17" s="248"/>
      <c r="CW17" s="206"/>
      <c r="CX17" s="248"/>
      <c r="CY17" s="248"/>
      <c r="CZ17" s="248"/>
      <c r="DA17" s="248"/>
      <c r="DB17" s="189"/>
      <c r="DC17" s="248"/>
      <c r="DD17" s="248"/>
      <c r="DE17" s="206"/>
      <c r="DF17" s="248"/>
      <c r="DG17" s="241"/>
      <c r="DH17" s="241"/>
      <c r="DI17" s="242"/>
      <c r="DJ17" s="242"/>
    </row>
    <row r="18" spans="1:2941" ht="12" x14ac:dyDescent="0.2">
      <c r="A18" s="152" t="s">
        <v>173</v>
      </c>
      <c r="B18" s="152"/>
      <c r="C18" s="153" t="s">
        <v>174</v>
      </c>
      <c r="D18" s="153" t="s">
        <v>175</v>
      </c>
      <c r="E18" s="153" t="s">
        <v>133</v>
      </c>
      <c r="F18" s="153" t="s">
        <v>176</v>
      </c>
      <c r="G18" s="153" t="s">
        <v>11</v>
      </c>
      <c r="H18" s="234">
        <v>60000</v>
      </c>
      <c r="I18" s="147" t="s">
        <v>11</v>
      </c>
      <c r="J18" s="147" t="s">
        <v>11</v>
      </c>
      <c r="K18" s="147" t="s">
        <v>11</v>
      </c>
      <c r="L18" s="147" t="s">
        <v>138</v>
      </c>
      <c r="M18" s="147" t="s">
        <v>11</v>
      </c>
      <c r="N18" s="147" t="s">
        <v>138</v>
      </c>
      <c r="O18" s="192" t="s">
        <v>11</v>
      </c>
      <c r="P18" s="190" t="s">
        <v>11</v>
      </c>
      <c r="Q18" s="190" t="s">
        <v>11</v>
      </c>
      <c r="R18" s="190" t="s">
        <v>11</v>
      </c>
      <c r="S18" s="190" t="s">
        <v>11</v>
      </c>
      <c r="T18" s="190" t="s">
        <v>140</v>
      </c>
      <c r="U18" s="190" t="s">
        <v>140</v>
      </c>
      <c r="V18" s="190" t="s">
        <v>11</v>
      </c>
      <c r="W18" s="190" t="s">
        <v>140</v>
      </c>
      <c r="X18" s="190" t="s">
        <v>140</v>
      </c>
      <c r="Y18" s="190" t="s">
        <v>11</v>
      </c>
      <c r="Z18" s="190" t="s">
        <v>11</v>
      </c>
      <c r="AA18" s="190" t="s">
        <v>11</v>
      </c>
      <c r="AB18" s="190" t="s">
        <v>11</v>
      </c>
      <c r="AC18" s="190" t="s">
        <v>11</v>
      </c>
      <c r="AD18" s="190" t="s">
        <v>11</v>
      </c>
      <c r="AE18" s="190" t="s">
        <v>11</v>
      </c>
      <c r="AF18" s="190" t="s">
        <v>11</v>
      </c>
      <c r="AG18" s="190" t="s">
        <v>140</v>
      </c>
      <c r="AH18" s="191">
        <v>322</v>
      </c>
      <c r="AI18" s="190" t="s">
        <v>140</v>
      </c>
      <c r="AJ18" s="187"/>
      <c r="AK18" s="190" t="s">
        <v>11</v>
      </c>
      <c r="AL18" s="192" t="s">
        <v>11</v>
      </c>
      <c r="AM18" s="206"/>
      <c r="AN18" s="190" t="s">
        <v>140</v>
      </c>
      <c r="AO18" s="190" t="s">
        <v>140</v>
      </c>
      <c r="AP18" s="190" t="s">
        <v>140</v>
      </c>
      <c r="AQ18" s="190" t="s">
        <v>140</v>
      </c>
      <c r="AR18" s="190" t="s">
        <v>11</v>
      </c>
      <c r="AS18" s="190" t="s">
        <v>11</v>
      </c>
      <c r="AT18" s="190" t="s">
        <v>11</v>
      </c>
      <c r="AU18" s="190" t="s">
        <v>140</v>
      </c>
      <c r="AV18" s="190" t="s">
        <v>11</v>
      </c>
      <c r="AW18" s="190" t="s">
        <v>11</v>
      </c>
      <c r="AX18" s="190"/>
      <c r="AY18" s="190"/>
      <c r="AZ18" s="190"/>
      <c r="BA18" s="190"/>
      <c r="BB18" s="190"/>
      <c r="BC18" s="190"/>
      <c r="BD18" s="190"/>
      <c r="BE18" s="190"/>
      <c r="BF18" s="190"/>
      <c r="BG18" s="206"/>
      <c r="BH18" s="190" t="s">
        <v>11</v>
      </c>
      <c r="BI18" s="190" t="s">
        <v>11</v>
      </c>
      <c r="BJ18" s="190" t="s">
        <v>11</v>
      </c>
      <c r="BK18" s="190" t="s">
        <v>11</v>
      </c>
      <c r="BL18" s="190" t="s">
        <v>11</v>
      </c>
      <c r="BM18" s="190" t="s">
        <v>11</v>
      </c>
      <c r="BN18" s="190" t="s">
        <v>11</v>
      </c>
      <c r="BO18" s="190" t="s">
        <v>11</v>
      </c>
      <c r="BP18" s="190" t="s">
        <v>11</v>
      </c>
      <c r="BQ18" s="206"/>
      <c r="BR18" s="190" t="s">
        <v>11</v>
      </c>
      <c r="BS18" s="190" t="s">
        <v>11</v>
      </c>
      <c r="BT18" s="190" t="s">
        <v>11</v>
      </c>
      <c r="BU18" s="190" t="s">
        <v>141</v>
      </c>
      <c r="BV18" s="190" t="s">
        <v>11</v>
      </c>
      <c r="BW18" s="190" t="s">
        <v>11</v>
      </c>
      <c r="BX18" s="190" t="s">
        <v>11</v>
      </c>
      <c r="BY18" s="190" t="s">
        <v>11</v>
      </c>
      <c r="BZ18" s="190" t="s">
        <v>11</v>
      </c>
      <c r="CA18" s="190" t="s">
        <v>11</v>
      </c>
      <c r="CB18" s="190" t="s">
        <v>141</v>
      </c>
      <c r="CC18" s="206"/>
      <c r="CD18" s="190" t="s">
        <v>11</v>
      </c>
      <c r="CE18" s="190" t="s">
        <v>11</v>
      </c>
      <c r="CF18" s="190" t="s">
        <v>11</v>
      </c>
      <c r="CG18" s="190" t="s">
        <v>11</v>
      </c>
      <c r="CH18" s="190" t="s">
        <v>11</v>
      </c>
      <c r="CI18" s="190" t="s">
        <v>11</v>
      </c>
      <c r="CJ18" s="190" t="s">
        <v>11</v>
      </c>
      <c r="CK18" s="190" t="s">
        <v>11</v>
      </c>
      <c r="CL18" s="190" t="s">
        <v>141</v>
      </c>
      <c r="CM18" s="190" t="s">
        <v>141</v>
      </c>
      <c r="CN18" s="190" t="s">
        <v>11</v>
      </c>
      <c r="CO18" s="206"/>
      <c r="CP18" s="190" t="s">
        <v>140</v>
      </c>
      <c r="CQ18" s="190" t="s">
        <v>11</v>
      </c>
      <c r="CR18" s="193" t="s">
        <v>11</v>
      </c>
      <c r="CS18" s="197" t="s">
        <v>11</v>
      </c>
      <c r="CT18" s="197" t="s">
        <v>177</v>
      </c>
      <c r="CU18" s="194" t="s">
        <v>11</v>
      </c>
      <c r="CV18" s="190" t="s">
        <v>11</v>
      </c>
      <c r="CW18" s="206"/>
      <c r="CX18" s="190" t="s">
        <v>11</v>
      </c>
      <c r="CY18" s="190" t="s">
        <v>11</v>
      </c>
      <c r="CZ18" s="190" t="s">
        <v>11</v>
      </c>
      <c r="DA18" s="190" t="s">
        <v>11</v>
      </c>
      <c r="DB18" s="190" t="s">
        <v>11</v>
      </c>
      <c r="DC18" s="190" t="s">
        <v>11</v>
      </c>
      <c r="DD18" s="190" t="s">
        <v>11</v>
      </c>
      <c r="DE18" s="206"/>
      <c r="DF18" s="190" t="s">
        <v>178</v>
      </c>
      <c r="DG18" s="241"/>
      <c r="DH18" s="241"/>
      <c r="DI18" s="242"/>
      <c r="DJ18" s="242"/>
    </row>
    <row r="19" spans="1:2941" ht="12" x14ac:dyDescent="0.2">
      <c r="A19" s="152" t="s">
        <v>179</v>
      </c>
      <c r="B19" s="152"/>
      <c r="C19" s="153" t="s">
        <v>174</v>
      </c>
      <c r="D19" s="153" t="s">
        <v>175</v>
      </c>
      <c r="E19" s="153" t="s">
        <v>133</v>
      </c>
      <c r="F19" s="153" t="s">
        <v>176</v>
      </c>
      <c r="G19" s="153" t="s">
        <v>11</v>
      </c>
      <c r="H19" s="234">
        <v>35000</v>
      </c>
      <c r="I19" s="147" t="s">
        <v>11</v>
      </c>
      <c r="J19" s="147" t="s">
        <v>137</v>
      </c>
      <c r="K19" s="147" t="s">
        <v>147</v>
      </c>
      <c r="L19" s="147" t="s">
        <v>138</v>
      </c>
      <c r="M19" s="147" t="s">
        <v>11</v>
      </c>
      <c r="N19" s="147" t="s">
        <v>138</v>
      </c>
      <c r="O19" s="192" t="s">
        <v>139</v>
      </c>
      <c r="P19" s="190" t="s">
        <v>140</v>
      </c>
      <c r="Q19" s="190" t="s">
        <v>11</v>
      </c>
      <c r="R19" s="190" t="s">
        <v>140</v>
      </c>
      <c r="S19" s="190" t="s">
        <v>140</v>
      </c>
      <c r="T19" s="190" t="s">
        <v>140</v>
      </c>
      <c r="U19" s="190" t="s">
        <v>140</v>
      </c>
      <c r="V19" s="190" t="s">
        <v>11</v>
      </c>
      <c r="W19" s="190" t="s">
        <v>11</v>
      </c>
      <c r="X19" s="190" t="s">
        <v>140</v>
      </c>
      <c r="Y19" s="190" t="s">
        <v>11</v>
      </c>
      <c r="Z19" s="190" t="s">
        <v>140</v>
      </c>
      <c r="AA19" s="190" t="s">
        <v>140</v>
      </c>
      <c r="AB19" s="190" t="s">
        <v>140</v>
      </c>
      <c r="AC19" s="190" t="s">
        <v>11</v>
      </c>
      <c r="AD19" s="190" t="s">
        <v>11</v>
      </c>
      <c r="AE19" s="190" t="s">
        <v>140</v>
      </c>
      <c r="AF19" s="190" t="s">
        <v>140</v>
      </c>
      <c r="AG19" s="190" t="s">
        <v>140</v>
      </c>
      <c r="AH19" s="191">
        <f>10+2</f>
        <v>12</v>
      </c>
      <c r="AI19" s="190" t="s">
        <v>140</v>
      </c>
      <c r="AJ19" s="187"/>
      <c r="AK19" s="190" t="s">
        <v>11</v>
      </c>
      <c r="AL19" s="192" t="s">
        <v>11</v>
      </c>
      <c r="AM19" s="206"/>
      <c r="AN19" s="190" t="s">
        <v>11</v>
      </c>
      <c r="AO19" s="190" t="s">
        <v>140</v>
      </c>
      <c r="AP19" s="190" t="s">
        <v>11</v>
      </c>
      <c r="AQ19" s="190" t="s">
        <v>140</v>
      </c>
      <c r="AR19" s="190" t="s">
        <v>140</v>
      </c>
      <c r="AS19" s="190" t="s">
        <v>11</v>
      </c>
      <c r="AT19" s="190" t="s">
        <v>11</v>
      </c>
      <c r="AU19" s="190" t="s">
        <v>11</v>
      </c>
      <c r="AV19" s="190" t="s">
        <v>11</v>
      </c>
      <c r="AW19" s="190" t="s">
        <v>11</v>
      </c>
      <c r="AX19" s="190"/>
      <c r="AY19" s="190"/>
      <c r="AZ19" s="204"/>
      <c r="BA19" s="277"/>
      <c r="BB19" s="277"/>
      <c r="BC19" s="190"/>
      <c r="BD19" s="190"/>
      <c r="BE19" s="190"/>
      <c r="BF19" s="190"/>
      <c r="BG19" s="206"/>
      <c r="BH19" s="190" t="s">
        <v>11</v>
      </c>
      <c r="BI19" s="190" t="s">
        <v>11</v>
      </c>
      <c r="BJ19" s="190" t="s">
        <v>11</v>
      </c>
      <c r="BK19" s="190" t="s">
        <v>11</v>
      </c>
      <c r="BL19" s="190" t="s">
        <v>11</v>
      </c>
      <c r="BM19" s="190" t="s">
        <v>11</v>
      </c>
      <c r="BN19" s="190" t="s">
        <v>11</v>
      </c>
      <c r="BO19" s="190" t="s">
        <v>11</v>
      </c>
      <c r="BP19" s="190" t="s">
        <v>11</v>
      </c>
      <c r="BQ19" s="206"/>
      <c r="BR19" s="190" t="s">
        <v>141</v>
      </c>
      <c r="BS19" s="190" t="s">
        <v>141</v>
      </c>
      <c r="BT19" s="190" t="s">
        <v>141</v>
      </c>
      <c r="BU19" s="190" t="s">
        <v>141</v>
      </c>
      <c r="BV19" s="190" t="s">
        <v>141</v>
      </c>
      <c r="BW19" s="190" t="s">
        <v>141</v>
      </c>
      <c r="BX19" s="190" t="s">
        <v>11</v>
      </c>
      <c r="BY19" s="190" t="s">
        <v>141</v>
      </c>
      <c r="BZ19" s="190" t="s">
        <v>141</v>
      </c>
      <c r="CA19" s="190" t="s">
        <v>11</v>
      </c>
      <c r="CB19" s="190" t="s">
        <v>141</v>
      </c>
      <c r="CC19" s="206"/>
      <c r="CD19" s="190" t="s">
        <v>141</v>
      </c>
      <c r="CE19" s="190" t="s">
        <v>141</v>
      </c>
      <c r="CF19" s="190" t="s">
        <v>141</v>
      </c>
      <c r="CG19" s="190" t="s">
        <v>141</v>
      </c>
      <c r="CH19" s="190" t="s">
        <v>141</v>
      </c>
      <c r="CI19" s="190" t="s">
        <v>141</v>
      </c>
      <c r="CJ19" s="190" t="s">
        <v>11</v>
      </c>
      <c r="CK19" s="190" t="s">
        <v>11</v>
      </c>
      <c r="CL19" s="190" t="s">
        <v>141</v>
      </c>
      <c r="CM19" s="190" t="s">
        <v>141</v>
      </c>
      <c r="CN19" s="190" t="s">
        <v>141</v>
      </c>
      <c r="CO19" s="206"/>
      <c r="CP19" s="190" t="s">
        <v>11</v>
      </c>
      <c r="CQ19" s="190" t="s">
        <v>11</v>
      </c>
      <c r="CR19" s="193" t="s">
        <v>11</v>
      </c>
      <c r="CS19" s="197" t="s">
        <v>11</v>
      </c>
      <c r="CT19" s="197" t="s">
        <v>11</v>
      </c>
      <c r="CU19" s="194" t="s">
        <v>11</v>
      </c>
      <c r="CV19" s="190" t="s">
        <v>11</v>
      </c>
      <c r="CW19" s="206"/>
      <c r="CX19" s="190" t="s">
        <v>11</v>
      </c>
      <c r="CY19" s="190" t="s">
        <v>11</v>
      </c>
      <c r="CZ19" s="190" t="s">
        <v>11</v>
      </c>
      <c r="DA19" s="190" t="s">
        <v>11</v>
      </c>
      <c r="DB19" s="174" t="s">
        <v>11</v>
      </c>
      <c r="DC19" s="190" t="s">
        <v>11</v>
      </c>
      <c r="DD19" s="190" t="s">
        <v>11</v>
      </c>
      <c r="DE19" s="206"/>
      <c r="DF19" s="190" t="s">
        <v>11</v>
      </c>
      <c r="DG19" s="241"/>
      <c r="DH19" s="241"/>
      <c r="DI19" s="242"/>
      <c r="DJ19" s="242"/>
    </row>
    <row r="20" spans="1:2941" ht="12" x14ac:dyDescent="0.2">
      <c r="A20" s="152" t="s">
        <v>180</v>
      </c>
      <c r="B20" s="152"/>
      <c r="C20" s="153" t="s">
        <v>181</v>
      </c>
      <c r="D20" s="153" t="s">
        <v>175</v>
      </c>
      <c r="E20" s="153" t="s">
        <v>133</v>
      </c>
      <c r="F20" s="153" t="s">
        <v>176</v>
      </c>
      <c r="G20" s="153" t="s">
        <v>11</v>
      </c>
      <c r="H20" s="234">
        <v>25000</v>
      </c>
      <c r="I20" s="147" t="s">
        <v>11</v>
      </c>
      <c r="J20" s="147" t="s">
        <v>11</v>
      </c>
      <c r="K20" s="147" t="s">
        <v>11</v>
      </c>
      <c r="L20" s="147" t="s">
        <v>138</v>
      </c>
      <c r="M20" s="147" t="s">
        <v>11</v>
      </c>
      <c r="N20" s="147" t="s">
        <v>138</v>
      </c>
      <c r="O20" s="192" t="s">
        <v>11</v>
      </c>
      <c r="P20" s="190" t="s">
        <v>11</v>
      </c>
      <c r="Q20" s="190" t="s">
        <v>11</v>
      </c>
      <c r="R20" s="190" t="s">
        <v>140</v>
      </c>
      <c r="S20" s="190" t="s">
        <v>140</v>
      </c>
      <c r="T20" s="190" t="s">
        <v>140</v>
      </c>
      <c r="U20" s="190" t="s">
        <v>140</v>
      </c>
      <c r="V20" s="190" t="s">
        <v>11</v>
      </c>
      <c r="W20" s="190" t="s">
        <v>11</v>
      </c>
      <c r="X20" s="190" t="s">
        <v>140</v>
      </c>
      <c r="Y20" s="190" t="s">
        <v>11</v>
      </c>
      <c r="Z20" s="190" t="s">
        <v>11</v>
      </c>
      <c r="AA20" s="190" t="s">
        <v>11</v>
      </c>
      <c r="AB20" s="190" t="s">
        <v>11</v>
      </c>
      <c r="AC20" s="190" t="s">
        <v>11</v>
      </c>
      <c r="AD20" s="190" t="s">
        <v>11</v>
      </c>
      <c r="AE20" s="190" t="s">
        <v>11</v>
      </c>
      <c r="AF20" s="190" t="s">
        <v>11</v>
      </c>
      <c r="AG20" s="190" t="s">
        <v>11</v>
      </c>
      <c r="AH20" s="205">
        <v>0</v>
      </c>
      <c r="AI20" s="190" t="s">
        <v>11</v>
      </c>
      <c r="AJ20" s="187"/>
      <c r="AK20" s="190" t="s">
        <v>11</v>
      </c>
      <c r="AL20" s="192" t="s">
        <v>11</v>
      </c>
      <c r="AM20" s="206"/>
      <c r="AN20" s="190" t="s">
        <v>140</v>
      </c>
      <c r="AO20" s="190" t="s">
        <v>140</v>
      </c>
      <c r="AP20" s="190" t="s">
        <v>11</v>
      </c>
      <c r="AQ20" s="190" t="s">
        <v>140</v>
      </c>
      <c r="AR20" s="190" t="s">
        <v>11</v>
      </c>
      <c r="AS20" s="190" t="s">
        <v>140</v>
      </c>
      <c r="AT20" s="190" t="s">
        <v>11</v>
      </c>
      <c r="AU20" s="190" t="s">
        <v>11</v>
      </c>
      <c r="AV20" s="190" t="s">
        <v>11</v>
      </c>
      <c r="AW20" s="190" t="s">
        <v>11</v>
      </c>
      <c r="AX20" s="190"/>
      <c r="AY20" s="190"/>
      <c r="AZ20" s="204"/>
      <c r="BA20" s="204"/>
      <c r="BB20" s="204"/>
      <c r="BC20" s="190"/>
      <c r="BD20" s="190"/>
      <c r="BE20" s="190"/>
      <c r="BF20" s="190"/>
      <c r="BG20" s="206"/>
      <c r="BH20" s="190" t="s">
        <v>11</v>
      </c>
      <c r="BI20" s="190" t="s">
        <v>11</v>
      </c>
      <c r="BJ20" s="190" t="s">
        <v>11</v>
      </c>
      <c r="BK20" s="190" t="s">
        <v>11</v>
      </c>
      <c r="BL20" s="190" t="s">
        <v>11</v>
      </c>
      <c r="BM20" s="190" t="s">
        <v>11</v>
      </c>
      <c r="BN20" s="190" t="s">
        <v>11</v>
      </c>
      <c r="BO20" s="190" t="s">
        <v>11</v>
      </c>
      <c r="BP20" s="190" t="s">
        <v>11</v>
      </c>
      <c r="BQ20" s="206"/>
      <c r="BR20" s="190" t="s">
        <v>11</v>
      </c>
      <c r="BS20" s="190" t="s">
        <v>11</v>
      </c>
      <c r="BT20" s="190" t="s">
        <v>11</v>
      </c>
      <c r="BU20" s="190" t="s">
        <v>141</v>
      </c>
      <c r="BV20" s="190" t="s">
        <v>11</v>
      </c>
      <c r="BW20" s="190" t="s">
        <v>141</v>
      </c>
      <c r="BX20" s="190" t="s">
        <v>11</v>
      </c>
      <c r="BY20" s="190" t="s">
        <v>11</v>
      </c>
      <c r="BZ20" s="190" t="s">
        <v>11</v>
      </c>
      <c r="CA20" s="190" t="s">
        <v>11</v>
      </c>
      <c r="CB20" s="190" t="s">
        <v>141</v>
      </c>
      <c r="CC20" s="206"/>
      <c r="CD20" s="190" t="s">
        <v>11</v>
      </c>
      <c r="CE20" s="190" t="s">
        <v>11</v>
      </c>
      <c r="CF20" s="190" t="s">
        <v>11</v>
      </c>
      <c r="CG20" s="190" t="s">
        <v>11</v>
      </c>
      <c r="CH20" s="190" t="s">
        <v>11</v>
      </c>
      <c r="CI20" s="190" t="s">
        <v>141</v>
      </c>
      <c r="CJ20" s="190" t="s">
        <v>11</v>
      </c>
      <c r="CK20" s="190" t="s">
        <v>11</v>
      </c>
      <c r="CL20" s="190" t="s">
        <v>141</v>
      </c>
      <c r="CM20" s="190" t="s">
        <v>141</v>
      </c>
      <c r="CN20" s="190" t="s">
        <v>11</v>
      </c>
      <c r="CO20" s="206"/>
      <c r="CP20" s="190" t="s">
        <v>147</v>
      </c>
      <c r="CQ20" s="190" t="s">
        <v>147</v>
      </c>
      <c r="CR20" s="193" t="s">
        <v>11</v>
      </c>
      <c r="CS20" s="197" t="s">
        <v>147</v>
      </c>
      <c r="CT20" s="197" t="s">
        <v>11</v>
      </c>
      <c r="CU20" s="194" t="s">
        <v>11</v>
      </c>
      <c r="CV20" s="190" t="s">
        <v>11</v>
      </c>
      <c r="CW20" s="206"/>
      <c r="CX20" s="190" t="s">
        <v>11</v>
      </c>
      <c r="CY20" s="190" t="s">
        <v>11</v>
      </c>
      <c r="CZ20" s="190" t="s">
        <v>11</v>
      </c>
      <c r="DA20" s="190" t="s">
        <v>11</v>
      </c>
      <c r="DB20" s="190" t="s">
        <v>11</v>
      </c>
      <c r="DC20" s="190" t="s">
        <v>11</v>
      </c>
      <c r="DD20" s="190" t="s">
        <v>11</v>
      </c>
      <c r="DE20" s="206"/>
      <c r="DF20" s="190" t="s">
        <v>11</v>
      </c>
      <c r="DG20" s="241"/>
      <c r="DH20" s="241"/>
      <c r="DI20" s="242"/>
      <c r="DJ20" s="242"/>
    </row>
    <row r="21" spans="1:2941" ht="12" x14ac:dyDescent="0.2">
      <c r="A21" s="152" t="s">
        <v>182</v>
      </c>
      <c r="B21" s="152"/>
      <c r="C21" s="153" t="s">
        <v>183</v>
      </c>
      <c r="D21" s="153" t="s">
        <v>133</v>
      </c>
      <c r="E21" s="153" t="s">
        <v>133</v>
      </c>
      <c r="F21" s="153" t="s">
        <v>176</v>
      </c>
      <c r="G21" s="153" t="s">
        <v>11</v>
      </c>
      <c r="H21" s="234">
        <v>20000</v>
      </c>
      <c r="I21" s="147" t="s">
        <v>11</v>
      </c>
      <c r="J21" s="147" t="s">
        <v>184</v>
      </c>
      <c r="K21" s="147" t="s">
        <v>11</v>
      </c>
      <c r="L21" s="147" t="s">
        <v>138</v>
      </c>
      <c r="M21" s="147" t="s">
        <v>11</v>
      </c>
      <c r="N21" s="147" t="s">
        <v>138</v>
      </c>
      <c r="O21" s="192" t="s">
        <v>139</v>
      </c>
      <c r="P21" s="190" t="s">
        <v>140</v>
      </c>
      <c r="Q21" s="190" t="s">
        <v>11</v>
      </c>
      <c r="R21" s="190" t="s">
        <v>11</v>
      </c>
      <c r="S21" s="190" t="s">
        <v>11</v>
      </c>
      <c r="T21" s="190" t="s">
        <v>11</v>
      </c>
      <c r="U21" s="190" t="s">
        <v>11</v>
      </c>
      <c r="V21" s="190" t="s">
        <v>11</v>
      </c>
      <c r="W21" s="190" t="s">
        <v>11</v>
      </c>
      <c r="X21" s="190" t="s">
        <v>11</v>
      </c>
      <c r="Y21" s="190" t="s">
        <v>11</v>
      </c>
      <c r="Z21" s="190" t="s">
        <v>140</v>
      </c>
      <c r="AA21" s="190" t="s">
        <v>11</v>
      </c>
      <c r="AB21" s="190" t="s">
        <v>140</v>
      </c>
      <c r="AC21" s="190" t="s">
        <v>11</v>
      </c>
      <c r="AD21" s="190" t="s">
        <v>11</v>
      </c>
      <c r="AE21" s="190" t="s">
        <v>148</v>
      </c>
      <c r="AF21" s="190" t="s">
        <v>11</v>
      </c>
      <c r="AG21" s="190" t="s">
        <v>11</v>
      </c>
      <c r="AH21" s="278">
        <v>0</v>
      </c>
      <c r="AI21" s="190" t="s">
        <v>11</v>
      </c>
      <c r="AJ21" s="196"/>
      <c r="AK21" s="190" t="s">
        <v>11</v>
      </c>
      <c r="AL21" s="192" t="s">
        <v>11</v>
      </c>
      <c r="AM21" s="249"/>
      <c r="AN21" s="190" t="s">
        <v>11</v>
      </c>
      <c r="AO21" s="190" t="s">
        <v>11</v>
      </c>
      <c r="AP21" s="190" t="s">
        <v>11</v>
      </c>
      <c r="AQ21" s="190" t="s">
        <v>11</v>
      </c>
      <c r="AR21" s="190" t="s">
        <v>140</v>
      </c>
      <c r="AS21" s="190" t="s">
        <v>11</v>
      </c>
      <c r="AT21" s="190" t="s">
        <v>11</v>
      </c>
      <c r="AU21" s="190" t="s">
        <v>11</v>
      </c>
      <c r="AV21" s="190" t="s">
        <v>11</v>
      </c>
      <c r="AW21" s="190" t="s">
        <v>11</v>
      </c>
      <c r="AX21" s="190"/>
      <c r="AY21" s="190"/>
      <c r="AZ21" s="204"/>
      <c r="BA21" s="204"/>
      <c r="BB21" s="204"/>
      <c r="BC21" s="190"/>
      <c r="BD21" s="190"/>
      <c r="BE21" s="190"/>
      <c r="BF21" s="190"/>
      <c r="BG21" s="243"/>
      <c r="BH21" s="190" t="s">
        <v>11</v>
      </c>
      <c r="BI21" s="190" t="s">
        <v>11</v>
      </c>
      <c r="BJ21" s="190" t="s">
        <v>11</v>
      </c>
      <c r="BK21" s="190" t="s">
        <v>11</v>
      </c>
      <c r="BL21" s="190" t="s">
        <v>11</v>
      </c>
      <c r="BM21" s="190" t="s">
        <v>11</v>
      </c>
      <c r="BN21" s="190" t="s">
        <v>11</v>
      </c>
      <c r="BO21" s="190" t="s">
        <v>11</v>
      </c>
      <c r="BP21" s="190" t="s">
        <v>11</v>
      </c>
      <c r="BQ21" s="243"/>
      <c r="BR21" s="190" t="s">
        <v>141</v>
      </c>
      <c r="BS21" s="190" t="s">
        <v>141</v>
      </c>
      <c r="BT21" s="190" t="s">
        <v>141</v>
      </c>
      <c r="BU21" s="190" t="s">
        <v>141</v>
      </c>
      <c r="BV21" s="190" t="s">
        <v>141</v>
      </c>
      <c r="BW21" s="190" t="s">
        <v>11</v>
      </c>
      <c r="BX21" s="190" t="s">
        <v>11</v>
      </c>
      <c r="BY21" s="190" t="s">
        <v>141</v>
      </c>
      <c r="BZ21" s="190" t="s">
        <v>141</v>
      </c>
      <c r="CA21" s="190" t="s">
        <v>11</v>
      </c>
      <c r="CB21" s="190" t="s">
        <v>141</v>
      </c>
      <c r="CC21" s="243"/>
      <c r="CD21" s="190" t="s">
        <v>141</v>
      </c>
      <c r="CE21" s="190" t="s">
        <v>141</v>
      </c>
      <c r="CF21" s="190" t="s">
        <v>141</v>
      </c>
      <c r="CG21" s="190" t="s">
        <v>141</v>
      </c>
      <c r="CH21" s="190" t="s">
        <v>141</v>
      </c>
      <c r="CI21" s="190" t="s">
        <v>11</v>
      </c>
      <c r="CJ21" s="190" t="s">
        <v>11</v>
      </c>
      <c r="CK21" s="190" t="s">
        <v>11</v>
      </c>
      <c r="CL21" s="190" t="s">
        <v>11</v>
      </c>
      <c r="CM21" s="190" t="s">
        <v>11</v>
      </c>
      <c r="CN21" s="190" t="s">
        <v>11</v>
      </c>
      <c r="CO21" s="243"/>
      <c r="CP21" s="190" t="s">
        <v>11</v>
      </c>
      <c r="CQ21" s="190" t="s">
        <v>11</v>
      </c>
      <c r="CR21" s="193" t="s">
        <v>11</v>
      </c>
      <c r="CS21" s="197" t="s">
        <v>11</v>
      </c>
      <c r="CT21" s="197" t="s">
        <v>11</v>
      </c>
      <c r="CU21" s="194" t="s">
        <v>11</v>
      </c>
      <c r="CV21" s="190" t="s">
        <v>11</v>
      </c>
      <c r="CW21" s="206"/>
      <c r="CX21" s="190" t="s">
        <v>11</v>
      </c>
      <c r="CY21" s="190" t="s">
        <v>11</v>
      </c>
      <c r="CZ21" s="190" t="s">
        <v>11</v>
      </c>
      <c r="DA21" s="190" t="s">
        <v>11</v>
      </c>
      <c r="DB21" s="190" t="s">
        <v>11</v>
      </c>
      <c r="DC21" s="190" t="s">
        <v>11</v>
      </c>
      <c r="DD21" s="190" t="s">
        <v>11</v>
      </c>
      <c r="DE21" s="206"/>
      <c r="DF21" s="190" t="s">
        <v>11</v>
      </c>
      <c r="DG21" s="241"/>
      <c r="DH21" s="241"/>
      <c r="DI21" s="242"/>
      <c r="DJ21" s="242"/>
    </row>
    <row r="22" spans="1:2941" ht="12" x14ac:dyDescent="0.2">
      <c r="A22" s="152" t="s">
        <v>185</v>
      </c>
      <c r="B22" s="152"/>
      <c r="C22" s="153" t="s">
        <v>183</v>
      </c>
      <c r="D22" s="153" t="s">
        <v>133</v>
      </c>
      <c r="E22" s="153" t="s">
        <v>133</v>
      </c>
      <c r="F22" s="153" t="s">
        <v>176</v>
      </c>
      <c r="G22" s="153" t="s">
        <v>11</v>
      </c>
      <c r="H22" s="234">
        <v>30000</v>
      </c>
      <c r="I22" s="147" t="s">
        <v>11</v>
      </c>
      <c r="J22" s="147" t="s">
        <v>184</v>
      </c>
      <c r="K22" s="147" t="s">
        <v>11</v>
      </c>
      <c r="L22" s="147" t="s">
        <v>138</v>
      </c>
      <c r="M22" s="147" t="s">
        <v>11</v>
      </c>
      <c r="N22" s="147" t="s">
        <v>138</v>
      </c>
      <c r="O22" s="192" t="s">
        <v>139</v>
      </c>
      <c r="P22" s="190" t="s">
        <v>140</v>
      </c>
      <c r="Q22" s="190" t="s">
        <v>11</v>
      </c>
      <c r="R22" s="190" t="s">
        <v>140</v>
      </c>
      <c r="S22" s="190" t="s">
        <v>140</v>
      </c>
      <c r="T22" s="190" t="s">
        <v>11</v>
      </c>
      <c r="U22" s="190" t="s">
        <v>11</v>
      </c>
      <c r="V22" s="190" t="s">
        <v>11</v>
      </c>
      <c r="W22" s="190" t="s">
        <v>11</v>
      </c>
      <c r="X22" s="190" t="s">
        <v>11</v>
      </c>
      <c r="Y22" s="190" t="s">
        <v>11</v>
      </c>
      <c r="Z22" s="190" t="s">
        <v>140</v>
      </c>
      <c r="AA22" s="190" t="s">
        <v>140</v>
      </c>
      <c r="AB22" s="190" t="s">
        <v>140</v>
      </c>
      <c r="AC22" s="190" t="s">
        <v>11</v>
      </c>
      <c r="AD22" s="190" t="s">
        <v>11</v>
      </c>
      <c r="AE22" s="190" t="s">
        <v>148</v>
      </c>
      <c r="AF22" s="190" t="s">
        <v>11</v>
      </c>
      <c r="AG22" s="190" t="s">
        <v>11</v>
      </c>
      <c r="AH22" s="278">
        <v>8</v>
      </c>
      <c r="AI22" s="190" t="s">
        <v>140</v>
      </c>
      <c r="AJ22" s="196"/>
      <c r="AK22" s="190" t="s">
        <v>11</v>
      </c>
      <c r="AL22" s="192" t="s">
        <v>11</v>
      </c>
      <c r="AM22" s="249"/>
      <c r="AN22" s="190" t="s">
        <v>11</v>
      </c>
      <c r="AO22" s="190" t="s">
        <v>11</v>
      </c>
      <c r="AP22" s="190" t="s">
        <v>11</v>
      </c>
      <c r="AQ22" s="190" t="s">
        <v>11</v>
      </c>
      <c r="AR22" s="190" t="s">
        <v>140</v>
      </c>
      <c r="AS22" s="190" t="s">
        <v>11</v>
      </c>
      <c r="AT22" s="190" t="s">
        <v>11</v>
      </c>
      <c r="AU22" s="190" t="s">
        <v>11</v>
      </c>
      <c r="AV22" s="190" t="s">
        <v>11</v>
      </c>
      <c r="AW22" s="190" t="s">
        <v>11</v>
      </c>
      <c r="AX22" s="190"/>
      <c r="AY22" s="190"/>
      <c r="AZ22" s="204"/>
      <c r="BA22" s="204"/>
      <c r="BB22" s="204"/>
      <c r="BC22" s="190"/>
      <c r="BD22" s="190"/>
      <c r="BE22" s="190"/>
      <c r="BF22" s="190"/>
      <c r="BG22" s="243"/>
      <c r="BH22" s="190" t="s">
        <v>11</v>
      </c>
      <c r="BI22" s="190" t="s">
        <v>11</v>
      </c>
      <c r="BJ22" s="190" t="s">
        <v>11</v>
      </c>
      <c r="BK22" s="190" t="s">
        <v>11</v>
      </c>
      <c r="BL22" s="190" t="s">
        <v>11</v>
      </c>
      <c r="BM22" s="190" t="s">
        <v>11</v>
      </c>
      <c r="BN22" s="190" t="s">
        <v>11</v>
      </c>
      <c r="BO22" s="190" t="s">
        <v>11</v>
      </c>
      <c r="BP22" s="190" t="s">
        <v>11</v>
      </c>
      <c r="BQ22" s="243"/>
      <c r="BR22" s="190" t="s">
        <v>141</v>
      </c>
      <c r="BS22" s="190" t="s">
        <v>141</v>
      </c>
      <c r="BT22" s="190" t="s">
        <v>141</v>
      </c>
      <c r="BU22" s="190" t="s">
        <v>141</v>
      </c>
      <c r="BV22" s="190" t="s">
        <v>141</v>
      </c>
      <c r="BW22" s="190" t="s">
        <v>11</v>
      </c>
      <c r="BX22" s="190" t="s">
        <v>11</v>
      </c>
      <c r="BY22" s="190" t="s">
        <v>141</v>
      </c>
      <c r="BZ22" s="190" t="s">
        <v>141</v>
      </c>
      <c r="CA22" s="190" t="s">
        <v>11</v>
      </c>
      <c r="CB22" s="190" t="s">
        <v>141</v>
      </c>
      <c r="CC22" s="243"/>
      <c r="CD22" s="190" t="s">
        <v>141</v>
      </c>
      <c r="CE22" s="190" t="s">
        <v>141</v>
      </c>
      <c r="CF22" s="190" t="s">
        <v>141</v>
      </c>
      <c r="CG22" s="190" t="s">
        <v>141</v>
      </c>
      <c r="CH22" s="190" t="s">
        <v>141</v>
      </c>
      <c r="CI22" s="190" t="s">
        <v>11</v>
      </c>
      <c r="CJ22" s="190" t="s">
        <v>11</v>
      </c>
      <c r="CK22" s="190" t="s">
        <v>11</v>
      </c>
      <c r="CL22" s="190" t="s">
        <v>11</v>
      </c>
      <c r="CM22" s="190" t="s">
        <v>11</v>
      </c>
      <c r="CN22" s="190" t="s">
        <v>11</v>
      </c>
      <c r="CO22" s="243"/>
      <c r="CP22" s="190" t="s">
        <v>11</v>
      </c>
      <c r="CQ22" s="190" t="s">
        <v>11</v>
      </c>
      <c r="CR22" s="193" t="s">
        <v>11</v>
      </c>
      <c r="CS22" s="197" t="s">
        <v>11</v>
      </c>
      <c r="CT22" s="197" t="s">
        <v>11</v>
      </c>
      <c r="CU22" s="194" t="s">
        <v>11</v>
      </c>
      <c r="CV22" s="190" t="s">
        <v>11</v>
      </c>
      <c r="CW22" s="206"/>
      <c r="CX22" s="190" t="s">
        <v>11</v>
      </c>
      <c r="CY22" s="190" t="s">
        <v>11</v>
      </c>
      <c r="CZ22" s="190" t="s">
        <v>11</v>
      </c>
      <c r="DA22" s="190" t="s">
        <v>11</v>
      </c>
      <c r="DB22" s="190" t="s">
        <v>11</v>
      </c>
      <c r="DC22" s="190" t="s">
        <v>11</v>
      </c>
      <c r="DD22" s="190" t="s">
        <v>11</v>
      </c>
      <c r="DE22" s="243"/>
      <c r="DF22" s="190" t="s">
        <v>11</v>
      </c>
      <c r="DG22" s="241"/>
      <c r="DH22" s="241"/>
      <c r="DI22" s="242"/>
      <c r="DJ22" s="242"/>
    </row>
    <row r="23" spans="1:2941" ht="12" x14ac:dyDescent="0.2">
      <c r="A23" s="152" t="s">
        <v>186</v>
      </c>
      <c r="B23" s="152"/>
      <c r="C23" s="153" t="s">
        <v>174</v>
      </c>
      <c r="D23" s="153" t="s">
        <v>175</v>
      </c>
      <c r="E23" s="153" t="s">
        <v>133</v>
      </c>
      <c r="F23" s="153" t="s">
        <v>176</v>
      </c>
      <c r="G23" s="153" t="s">
        <v>11</v>
      </c>
      <c r="H23" s="234">
        <v>8500</v>
      </c>
      <c r="I23" s="147" t="s">
        <v>11</v>
      </c>
      <c r="J23" s="147" t="s">
        <v>137</v>
      </c>
      <c r="K23" s="147" t="s">
        <v>11</v>
      </c>
      <c r="L23" s="147" t="s">
        <v>138</v>
      </c>
      <c r="M23" s="147" t="s">
        <v>11</v>
      </c>
      <c r="N23" s="147" t="s">
        <v>138</v>
      </c>
      <c r="O23" s="192" t="s">
        <v>139</v>
      </c>
      <c r="P23" s="190" t="s">
        <v>140</v>
      </c>
      <c r="Q23" s="190" t="s">
        <v>11</v>
      </c>
      <c r="R23" s="190" t="s">
        <v>11</v>
      </c>
      <c r="S23" s="190" t="s">
        <v>11</v>
      </c>
      <c r="T23" s="190" t="s">
        <v>11</v>
      </c>
      <c r="U23" s="190" t="s">
        <v>11</v>
      </c>
      <c r="V23" s="190" t="s">
        <v>11</v>
      </c>
      <c r="W23" s="190" t="s">
        <v>11</v>
      </c>
      <c r="X23" s="190" t="s">
        <v>11</v>
      </c>
      <c r="Y23" s="190" t="s">
        <v>11</v>
      </c>
      <c r="Z23" s="190" t="s">
        <v>140</v>
      </c>
      <c r="AA23" s="190" t="s">
        <v>140</v>
      </c>
      <c r="AB23" s="190" t="s">
        <v>140</v>
      </c>
      <c r="AC23" s="190" t="s">
        <v>11</v>
      </c>
      <c r="AD23" s="190" t="s">
        <v>11</v>
      </c>
      <c r="AE23" s="190" t="s">
        <v>140</v>
      </c>
      <c r="AF23" s="190" t="s">
        <v>11</v>
      </c>
      <c r="AG23" s="190" t="s">
        <v>11</v>
      </c>
      <c r="AH23" s="278"/>
      <c r="AI23" s="190" t="s">
        <v>11</v>
      </c>
      <c r="AJ23" s="196"/>
      <c r="AK23" s="190" t="s">
        <v>140</v>
      </c>
      <c r="AL23" s="192" t="s">
        <v>140</v>
      </c>
      <c r="AM23" s="249"/>
      <c r="AN23" s="190" t="s">
        <v>11</v>
      </c>
      <c r="AO23" s="190" t="s">
        <v>11</v>
      </c>
      <c r="AP23" s="190" t="s">
        <v>11</v>
      </c>
      <c r="AQ23" s="190" t="s">
        <v>11</v>
      </c>
      <c r="AR23" s="190" t="s">
        <v>140</v>
      </c>
      <c r="AS23" s="190" t="s">
        <v>11</v>
      </c>
      <c r="AT23" s="190" t="s">
        <v>11</v>
      </c>
      <c r="AU23" s="190" t="s">
        <v>11</v>
      </c>
      <c r="AV23" s="190" t="s">
        <v>11</v>
      </c>
      <c r="AW23" s="190" t="s">
        <v>11</v>
      </c>
      <c r="AX23" s="190"/>
      <c r="AY23" s="190"/>
      <c r="AZ23" s="204"/>
      <c r="BA23" s="204"/>
      <c r="BB23" s="204"/>
      <c r="BC23" s="190"/>
      <c r="BD23" s="190"/>
      <c r="BE23" s="190"/>
      <c r="BF23" s="190"/>
      <c r="BG23" s="243"/>
      <c r="BH23" s="190" t="s">
        <v>11</v>
      </c>
      <c r="BI23" s="190" t="s">
        <v>11</v>
      </c>
      <c r="BJ23" s="190" t="s">
        <v>11</v>
      </c>
      <c r="BK23" s="190" t="s">
        <v>11</v>
      </c>
      <c r="BL23" s="190" t="s">
        <v>11</v>
      </c>
      <c r="BM23" s="190" t="s">
        <v>11</v>
      </c>
      <c r="BN23" s="190" t="s">
        <v>11</v>
      </c>
      <c r="BO23" s="190" t="s">
        <v>11</v>
      </c>
      <c r="BP23" s="190" t="s">
        <v>11</v>
      </c>
      <c r="BQ23" s="243"/>
      <c r="BR23" s="190" t="s">
        <v>141</v>
      </c>
      <c r="BS23" s="190" t="s">
        <v>141</v>
      </c>
      <c r="BT23" s="190" t="s">
        <v>141</v>
      </c>
      <c r="BU23" s="190" t="s">
        <v>11</v>
      </c>
      <c r="BV23" s="190" t="s">
        <v>141</v>
      </c>
      <c r="BW23" s="190" t="s">
        <v>11</v>
      </c>
      <c r="BX23" s="190" t="s">
        <v>11</v>
      </c>
      <c r="BY23" s="190" t="s">
        <v>141</v>
      </c>
      <c r="BZ23" s="190" t="s">
        <v>141</v>
      </c>
      <c r="CA23" s="190" t="s">
        <v>11</v>
      </c>
      <c r="CB23" s="190" t="s">
        <v>11</v>
      </c>
      <c r="CC23" s="243"/>
      <c r="CD23" s="190" t="s">
        <v>141</v>
      </c>
      <c r="CE23" s="190" t="s">
        <v>141</v>
      </c>
      <c r="CF23" s="190" t="s">
        <v>141</v>
      </c>
      <c r="CG23" s="190" t="s">
        <v>141</v>
      </c>
      <c r="CH23" s="190" t="s">
        <v>141</v>
      </c>
      <c r="CI23" s="190" t="s">
        <v>11</v>
      </c>
      <c r="CJ23" s="190" t="s">
        <v>11</v>
      </c>
      <c r="CK23" s="190" t="s">
        <v>11</v>
      </c>
      <c r="CL23" s="190" t="s">
        <v>11</v>
      </c>
      <c r="CM23" s="190" t="s">
        <v>11</v>
      </c>
      <c r="CN23" s="190" t="s">
        <v>11</v>
      </c>
      <c r="CO23" s="243"/>
      <c r="CP23" s="190" t="s">
        <v>11</v>
      </c>
      <c r="CQ23" s="190" t="s">
        <v>11</v>
      </c>
      <c r="CR23" s="193" t="s">
        <v>11</v>
      </c>
      <c r="CS23" s="197" t="s">
        <v>11</v>
      </c>
      <c r="CT23" s="197" t="s">
        <v>11</v>
      </c>
      <c r="CU23" s="194" t="s">
        <v>11</v>
      </c>
      <c r="CV23" s="190" t="s">
        <v>11</v>
      </c>
      <c r="CW23" s="206"/>
      <c r="CX23" s="190" t="s">
        <v>11</v>
      </c>
      <c r="CY23" s="190" t="s">
        <v>11</v>
      </c>
      <c r="CZ23" s="190" t="s">
        <v>11</v>
      </c>
      <c r="DA23" s="190" t="s">
        <v>11</v>
      </c>
      <c r="DB23" s="190" t="s">
        <v>11</v>
      </c>
      <c r="DC23" s="190" t="s">
        <v>11</v>
      </c>
      <c r="DD23" s="190" t="s">
        <v>11</v>
      </c>
      <c r="DE23" s="243"/>
      <c r="DF23" s="190" t="s">
        <v>11</v>
      </c>
      <c r="DG23" s="241"/>
      <c r="DH23" s="241"/>
      <c r="DI23" s="242"/>
      <c r="DJ23" s="242"/>
    </row>
    <row r="24" spans="1:2941" ht="12" x14ac:dyDescent="0.2">
      <c r="A24" s="152" t="s">
        <v>187</v>
      </c>
      <c r="B24" s="152"/>
      <c r="C24" s="153" t="s">
        <v>188</v>
      </c>
      <c r="D24" s="153" t="s">
        <v>133</v>
      </c>
      <c r="E24" s="153" t="s">
        <v>133</v>
      </c>
      <c r="F24" s="153" t="s">
        <v>176</v>
      </c>
      <c r="G24" s="153" t="s">
        <v>189</v>
      </c>
      <c r="H24" s="234" t="s">
        <v>190</v>
      </c>
      <c r="I24" s="147" t="s">
        <v>11</v>
      </c>
      <c r="J24" s="147" t="s">
        <v>191</v>
      </c>
      <c r="K24" s="147" t="s">
        <v>11</v>
      </c>
      <c r="L24" s="147" t="s">
        <v>138</v>
      </c>
      <c r="M24" s="147" t="s">
        <v>11</v>
      </c>
      <c r="N24" s="147" t="s">
        <v>138</v>
      </c>
      <c r="O24" s="192" t="s">
        <v>139</v>
      </c>
      <c r="P24" s="190" t="s">
        <v>140</v>
      </c>
      <c r="Q24" s="190" t="s">
        <v>11</v>
      </c>
      <c r="R24" s="190" t="s">
        <v>11</v>
      </c>
      <c r="S24" s="190" t="s">
        <v>140</v>
      </c>
      <c r="T24" s="190" t="s">
        <v>11</v>
      </c>
      <c r="U24" s="190" t="s">
        <v>140</v>
      </c>
      <c r="V24" s="190" t="s">
        <v>11</v>
      </c>
      <c r="W24" s="190" t="s">
        <v>11</v>
      </c>
      <c r="X24" s="190" t="s">
        <v>140</v>
      </c>
      <c r="Y24" s="190" t="s">
        <v>11</v>
      </c>
      <c r="Z24" s="190" t="s">
        <v>140</v>
      </c>
      <c r="AA24" s="190" t="s">
        <v>140</v>
      </c>
      <c r="AB24" s="190" t="s">
        <v>140</v>
      </c>
      <c r="AC24" s="190" t="s">
        <v>11</v>
      </c>
      <c r="AD24" s="190" t="s">
        <v>11</v>
      </c>
      <c r="AE24" s="190" t="s">
        <v>140</v>
      </c>
      <c r="AF24" s="190" t="s">
        <v>11</v>
      </c>
      <c r="AG24" s="190" t="s">
        <v>11</v>
      </c>
      <c r="AH24" s="278"/>
      <c r="AI24" s="190" t="s">
        <v>11</v>
      </c>
      <c r="AJ24" s="196"/>
      <c r="AK24" s="190" t="s">
        <v>140</v>
      </c>
      <c r="AL24" s="192" t="s">
        <v>140</v>
      </c>
      <c r="AM24" s="249"/>
      <c r="AN24" s="190" t="s">
        <v>11</v>
      </c>
      <c r="AO24" s="190" t="s">
        <v>11</v>
      </c>
      <c r="AP24" s="190" t="s">
        <v>11</v>
      </c>
      <c r="AQ24" s="190" t="s">
        <v>11</v>
      </c>
      <c r="AR24" s="190" t="s">
        <v>11</v>
      </c>
      <c r="AS24" s="190" t="s">
        <v>11</v>
      </c>
      <c r="AT24" s="190" t="s">
        <v>11</v>
      </c>
      <c r="AU24" s="190" t="s">
        <v>11</v>
      </c>
      <c r="AV24" s="190" t="s">
        <v>11</v>
      </c>
      <c r="AW24" s="190" t="s">
        <v>11</v>
      </c>
      <c r="AX24" s="190"/>
      <c r="AY24" s="190"/>
      <c r="AZ24" s="204"/>
      <c r="BA24" s="204"/>
      <c r="BB24" s="204"/>
      <c r="BC24" s="190"/>
      <c r="BD24" s="190"/>
      <c r="BE24" s="190"/>
      <c r="BF24" s="190"/>
      <c r="BG24" s="243"/>
      <c r="BH24" s="190" t="s">
        <v>11</v>
      </c>
      <c r="BI24" s="190" t="s">
        <v>11</v>
      </c>
      <c r="BJ24" s="190" t="s">
        <v>11</v>
      </c>
      <c r="BK24" s="190" t="s">
        <v>11</v>
      </c>
      <c r="BL24" s="190" t="s">
        <v>11</v>
      </c>
      <c r="BM24" s="190" t="s">
        <v>11</v>
      </c>
      <c r="BN24" s="190" t="s">
        <v>11</v>
      </c>
      <c r="BO24" s="190" t="s">
        <v>11</v>
      </c>
      <c r="BP24" s="190" t="s">
        <v>11</v>
      </c>
      <c r="BQ24" s="243"/>
      <c r="BR24" s="190" t="s">
        <v>11</v>
      </c>
      <c r="BS24" s="190" t="s">
        <v>11</v>
      </c>
      <c r="BT24" s="190" t="s">
        <v>141</v>
      </c>
      <c r="BU24" s="190" t="s">
        <v>141</v>
      </c>
      <c r="BV24" s="190" t="s">
        <v>141</v>
      </c>
      <c r="BW24" s="190" t="s">
        <v>11</v>
      </c>
      <c r="BX24" s="190" t="s">
        <v>11</v>
      </c>
      <c r="BY24" s="190" t="s">
        <v>141</v>
      </c>
      <c r="BZ24" s="190" t="s">
        <v>141</v>
      </c>
      <c r="CA24" s="190" t="s">
        <v>11</v>
      </c>
      <c r="CB24" s="190" t="s">
        <v>141</v>
      </c>
      <c r="CC24" s="243"/>
      <c r="CD24" s="190" t="s">
        <v>141</v>
      </c>
      <c r="CE24" s="190" t="s">
        <v>141</v>
      </c>
      <c r="CF24" s="190" t="s">
        <v>141</v>
      </c>
      <c r="CG24" s="190" t="s">
        <v>141</v>
      </c>
      <c r="CH24" s="190" t="s">
        <v>141</v>
      </c>
      <c r="CI24" s="190" t="s">
        <v>11</v>
      </c>
      <c r="CJ24" s="190" t="s">
        <v>11</v>
      </c>
      <c r="CK24" s="190" t="s">
        <v>11</v>
      </c>
      <c r="CL24" s="190" t="s">
        <v>141</v>
      </c>
      <c r="CM24" s="190" t="s">
        <v>141</v>
      </c>
      <c r="CN24" s="190" t="s">
        <v>11</v>
      </c>
      <c r="CO24" s="243"/>
      <c r="CP24" s="190" t="s">
        <v>11</v>
      </c>
      <c r="CQ24" s="190" t="s">
        <v>11</v>
      </c>
      <c r="CR24" s="193" t="s">
        <v>11</v>
      </c>
      <c r="CS24" s="197" t="s">
        <v>11</v>
      </c>
      <c r="CT24" s="197" t="s">
        <v>11</v>
      </c>
      <c r="CU24" s="194" t="s">
        <v>11</v>
      </c>
      <c r="CV24" s="190" t="s">
        <v>11</v>
      </c>
      <c r="CW24" s="206"/>
      <c r="CX24" s="190" t="s">
        <v>11</v>
      </c>
      <c r="CY24" s="190" t="s">
        <v>11</v>
      </c>
      <c r="CZ24" s="190" t="s">
        <v>11</v>
      </c>
      <c r="DA24" s="190" t="s">
        <v>11</v>
      </c>
      <c r="DB24" s="190" t="s">
        <v>11</v>
      </c>
      <c r="DC24" s="190" t="s">
        <v>11</v>
      </c>
      <c r="DD24" s="190" t="s">
        <v>11</v>
      </c>
      <c r="DE24" s="243"/>
      <c r="DF24" s="190" t="s">
        <v>11</v>
      </c>
      <c r="DG24" s="241"/>
      <c r="DH24" s="241"/>
      <c r="DI24" s="242"/>
      <c r="DJ24" s="242"/>
    </row>
    <row r="25" spans="1:2941" s="154" customFormat="1" ht="12" x14ac:dyDescent="0.2">
      <c r="A25" s="152" t="s">
        <v>192</v>
      </c>
      <c r="B25" s="152"/>
      <c r="C25" s="153" t="s">
        <v>181</v>
      </c>
      <c r="D25" s="153" t="s">
        <v>175</v>
      </c>
      <c r="E25" s="153" t="s">
        <v>133</v>
      </c>
      <c r="F25" s="153" t="s">
        <v>176</v>
      </c>
      <c r="G25" s="153" t="s">
        <v>136</v>
      </c>
      <c r="H25" s="234" t="s">
        <v>193</v>
      </c>
      <c r="I25" s="147" t="s">
        <v>11</v>
      </c>
      <c r="J25" s="147" t="s">
        <v>146</v>
      </c>
      <c r="K25" s="147" t="s">
        <v>11</v>
      </c>
      <c r="L25" s="147" t="s">
        <v>138</v>
      </c>
      <c r="M25" s="147" t="s">
        <v>11</v>
      </c>
      <c r="N25" s="147" t="s">
        <v>138</v>
      </c>
      <c r="O25" s="192" t="s">
        <v>139</v>
      </c>
      <c r="P25" s="190" t="s">
        <v>140</v>
      </c>
      <c r="Q25" s="190" t="s">
        <v>11</v>
      </c>
      <c r="R25" s="190" t="s">
        <v>11</v>
      </c>
      <c r="S25" s="190" t="s">
        <v>11</v>
      </c>
      <c r="T25" s="190" t="s">
        <v>140</v>
      </c>
      <c r="U25" s="190" t="s">
        <v>140</v>
      </c>
      <c r="V25" s="190" t="s">
        <v>11</v>
      </c>
      <c r="W25" s="190" t="s">
        <v>11</v>
      </c>
      <c r="X25" s="190" t="s">
        <v>140</v>
      </c>
      <c r="Y25" s="190" t="s">
        <v>11</v>
      </c>
      <c r="Z25" s="190" t="s">
        <v>140</v>
      </c>
      <c r="AA25" s="190" t="s">
        <v>11</v>
      </c>
      <c r="AB25" s="190" t="s">
        <v>140</v>
      </c>
      <c r="AC25" s="190" t="s">
        <v>11</v>
      </c>
      <c r="AD25" s="190" t="s">
        <v>11</v>
      </c>
      <c r="AE25" s="190" t="s">
        <v>140</v>
      </c>
      <c r="AF25" s="190" t="s">
        <v>11</v>
      </c>
      <c r="AG25" s="190" t="s">
        <v>140</v>
      </c>
      <c r="AH25" s="278">
        <v>1</v>
      </c>
      <c r="AI25" s="190" t="s">
        <v>140</v>
      </c>
      <c r="AJ25" s="196"/>
      <c r="AK25" s="202" t="s">
        <v>11</v>
      </c>
      <c r="AL25" s="202" t="s">
        <v>11</v>
      </c>
      <c r="AM25" s="249"/>
      <c r="AN25" s="190" t="s">
        <v>11</v>
      </c>
      <c r="AO25" s="190" t="s">
        <v>140</v>
      </c>
      <c r="AP25" s="190" t="s">
        <v>11</v>
      </c>
      <c r="AQ25" s="190" t="s">
        <v>11</v>
      </c>
      <c r="AR25" s="190" t="s">
        <v>140</v>
      </c>
      <c r="AS25" s="190" t="s">
        <v>11</v>
      </c>
      <c r="AT25" s="190" t="s">
        <v>11</v>
      </c>
      <c r="AU25" s="190" t="s">
        <v>11</v>
      </c>
      <c r="AV25" s="190" t="s">
        <v>11</v>
      </c>
      <c r="AW25" s="190" t="s">
        <v>11</v>
      </c>
      <c r="AX25" s="190"/>
      <c r="AY25" s="190"/>
      <c r="AZ25" s="204"/>
      <c r="BA25" s="204"/>
      <c r="BB25" s="204"/>
      <c r="BC25" s="190"/>
      <c r="BD25" s="190"/>
      <c r="BE25" s="190"/>
      <c r="BF25" s="190"/>
      <c r="BG25" s="243"/>
      <c r="BH25" s="190" t="s">
        <v>11</v>
      </c>
      <c r="BI25" s="190" t="s">
        <v>11</v>
      </c>
      <c r="BJ25" s="190" t="s">
        <v>11</v>
      </c>
      <c r="BK25" s="190" t="s">
        <v>11</v>
      </c>
      <c r="BL25" s="190" t="s">
        <v>11</v>
      </c>
      <c r="BM25" s="190" t="s">
        <v>11</v>
      </c>
      <c r="BN25" s="190" t="s">
        <v>11</v>
      </c>
      <c r="BO25" s="190" t="s">
        <v>11</v>
      </c>
      <c r="BP25" s="190" t="s">
        <v>11</v>
      </c>
      <c r="BQ25" s="243"/>
      <c r="BR25" s="190" t="s">
        <v>141</v>
      </c>
      <c r="BS25" s="190" t="s">
        <v>141</v>
      </c>
      <c r="BT25" s="190" t="s">
        <v>141</v>
      </c>
      <c r="BU25" s="190" t="s">
        <v>141</v>
      </c>
      <c r="BV25" s="190" t="s">
        <v>141</v>
      </c>
      <c r="BW25" s="190" t="s">
        <v>141</v>
      </c>
      <c r="BX25" s="190" t="s">
        <v>11</v>
      </c>
      <c r="BY25" s="190" t="s">
        <v>141</v>
      </c>
      <c r="BZ25" s="190" t="s">
        <v>141</v>
      </c>
      <c r="CA25" s="190" t="s">
        <v>11</v>
      </c>
      <c r="CB25" s="190" t="s">
        <v>141</v>
      </c>
      <c r="CC25" s="243"/>
      <c r="CD25" s="190" t="s">
        <v>141</v>
      </c>
      <c r="CE25" s="190" t="s">
        <v>141</v>
      </c>
      <c r="CF25" s="190" t="s">
        <v>141</v>
      </c>
      <c r="CG25" s="190" t="s">
        <v>141</v>
      </c>
      <c r="CH25" s="190" t="s">
        <v>141</v>
      </c>
      <c r="CI25" s="190" t="s">
        <v>11</v>
      </c>
      <c r="CJ25" s="190" t="s">
        <v>11</v>
      </c>
      <c r="CK25" s="190" t="s">
        <v>11</v>
      </c>
      <c r="CL25" s="190" t="s">
        <v>141</v>
      </c>
      <c r="CM25" s="190" t="s">
        <v>11</v>
      </c>
      <c r="CN25" s="190" t="s">
        <v>141</v>
      </c>
      <c r="CO25" s="243"/>
      <c r="CP25" s="190" t="s">
        <v>11</v>
      </c>
      <c r="CQ25" s="190" t="s">
        <v>11</v>
      </c>
      <c r="CR25" s="193" t="s">
        <v>11</v>
      </c>
      <c r="CS25" s="197" t="s">
        <v>11</v>
      </c>
      <c r="CT25" s="197" t="s">
        <v>11</v>
      </c>
      <c r="CU25" s="194" t="s">
        <v>11</v>
      </c>
      <c r="CV25" s="190" t="s">
        <v>11</v>
      </c>
      <c r="CW25" s="206"/>
      <c r="CX25" s="190" t="s">
        <v>11</v>
      </c>
      <c r="CY25" s="190" t="s">
        <v>11</v>
      </c>
      <c r="CZ25" s="190" t="s">
        <v>11</v>
      </c>
      <c r="DA25" s="190" t="s">
        <v>11</v>
      </c>
      <c r="DB25" s="190" t="s">
        <v>11</v>
      </c>
      <c r="DC25" s="190" t="s">
        <v>11</v>
      </c>
      <c r="DD25" s="190" t="s">
        <v>11</v>
      </c>
      <c r="DE25" s="243"/>
      <c r="DF25" s="190" t="s">
        <v>11</v>
      </c>
      <c r="DG25" s="241"/>
      <c r="DH25" s="241"/>
      <c r="DI25" s="242"/>
      <c r="DJ25" s="242"/>
      <c r="DK25" s="128"/>
      <c r="DL25" s="128"/>
      <c r="DM25" s="128"/>
      <c r="DN25" s="128"/>
      <c r="DO25" s="128"/>
      <c r="DP25" s="128"/>
      <c r="DQ25" s="128"/>
      <c r="DR25" s="128"/>
      <c r="DS25" s="128"/>
      <c r="DT25" s="128"/>
      <c r="DU25" s="128"/>
      <c r="DV25" s="128"/>
      <c r="DW25" s="128"/>
      <c r="DX25" s="128"/>
      <c r="DY25" s="128"/>
      <c r="DZ25" s="128"/>
      <c r="EA25" s="128"/>
      <c r="EB25" s="128"/>
      <c r="EC25" s="128"/>
      <c r="ED25" s="128"/>
      <c r="EE25" s="128"/>
      <c r="EF25" s="128"/>
      <c r="EG25" s="128"/>
      <c r="EH25" s="128"/>
      <c r="EI25" s="128"/>
      <c r="EJ25" s="128"/>
      <c r="EK25" s="128"/>
      <c r="EL25" s="128"/>
      <c r="EM25" s="128"/>
      <c r="EN25" s="128"/>
      <c r="EO25" s="128"/>
      <c r="EP25" s="128"/>
      <c r="EQ25" s="128"/>
      <c r="ER25" s="128"/>
      <c r="ES25" s="128"/>
      <c r="ET25" s="128"/>
      <c r="EU25" s="128"/>
      <c r="EV25" s="128"/>
      <c r="EW25" s="128"/>
      <c r="EX25" s="128"/>
      <c r="EY25" s="128"/>
      <c r="EZ25" s="128"/>
      <c r="FA25" s="128"/>
      <c r="FB25" s="128"/>
      <c r="FC25" s="128"/>
      <c r="FD25" s="128"/>
      <c r="FE25" s="128"/>
      <c r="FF25" s="128"/>
      <c r="FG25" s="128"/>
      <c r="FH25" s="128"/>
      <c r="FI25" s="128"/>
      <c r="FJ25" s="128"/>
      <c r="FK25" s="128"/>
      <c r="FL25" s="128"/>
      <c r="FM25" s="128"/>
      <c r="FN25" s="128"/>
      <c r="FO25" s="128"/>
      <c r="FP25" s="128"/>
      <c r="FQ25" s="128"/>
      <c r="FR25" s="128"/>
      <c r="FS25" s="128"/>
      <c r="FT25" s="128"/>
      <c r="FU25" s="128"/>
      <c r="FV25" s="128"/>
      <c r="FW25" s="128"/>
      <c r="FX25" s="128"/>
      <c r="FY25" s="128"/>
      <c r="FZ25" s="128"/>
      <c r="GA25" s="128"/>
      <c r="GB25" s="128"/>
      <c r="GC25" s="128"/>
      <c r="GD25" s="128"/>
      <c r="GE25" s="128"/>
      <c r="GF25" s="128"/>
      <c r="GG25" s="128"/>
      <c r="GH25" s="128"/>
      <c r="GI25" s="128"/>
      <c r="GJ25" s="128"/>
      <c r="GK25" s="128"/>
      <c r="GL25" s="128"/>
      <c r="GM25" s="128"/>
      <c r="GN25" s="128"/>
      <c r="GO25" s="128"/>
      <c r="GP25" s="128"/>
      <c r="GQ25" s="128"/>
      <c r="GR25" s="128"/>
      <c r="GS25" s="128"/>
      <c r="GT25" s="128"/>
      <c r="GU25" s="128"/>
      <c r="GV25" s="128"/>
      <c r="GW25" s="128"/>
      <c r="GX25" s="128"/>
      <c r="GY25" s="128"/>
      <c r="GZ25" s="128"/>
      <c r="HA25" s="128"/>
      <c r="HB25" s="128"/>
      <c r="HC25" s="128"/>
      <c r="HD25" s="128"/>
      <c r="HE25" s="128"/>
      <c r="HF25" s="128"/>
      <c r="HG25" s="128"/>
      <c r="HH25" s="128"/>
      <c r="HI25" s="128"/>
      <c r="HJ25" s="128"/>
      <c r="HK25" s="128"/>
      <c r="HL25" s="128"/>
      <c r="HM25" s="128"/>
      <c r="HN25" s="128"/>
      <c r="HO25" s="128"/>
      <c r="HP25" s="128"/>
      <c r="HQ25" s="128"/>
      <c r="HR25" s="128"/>
      <c r="HS25" s="128"/>
      <c r="HT25" s="128"/>
      <c r="HU25" s="128"/>
      <c r="HV25" s="128"/>
      <c r="HW25" s="128"/>
      <c r="HX25" s="128"/>
      <c r="HY25" s="128"/>
      <c r="HZ25" s="128"/>
      <c r="IA25" s="128"/>
      <c r="IB25" s="128"/>
      <c r="IC25" s="128"/>
      <c r="ID25" s="128"/>
      <c r="IE25" s="128"/>
      <c r="IF25" s="128"/>
      <c r="IG25" s="128"/>
      <c r="IH25" s="128"/>
      <c r="II25" s="128"/>
      <c r="IJ25" s="128"/>
      <c r="IK25" s="128"/>
      <c r="IL25" s="128"/>
      <c r="IM25" s="128"/>
      <c r="IN25" s="128"/>
      <c r="IO25" s="128"/>
      <c r="IP25" s="128"/>
      <c r="IQ25" s="128"/>
      <c r="IR25" s="128"/>
      <c r="IS25" s="128"/>
      <c r="IT25" s="128"/>
      <c r="IU25" s="128"/>
      <c r="IV25" s="128"/>
      <c r="IW25" s="128"/>
      <c r="IX25" s="128"/>
      <c r="IY25" s="128"/>
      <c r="IZ25" s="128"/>
      <c r="JA25" s="128"/>
      <c r="JB25" s="128"/>
      <c r="JC25" s="128"/>
      <c r="JD25" s="128"/>
      <c r="JE25" s="128"/>
      <c r="JF25" s="128"/>
      <c r="JG25" s="128"/>
      <c r="JH25" s="128"/>
      <c r="JI25" s="128"/>
      <c r="JJ25" s="128"/>
      <c r="JK25" s="128"/>
      <c r="JL25" s="128"/>
      <c r="JM25" s="128"/>
      <c r="JN25" s="128"/>
      <c r="JO25" s="128"/>
      <c r="JP25" s="128"/>
      <c r="JQ25" s="128"/>
      <c r="JR25" s="128"/>
      <c r="JS25" s="128"/>
      <c r="JT25" s="128"/>
      <c r="JU25" s="128"/>
      <c r="JV25" s="128"/>
      <c r="JW25" s="128"/>
      <c r="JX25" s="128"/>
      <c r="JY25" s="128"/>
      <c r="JZ25" s="128"/>
      <c r="KA25" s="128"/>
      <c r="KB25" s="128"/>
      <c r="KC25" s="128"/>
      <c r="KD25" s="128"/>
      <c r="KE25" s="128"/>
      <c r="KF25" s="128"/>
      <c r="KG25" s="128"/>
      <c r="KH25" s="128"/>
      <c r="KI25" s="128"/>
      <c r="KJ25" s="128"/>
      <c r="KK25" s="128"/>
      <c r="KL25" s="128"/>
      <c r="KM25" s="128"/>
      <c r="KN25" s="128"/>
      <c r="KO25" s="128"/>
      <c r="KP25" s="128"/>
      <c r="KQ25" s="128"/>
      <c r="KR25" s="128"/>
      <c r="KS25" s="128"/>
      <c r="KT25" s="128"/>
      <c r="KU25" s="128"/>
      <c r="KV25" s="128"/>
      <c r="KW25" s="128"/>
      <c r="KX25" s="128"/>
      <c r="KY25" s="128"/>
      <c r="KZ25" s="128"/>
      <c r="LA25" s="128"/>
      <c r="LB25" s="128"/>
      <c r="LC25" s="128"/>
      <c r="LD25" s="128"/>
      <c r="LE25" s="128"/>
      <c r="LF25" s="128"/>
      <c r="LG25" s="128"/>
      <c r="LH25" s="128"/>
      <c r="LI25" s="128"/>
      <c r="LJ25" s="128"/>
      <c r="LK25" s="128"/>
      <c r="LL25" s="128"/>
      <c r="LM25" s="128"/>
      <c r="LN25" s="128"/>
      <c r="LO25" s="128"/>
      <c r="LP25" s="128"/>
      <c r="LQ25" s="128"/>
      <c r="LR25" s="128"/>
      <c r="LS25" s="128"/>
      <c r="LT25" s="128"/>
      <c r="LU25" s="128"/>
      <c r="LV25" s="128"/>
      <c r="LW25" s="128"/>
      <c r="LX25" s="128"/>
      <c r="LY25" s="128"/>
      <c r="LZ25" s="128"/>
      <c r="MA25" s="128"/>
      <c r="MB25" s="128"/>
      <c r="MC25" s="128"/>
      <c r="MD25" s="128"/>
      <c r="ME25" s="128"/>
      <c r="MF25" s="128"/>
      <c r="MG25" s="128"/>
      <c r="MH25" s="128"/>
      <c r="MI25" s="128"/>
      <c r="MJ25" s="128"/>
      <c r="MK25" s="128"/>
      <c r="ML25" s="128"/>
      <c r="MM25" s="128"/>
      <c r="MN25" s="128"/>
      <c r="MO25" s="128"/>
      <c r="MP25" s="128"/>
      <c r="MQ25" s="128"/>
      <c r="MR25" s="128"/>
      <c r="MS25" s="128"/>
      <c r="MT25" s="128"/>
      <c r="MU25" s="128"/>
      <c r="MV25" s="128"/>
      <c r="MW25" s="128"/>
      <c r="MX25" s="128"/>
      <c r="MY25" s="128"/>
      <c r="MZ25" s="128"/>
      <c r="NA25" s="128"/>
      <c r="NB25" s="128"/>
      <c r="NC25" s="128"/>
      <c r="ND25" s="128"/>
      <c r="NE25" s="128"/>
      <c r="NF25" s="128"/>
      <c r="NG25" s="128"/>
      <c r="NH25" s="128"/>
      <c r="NI25" s="128"/>
      <c r="NJ25" s="128"/>
      <c r="NK25" s="128"/>
      <c r="NL25" s="128"/>
      <c r="NM25" s="128"/>
      <c r="NN25" s="128"/>
      <c r="NO25" s="128"/>
      <c r="NP25" s="128"/>
      <c r="NQ25" s="128"/>
      <c r="NR25" s="128"/>
      <c r="NS25" s="128"/>
      <c r="NT25" s="128"/>
      <c r="NU25" s="128"/>
      <c r="NV25" s="128"/>
      <c r="NW25" s="128"/>
      <c r="NX25" s="128"/>
      <c r="NY25" s="128"/>
      <c r="NZ25" s="128"/>
      <c r="OA25" s="128"/>
      <c r="OB25" s="128"/>
      <c r="OC25" s="128"/>
      <c r="OD25" s="128"/>
      <c r="OE25" s="128"/>
      <c r="OF25" s="128"/>
      <c r="OG25" s="128"/>
      <c r="OH25" s="128"/>
      <c r="OI25" s="128"/>
      <c r="OJ25" s="128"/>
      <c r="OK25" s="128"/>
      <c r="OL25" s="128"/>
      <c r="OM25" s="128"/>
      <c r="ON25" s="128"/>
      <c r="OO25" s="128"/>
      <c r="OP25" s="128"/>
      <c r="OQ25" s="128"/>
      <c r="OR25" s="128"/>
      <c r="OS25" s="128"/>
      <c r="OT25" s="128"/>
      <c r="OU25" s="128"/>
      <c r="OV25" s="128"/>
      <c r="OW25" s="128"/>
      <c r="OX25" s="128"/>
      <c r="OY25" s="128"/>
      <c r="OZ25" s="128"/>
      <c r="PA25" s="128"/>
      <c r="PB25" s="128"/>
      <c r="PC25" s="128"/>
      <c r="PD25" s="128"/>
      <c r="PE25" s="128"/>
      <c r="PF25" s="128"/>
      <c r="PG25" s="128"/>
      <c r="PH25" s="128"/>
      <c r="PI25" s="128"/>
      <c r="PJ25" s="128"/>
      <c r="PK25" s="128"/>
      <c r="PL25" s="128"/>
      <c r="PM25" s="128"/>
      <c r="PN25" s="128"/>
      <c r="PO25" s="128"/>
      <c r="PP25" s="128"/>
      <c r="PQ25" s="128"/>
      <c r="PR25" s="128"/>
      <c r="PS25" s="128"/>
      <c r="PT25" s="128"/>
      <c r="PU25" s="128"/>
      <c r="PV25" s="128"/>
      <c r="PW25" s="128"/>
      <c r="PX25" s="128"/>
      <c r="PY25" s="128"/>
      <c r="PZ25" s="128"/>
      <c r="QA25" s="128"/>
      <c r="QB25" s="128"/>
      <c r="QC25" s="128"/>
      <c r="QD25" s="128"/>
      <c r="QE25" s="128"/>
      <c r="QF25" s="128"/>
      <c r="QG25" s="128"/>
      <c r="QH25" s="128"/>
      <c r="QI25" s="128"/>
      <c r="QJ25" s="128"/>
      <c r="QK25" s="128"/>
      <c r="QL25" s="128"/>
      <c r="QM25" s="128"/>
      <c r="QN25" s="128"/>
      <c r="QO25" s="128"/>
      <c r="QP25" s="128"/>
      <c r="QQ25" s="128"/>
      <c r="QR25" s="128"/>
      <c r="QS25" s="128"/>
      <c r="QT25" s="128"/>
      <c r="QU25" s="128"/>
      <c r="QV25" s="128"/>
      <c r="QW25" s="128"/>
      <c r="QX25" s="128"/>
      <c r="QY25" s="128"/>
      <c r="QZ25" s="128"/>
      <c r="RA25" s="128"/>
      <c r="RB25" s="128"/>
      <c r="RC25" s="128"/>
      <c r="RD25" s="128"/>
      <c r="RE25" s="128"/>
      <c r="RF25" s="128"/>
      <c r="RG25" s="128"/>
      <c r="RH25" s="128"/>
      <c r="RI25" s="128"/>
      <c r="RJ25" s="128"/>
      <c r="RK25" s="128"/>
      <c r="RL25" s="128"/>
      <c r="RM25" s="128"/>
      <c r="RN25" s="128"/>
      <c r="RO25" s="128"/>
      <c r="RP25" s="128"/>
      <c r="RQ25" s="128"/>
      <c r="RR25" s="128"/>
      <c r="RS25" s="128"/>
      <c r="RT25" s="128"/>
      <c r="RU25" s="128"/>
      <c r="RV25" s="128"/>
      <c r="RW25" s="128"/>
      <c r="RX25" s="128"/>
      <c r="RY25" s="128"/>
      <c r="RZ25" s="128"/>
      <c r="SA25" s="128"/>
      <c r="SB25" s="128"/>
      <c r="SC25" s="128"/>
      <c r="SD25" s="128"/>
      <c r="SE25" s="128"/>
      <c r="SF25" s="128"/>
      <c r="SG25" s="128"/>
      <c r="SH25" s="128"/>
      <c r="SI25" s="128"/>
      <c r="SJ25" s="128"/>
      <c r="SK25" s="128"/>
      <c r="SL25" s="128"/>
      <c r="SM25" s="128"/>
      <c r="SN25" s="128"/>
      <c r="SO25" s="128"/>
      <c r="SP25" s="128"/>
      <c r="SQ25" s="128"/>
      <c r="SR25" s="128"/>
      <c r="SS25" s="128"/>
      <c r="ST25" s="128"/>
      <c r="SU25" s="128"/>
      <c r="SV25" s="128"/>
      <c r="SW25" s="128"/>
      <c r="SX25" s="128"/>
      <c r="SY25" s="128"/>
      <c r="SZ25" s="128"/>
      <c r="TA25" s="128"/>
      <c r="TB25" s="128"/>
      <c r="TC25" s="128"/>
      <c r="TD25" s="128"/>
      <c r="TE25" s="128"/>
      <c r="TF25" s="128"/>
      <c r="TG25" s="128"/>
      <c r="TH25" s="128"/>
      <c r="TI25" s="128"/>
      <c r="TJ25" s="128"/>
      <c r="TK25" s="128"/>
      <c r="TL25" s="128"/>
      <c r="TM25" s="128"/>
      <c r="TN25" s="128"/>
      <c r="TO25" s="128"/>
      <c r="TP25" s="128"/>
      <c r="TQ25" s="128"/>
      <c r="TR25" s="128"/>
      <c r="TS25" s="128"/>
      <c r="TT25" s="128"/>
      <c r="TU25" s="128"/>
      <c r="TV25" s="128"/>
      <c r="TW25" s="128"/>
      <c r="TX25" s="128"/>
      <c r="TY25" s="128"/>
      <c r="TZ25" s="128"/>
      <c r="UA25" s="128"/>
      <c r="UB25" s="128"/>
      <c r="UC25" s="128"/>
      <c r="UD25" s="128"/>
      <c r="UE25" s="128"/>
      <c r="UF25" s="128"/>
      <c r="UG25" s="128"/>
      <c r="UH25" s="128"/>
      <c r="UI25" s="128"/>
      <c r="UJ25" s="128"/>
      <c r="UK25" s="128"/>
      <c r="UL25" s="128"/>
      <c r="UM25" s="128"/>
      <c r="UN25" s="128"/>
      <c r="UO25" s="128"/>
      <c r="UP25" s="128"/>
      <c r="UQ25" s="128"/>
      <c r="UR25" s="128"/>
      <c r="US25" s="128"/>
      <c r="UT25" s="128"/>
      <c r="UU25" s="128"/>
      <c r="UV25" s="128"/>
      <c r="UW25" s="128"/>
      <c r="UX25" s="128"/>
      <c r="UY25" s="128"/>
      <c r="UZ25" s="128"/>
      <c r="VA25" s="128"/>
      <c r="VB25" s="128"/>
      <c r="VC25" s="128"/>
      <c r="VD25" s="128"/>
      <c r="VE25" s="128"/>
      <c r="VF25" s="128"/>
      <c r="VG25" s="128"/>
      <c r="VH25" s="128"/>
      <c r="VI25" s="128"/>
      <c r="VJ25" s="128"/>
      <c r="VK25" s="128"/>
      <c r="VL25" s="128"/>
      <c r="VM25" s="128"/>
      <c r="VN25" s="128"/>
      <c r="VO25" s="128"/>
      <c r="VP25" s="128"/>
      <c r="VQ25" s="128"/>
      <c r="VR25" s="128"/>
      <c r="VS25" s="128"/>
      <c r="VT25" s="128"/>
      <c r="VU25" s="128"/>
      <c r="VV25" s="128"/>
      <c r="VW25" s="128"/>
      <c r="VX25" s="128"/>
      <c r="VY25" s="128"/>
      <c r="VZ25" s="128"/>
      <c r="WA25" s="128"/>
      <c r="WB25" s="128"/>
      <c r="WC25" s="128"/>
      <c r="WD25" s="128"/>
      <c r="WE25" s="128"/>
      <c r="WF25" s="128"/>
      <c r="WG25" s="128"/>
      <c r="WH25" s="128"/>
      <c r="WI25" s="128"/>
      <c r="WJ25" s="128"/>
      <c r="WK25" s="128"/>
      <c r="WL25" s="128"/>
      <c r="WM25" s="128"/>
      <c r="WN25" s="128"/>
      <c r="WO25" s="128"/>
      <c r="WP25" s="128"/>
      <c r="WQ25" s="128"/>
      <c r="WR25" s="128"/>
      <c r="WS25" s="128"/>
      <c r="WT25" s="128"/>
      <c r="WU25" s="128"/>
      <c r="WV25" s="128"/>
      <c r="WW25" s="128"/>
      <c r="WX25" s="128"/>
      <c r="WY25" s="128"/>
      <c r="WZ25" s="128"/>
      <c r="XA25" s="128"/>
      <c r="XB25" s="128"/>
      <c r="XC25" s="128"/>
      <c r="XD25" s="128"/>
      <c r="XE25" s="128"/>
      <c r="XF25" s="128"/>
      <c r="XG25" s="128"/>
      <c r="XH25" s="128"/>
      <c r="XI25" s="128"/>
      <c r="XJ25" s="128"/>
      <c r="XK25" s="128"/>
      <c r="XL25" s="128"/>
      <c r="XM25" s="128"/>
      <c r="XN25" s="128"/>
      <c r="XO25" s="128"/>
      <c r="XP25" s="128"/>
      <c r="XQ25" s="128"/>
      <c r="XR25" s="128"/>
      <c r="XS25" s="128"/>
      <c r="XT25" s="128"/>
      <c r="XU25" s="128"/>
      <c r="XV25" s="128"/>
      <c r="XW25" s="128"/>
      <c r="XX25" s="128"/>
      <c r="XY25" s="128"/>
      <c r="XZ25" s="128"/>
      <c r="YA25" s="128"/>
      <c r="YB25" s="128"/>
      <c r="YC25" s="128"/>
      <c r="YD25" s="128"/>
      <c r="YE25" s="128"/>
      <c r="YF25" s="128"/>
      <c r="YG25" s="128"/>
      <c r="YH25" s="128"/>
      <c r="YI25" s="128"/>
      <c r="YJ25" s="128"/>
      <c r="YK25" s="128"/>
      <c r="YL25" s="128"/>
      <c r="YM25" s="128"/>
      <c r="YN25" s="128"/>
      <c r="YO25" s="128"/>
      <c r="YP25" s="128"/>
      <c r="YQ25" s="128"/>
      <c r="YR25" s="128"/>
      <c r="YS25" s="128"/>
      <c r="YT25" s="128"/>
      <c r="YU25" s="128"/>
      <c r="YV25" s="128"/>
      <c r="YW25" s="128"/>
      <c r="YX25" s="128"/>
      <c r="YY25" s="128"/>
      <c r="YZ25" s="128"/>
      <c r="ZA25" s="128"/>
      <c r="ZB25" s="128"/>
      <c r="ZC25" s="128"/>
      <c r="ZD25" s="128"/>
      <c r="ZE25" s="128"/>
      <c r="ZF25" s="128"/>
      <c r="ZG25" s="128"/>
      <c r="ZH25" s="128"/>
      <c r="ZI25" s="128"/>
      <c r="ZJ25" s="128"/>
      <c r="ZK25" s="128"/>
      <c r="ZL25" s="128"/>
      <c r="ZM25" s="128"/>
      <c r="ZN25" s="128"/>
      <c r="ZO25" s="128"/>
      <c r="ZP25" s="128"/>
      <c r="ZQ25" s="128"/>
      <c r="ZR25" s="128"/>
      <c r="ZS25" s="128"/>
      <c r="ZT25" s="128"/>
      <c r="ZU25" s="128"/>
      <c r="ZV25" s="128"/>
      <c r="ZW25" s="128"/>
      <c r="ZX25" s="128"/>
      <c r="ZY25" s="128"/>
      <c r="ZZ25" s="128"/>
      <c r="AAA25" s="128"/>
      <c r="AAB25" s="128"/>
      <c r="AAC25" s="128"/>
      <c r="AAD25" s="128"/>
      <c r="AAE25" s="128"/>
      <c r="AAF25" s="128"/>
      <c r="AAG25" s="128"/>
      <c r="AAH25" s="128"/>
      <c r="AAI25" s="128"/>
      <c r="AAJ25" s="128"/>
      <c r="AAK25" s="128"/>
      <c r="AAL25" s="128"/>
      <c r="AAM25" s="128"/>
      <c r="AAN25" s="128"/>
      <c r="AAO25" s="128"/>
      <c r="AAP25" s="128"/>
      <c r="AAQ25" s="128"/>
      <c r="AAR25" s="128"/>
      <c r="AAS25" s="128"/>
      <c r="AAT25" s="128"/>
      <c r="AAU25" s="128"/>
      <c r="AAV25" s="128"/>
      <c r="AAW25" s="128"/>
      <c r="AAX25" s="128"/>
      <c r="AAY25" s="128"/>
      <c r="AAZ25" s="128"/>
      <c r="ABA25" s="128"/>
      <c r="ABB25" s="128"/>
      <c r="ABC25" s="128"/>
      <c r="ABD25" s="128"/>
      <c r="ABE25" s="128"/>
      <c r="ABF25" s="128"/>
      <c r="ABG25" s="128"/>
      <c r="ABH25" s="128"/>
      <c r="ABI25" s="128"/>
      <c r="ABJ25" s="128"/>
      <c r="ABK25" s="128"/>
      <c r="ABL25" s="128"/>
      <c r="ABM25" s="128"/>
      <c r="ABN25" s="128"/>
      <c r="ABO25" s="128"/>
      <c r="ABP25" s="128"/>
      <c r="ABQ25" s="128"/>
      <c r="ABR25" s="128"/>
      <c r="ABS25" s="128"/>
      <c r="ABT25" s="128"/>
      <c r="ABU25" s="128"/>
      <c r="ABV25" s="128"/>
      <c r="ABW25" s="128"/>
      <c r="ABX25" s="128"/>
      <c r="ABY25" s="128"/>
      <c r="ABZ25" s="128"/>
      <c r="ACA25" s="128"/>
      <c r="ACB25" s="128"/>
      <c r="ACC25" s="128"/>
      <c r="ACD25" s="128"/>
      <c r="ACE25" s="128"/>
      <c r="ACF25" s="128"/>
      <c r="ACG25" s="128"/>
      <c r="ACH25" s="128"/>
      <c r="ACI25" s="128"/>
      <c r="ACJ25" s="128"/>
      <c r="ACK25" s="128"/>
      <c r="ACL25" s="128"/>
      <c r="ACM25" s="128"/>
      <c r="ACN25" s="128"/>
      <c r="ACO25" s="128"/>
      <c r="ACP25" s="128"/>
      <c r="ACQ25" s="128"/>
      <c r="ACR25" s="128"/>
      <c r="ACS25" s="128"/>
      <c r="ACT25" s="128"/>
      <c r="ACU25" s="128"/>
      <c r="ACV25" s="128"/>
      <c r="ACW25" s="128"/>
      <c r="ACX25" s="128"/>
      <c r="ACY25" s="128"/>
      <c r="ACZ25" s="128"/>
      <c r="ADA25" s="128"/>
      <c r="ADB25" s="128"/>
      <c r="ADC25" s="128"/>
      <c r="ADD25" s="128"/>
      <c r="ADE25" s="128"/>
      <c r="ADF25" s="128"/>
      <c r="ADG25" s="128"/>
      <c r="ADH25" s="128"/>
      <c r="ADI25" s="128"/>
      <c r="ADJ25" s="128"/>
      <c r="ADK25" s="128"/>
      <c r="ADL25" s="128"/>
      <c r="ADM25" s="128"/>
      <c r="ADN25" s="128"/>
      <c r="ADO25" s="128"/>
      <c r="ADP25" s="128"/>
      <c r="ADQ25" s="128"/>
      <c r="ADR25" s="128"/>
      <c r="ADS25" s="128"/>
      <c r="ADT25" s="128"/>
      <c r="ADU25" s="128"/>
      <c r="ADV25" s="128"/>
      <c r="ADW25" s="128"/>
      <c r="ADX25" s="128"/>
      <c r="ADY25" s="128"/>
      <c r="ADZ25" s="128"/>
      <c r="AEA25" s="128"/>
      <c r="AEB25" s="128"/>
      <c r="AEC25" s="128"/>
      <c r="AED25" s="128"/>
      <c r="AEE25" s="128"/>
      <c r="AEF25" s="128"/>
      <c r="AEG25" s="128"/>
      <c r="AEH25" s="128"/>
      <c r="AEI25" s="128"/>
      <c r="AEJ25" s="128"/>
      <c r="AEK25" s="128"/>
      <c r="AEL25" s="128"/>
      <c r="AEM25" s="128"/>
      <c r="AEN25" s="128"/>
      <c r="AEO25" s="128"/>
      <c r="AEP25" s="128"/>
      <c r="AEQ25" s="128"/>
      <c r="AER25" s="128"/>
      <c r="AES25" s="128"/>
      <c r="AET25" s="128"/>
      <c r="AEU25" s="128"/>
      <c r="AEV25" s="128"/>
      <c r="AEW25" s="128"/>
      <c r="AEX25" s="128"/>
      <c r="AEY25" s="128"/>
      <c r="AEZ25" s="128"/>
      <c r="AFA25" s="128"/>
      <c r="AFB25" s="128"/>
      <c r="AFC25" s="128"/>
      <c r="AFD25" s="128"/>
      <c r="AFE25" s="128"/>
      <c r="AFF25" s="128"/>
      <c r="AFG25" s="128"/>
      <c r="AFH25" s="128"/>
      <c r="AFI25" s="128"/>
      <c r="AFJ25" s="128"/>
      <c r="AFK25" s="128"/>
      <c r="AFL25" s="128"/>
      <c r="AFM25" s="128"/>
      <c r="AFN25" s="128"/>
      <c r="AFO25" s="128"/>
      <c r="AFP25" s="128"/>
      <c r="AFQ25" s="128"/>
      <c r="AFR25" s="128"/>
      <c r="AFS25" s="128"/>
      <c r="AFT25" s="128"/>
      <c r="AFU25" s="128"/>
      <c r="AFV25" s="128"/>
      <c r="AFW25" s="128"/>
      <c r="AFX25" s="128"/>
      <c r="AFY25" s="128"/>
      <c r="AFZ25" s="128"/>
      <c r="AGA25" s="128"/>
      <c r="AGB25" s="128"/>
      <c r="AGC25" s="128"/>
      <c r="AGD25" s="128"/>
      <c r="AGE25" s="128"/>
      <c r="AGF25" s="128"/>
      <c r="AGG25" s="128"/>
      <c r="AGH25" s="128"/>
      <c r="AGI25" s="128"/>
      <c r="AGJ25" s="128"/>
      <c r="AGK25" s="128"/>
      <c r="AGL25" s="128"/>
      <c r="AGM25" s="128"/>
      <c r="AGN25" s="128"/>
      <c r="AGO25" s="128"/>
      <c r="AGP25" s="128"/>
      <c r="AGQ25" s="128"/>
      <c r="AGR25" s="128"/>
      <c r="AGS25" s="128"/>
      <c r="AGT25" s="128"/>
      <c r="AGU25" s="128"/>
      <c r="AGV25" s="128"/>
      <c r="AGW25" s="128"/>
      <c r="AGX25" s="128"/>
      <c r="AGY25" s="128"/>
      <c r="AGZ25" s="128"/>
      <c r="AHA25" s="128"/>
      <c r="AHB25" s="128"/>
      <c r="AHC25" s="128"/>
      <c r="AHD25" s="128"/>
      <c r="AHE25" s="128"/>
      <c r="AHF25" s="128"/>
      <c r="AHG25" s="128"/>
      <c r="AHH25" s="128"/>
      <c r="AHI25" s="128"/>
      <c r="AHJ25" s="128"/>
      <c r="AHK25" s="128"/>
      <c r="AHL25" s="128"/>
      <c r="AHM25" s="128"/>
      <c r="AHN25" s="128"/>
      <c r="AHO25" s="128"/>
      <c r="AHP25" s="128"/>
      <c r="AHQ25" s="128"/>
      <c r="AHR25" s="128"/>
      <c r="AHS25" s="128"/>
      <c r="AHT25" s="128"/>
      <c r="AHU25" s="128"/>
      <c r="AHV25" s="128"/>
      <c r="AHW25" s="128"/>
      <c r="AHX25" s="128"/>
      <c r="AHY25" s="128"/>
      <c r="AHZ25" s="128"/>
      <c r="AIA25" s="128"/>
      <c r="AIB25" s="128"/>
      <c r="AIC25" s="128"/>
      <c r="AID25" s="128"/>
      <c r="AIE25" s="128"/>
      <c r="AIF25" s="128"/>
      <c r="AIG25" s="128"/>
      <c r="AIH25" s="128"/>
      <c r="AII25" s="128"/>
      <c r="AIJ25" s="128"/>
      <c r="AIK25" s="128"/>
      <c r="AIL25" s="128"/>
      <c r="AIM25" s="128"/>
      <c r="AIN25" s="128"/>
      <c r="AIO25" s="128"/>
      <c r="AIP25" s="128"/>
      <c r="AIQ25" s="128"/>
      <c r="AIR25" s="128"/>
      <c r="AIS25" s="128"/>
      <c r="AIT25" s="128"/>
      <c r="AIU25" s="128"/>
      <c r="AIV25" s="128"/>
      <c r="AIW25" s="128"/>
      <c r="AIX25" s="128"/>
      <c r="AIY25" s="128"/>
      <c r="AIZ25" s="128"/>
      <c r="AJA25" s="128"/>
      <c r="AJB25" s="128"/>
      <c r="AJC25" s="128"/>
      <c r="AJD25" s="128"/>
      <c r="AJE25" s="128"/>
      <c r="AJF25" s="128"/>
      <c r="AJG25" s="128"/>
      <c r="AJH25" s="128"/>
      <c r="AJI25" s="128"/>
      <c r="AJJ25" s="128"/>
      <c r="AJK25" s="128"/>
      <c r="AJL25" s="128"/>
      <c r="AJM25" s="128"/>
      <c r="AJN25" s="128"/>
      <c r="AJO25" s="128"/>
      <c r="AJP25" s="128"/>
      <c r="AJQ25" s="128"/>
      <c r="AJR25" s="128"/>
      <c r="AJS25" s="128"/>
      <c r="AJT25" s="128"/>
      <c r="AJU25" s="128"/>
      <c r="AJV25" s="128"/>
      <c r="AJW25" s="128"/>
      <c r="AJX25" s="128"/>
      <c r="AJY25" s="128"/>
      <c r="AJZ25" s="128"/>
      <c r="AKA25" s="128"/>
      <c r="AKB25" s="128"/>
      <c r="AKC25" s="128"/>
      <c r="AKD25" s="128"/>
      <c r="AKE25" s="128"/>
      <c r="AKF25" s="128"/>
      <c r="AKG25" s="128"/>
      <c r="AKH25" s="128"/>
      <c r="AKI25" s="128"/>
      <c r="AKJ25" s="128"/>
      <c r="AKK25" s="128"/>
      <c r="AKL25" s="128"/>
      <c r="AKM25" s="128"/>
      <c r="AKN25" s="128"/>
      <c r="AKO25" s="128"/>
      <c r="AKP25" s="128"/>
      <c r="AKQ25" s="128"/>
      <c r="AKR25" s="128"/>
      <c r="AKS25" s="128"/>
      <c r="AKT25" s="128"/>
      <c r="AKU25" s="128"/>
      <c r="AKV25" s="128"/>
      <c r="AKW25" s="128"/>
      <c r="AKX25" s="128"/>
      <c r="AKY25" s="128"/>
      <c r="AKZ25" s="128"/>
      <c r="ALA25" s="128"/>
      <c r="ALB25" s="128"/>
      <c r="ALC25" s="128"/>
      <c r="ALD25" s="128"/>
      <c r="ALE25" s="128"/>
      <c r="ALF25" s="128"/>
      <c r="ALG25" s="128"/>
      <c r="ALH25" s="128"/>
      <c r="ALI25" s="128"/>
      <c r="ALJ25" s="128"/>
      <c r="ALK25" s="128"/>
      <c r="ALL25" s="128"/>
      <c r="ALM25" s="128"/>
      <c r="ALN25" s="128"/>
      <c r="ALO25" s="128"/>
      <c r="ALP25" s="128"/>
      <c r="ALQ25" s="128"/>
      <c r="ALR25" s="128"/>
      <c r="ALS25" s="128"/>
      <c r="ALT25" s="128"/>
      <c r="ALU25" s="128"/>
      <c r="ALV25" s="128"/>
      <c r="ALW25" s="128"/>
      <c r="ALX25" s="128"/>
      <c r="ALY25" s="128"/>
      <c r="ALZ25" s="128"/>
      <c r="AMA25" s="128"/>
      <c r="AMB25" s="128"/>
      <c r="AMC25" s="128"/>
      <c r="AMD25" s="128"/>
      <c r="AME25" s="128"/>
      <c r="AMF25" s="128"/>
      <c r="AMG25" s="128"/>
      <c r="AMH25" s="128"/>
      <c r="AMI25" s="128"/>
      <c r="AMJ25" s="128"/>
      <c r="AMK25" s="128"/>
      <c r="AML25" s="128"/>
      <c r="AMM25" s="128"/>
      <c r="AMN25" s="128"/>
      <c r="AMO25" s="128"/>
      <c r="AMP25" s="128"/>
      <c r="AMQ25" s="128"/>
      <c r="AMR25" s="128"/>
      <c r="AMS25" s="128"/>
      <c r="AMT25" s="128"/>
      <c r="AMU25" s="128"/>
      <c r="AMV25" s="128"/>
      <c r="AMW25" s="128"/>
      <c r="AMX25" s="128"/>
      <c r="AMY25" s="128"/>
      <c r="AMZ25" s="128"/>
      <c r="ANA25" s="128"/>
      <c r="ANB25" s="128"/>
      <c r="ANC25" s="128"/>
      <c r="AND25" s="128"/>
      <c r="ANE25" s="128"/>
      <c r="ANF25" s="128"/>
      <c r="ANG25" s="128"/>
      <c r="ANH25" s="128"/>
      <c r="ANI25" s="128"/>
      <c r="ANJ25" s="128"/>
      <c r="ANK25" s="128"/>
      <c r="ANL25" s="128"/>
      <c r="ANM25" s="128"/>
      <c r="ANN25" s="128"/>
      <c r="ANO25" s="128"/>
      <c r="ANP25" s="128"/>
      <c r="ANQ25" s="128"/>
      <c r="ANR25" s="128"/>
      <c r="ANS25" s="128"/>
      <c r="ANT25" s="128"/>
      <c r="ANU25" s="128"/>
      <c r="ANV25" s="128"/>
      <c r="ANW25" s="128"/>
      <c r="ANX25" s="128"/>
      <c r="ANY25" s="128"/>
      <c r="ANZ25" s="128"/>
      <c r="AOA25" s="128"/>
      <c r="AOB25" s="128"/>
      <c r="AOC25" s="128"/>
      <c r="AOD25" s="128"/>
      <c r="AOE25" s="128"/>
      <c r="AOF25" s="128"/>
      <c r="AOG25" s="128"/>
      <c r="AOH25" s="128"/>
      <c r="AOI25" s="128"/>
      <c r="AOJ25" s="128"/>
      <c r="AOK25" s="128"/>
      <c r="AOL25" s="128"/>
      <c r="AOM25" s="128"/>
      <c r="AON25" s="128"/>
      <c r="AOO25" s="128"/>
      <c r="AOP25" s="128"/>
      <c r="AOQ25" s="128"/>
      <c r="AOR25" s="128"/>
      <c r="AOS25" s="128"/>
      <c r="AOT25" s="128"/>
      <c r="AOU25" s="128"/>
      <c r="AOV25" s="128"/>
      <c r="AOW25" s="128"/>
      <c r="AOX25" s="128"/>
      <c r="AOY25" s="128"/>
      <c r="AOZ25" s="128"/>
      <c r="APA25" s="128"/>
      <c r="APB25" s="128"/>
      <c r="APC25" s="128"/>
      <c r="APD25" s="128"/>
      <c r="APE25" s="128"/>
      <c r="APF25" s="128"/>
      <c r="APG25" s="128"/>
      <c r="APH25" s="128"/>
      <c r="API25" s="128"/>
      <c r="APJ25" s="128"/>
      <c r="APK25" s="128"/>
      <c r="APL25" s="128"/>
      <c r="APM25" s="128"/>
      <c r="APN25" s="128"/>
      <c r="APO25" s="128"/>
      <c r="APP25" s="128"/>
      <c r="APQ25" s="128"/>
      <c r="APR25" s="128"/>
      <c r="APS25" s="128"/>
      <c r="APT25" s="128"/>
      <c r="APU25" s="128"/>
      <c r="APV25" s="128"/>
      <c r="APW25" s="128"/>
      <c r="APX25" s="128"/>
      <c r="APY25" s="128"/>
      <c r="APZ25" s="128"/>
      <c r="AQA25" s="128"/>
      <c r="AQB25" s="128"/>
      <c r="AQC25" s="128"/>
      <c r="AQD25" s="128"/>
      <c r="AQE25" s="128"/>
      <c r="AQF25" s="128"/>
      <c r="AQG25" s="128"/>
      <c r="AQH25" s="128"/>
      <c r="AQI25" s="128"/>
      <c r="AQJ25" s="128"/>
      <c r="AQK25" s="128"/>
      <c r="AQL25" s="128"/>
      <c r="AQM25" s="128"/>
      <c r="AQN25" s="128"/>
      <c r="AQO25" s="128"/>
      <c r="AQP25" s="128"/>
      <c r="AQQ25" s="128"/>
      <c r="AQR25" s="128"/>
      <c r="AQS25" s="128"/>
      <c r="AQT25" s="128"/>
      <c r="AQU25" s="128"/>
      <c r="AQV25" s="128"/>
      <c r="AQW25" s="128"/>
      <c r="AQX25" s="128"/>
      <c r="AQY25" s="128"/>
      <c r="AQZ25" s="128"/>
      <c r="ARA25" s="128"/>
      <c r="ARB25" s="128"/>
      <c r="ARC25" s="128"/>
      <c r="ARD25" s="128"/>
      <c r="ARE25" s="128"/>
      <c r="ARF25" s="128"/>
      <c r="ARG25" s="128"/>
      <c r="ARH25" s="128"/>
      <c r="ARI25" s="128"/>
      <c r="ARJ25" s="128"/>
      <c r="ARK25" s="128"/>
      <c r="ARL25" s="128"/>
      <c r="ARM25" s="128"/>
      <c r="ARN25" s="128"/>
      <c r="ARO25" s="128"/>
      <c r="ARP25" s="128"/>
      <c r="ARQ25" s="128"/>
      <c r="ARR25" s="128"/>
      <c r="ARS25" s="128"/>
      <c r="ART25" s="128"/>
      <c r="ARU25" s="128"/>
      <c r="ARV25" s="128"/>
      <c r="ARW25" s="128"/>
      <c r="ARX25" s="128"/>
      <c r="ARY25" s="128"/>
      <c r="ARZ25" s="128"/>
      <c r="ASA25" s="128"/>
      <c r="ASB25" s="128"/>
      <c r="ASC25" s="128"/>
      <c r="ASD25" s="128"/>
      <c r="ASE25" s="128"/>
      <c r="ASF25" s="128"/>
      <c r="ASG25" s="128"/>
      <c r="ASH25" s="128"/>
      <c r="ASI25" s="128"/>
      <c r="ASJ25" s="128"/>
      <c r="ASK25" s="128"/>
      <c r="ASL25" s="128"/>
      <c r="ASM25" s="128"/>
      <c r="ASN25" s="128"/>
      <c r="ASO25" s="128"/>
      <c r="ASP25" s="128"/>
      <c r="ASQ25" s="128"/>
      <c r="ASR25" s="128"/>
      <c r="ASS25" s="128"/>
      <c r="AST25" s="128"/>
      <c r="ASU25" s="128"/>
      <c r="ASV25" s="128"/>
      <c r="ASW25" s="128"/>
      <c r="ASX25" s="128"/>
      <c r="ASY25" s="128"/>
      <c r="ASZ25" s="128"/>
      <c r="ATA25" s="128"/>
      <c r="ATB25" s="128"/>
      <c r="ATC25" s="128"/>
      <c r="ATD25" s="128"/>
      <c r="ATE25" s="128"/>
      <c r="ATF25" s="128"/>
      <c r="ATG25" s="128"/>
      <c r="ATH25" s="128"/>
      <c r="ATI25" s="128"/>
      <c r="ATJ25" s="128"/>
      <c r="ATK25" s="128"/>
      <c r="ATL25" s="128"/>
      <c r="ATM25" s="128"/>
      <c r="ATN25" s="128"/>
      <c r="ATO25" s="128"/>
      <c r="ATP25" s="128"/>
      <c r="ATQ25" s="128"/>
      <c r="ATR25" s="128"/>
      <c r="ATS25" s="128"/>
      <c r="ATT25" s="128"/>
      <c r="ATU25" s="128"/>
      <c r="ATV25" s="128"/>
      <c r="ATW25" s="128"/>
      <c r="ATX25" s="128"/>
      <c r="ATY25" s="128"/>
      <c r="ATZ25" s="128"/>
      <c r="AUA25" s="128"/>
      <c r="AUB25" s="128"/>
      <c r="AUC25" s="128"/>
      <c r="AUD25" s="128"/>
      <c r="AUE25" s="128"/>
      <c r="AUF25" s="128"/>
      <c r="AUG25" s="128"/>
      <c r="AUH25" s="128"/>
      <c r="AUI25" s="128"/>
      <c r="AUJ25" s="128"/>
      <c r="AUK25" s="128"/>
      <c r="AUL25" s="128"/>
      <c r="AUM25" s="128"/>
      <c r="AUN25" s="128"/>
      <c r="AUO25" s="128"/>
      <c r="AUP25" s="128"/>
      <c r="AUQ25" s="128"/>
      <c r="AUR25" s="128"/>
      <c r="AUS25" s="128"/>
      <c r="AUT25" s="128"/>
      <c r="AUU25" s="128"/>
      <c r="AUV25" s="128"/>
      <c r="AUW25" s="128"/>
      <c r="AUX25" s="128"/>
      <c r="AUY25" s="128"/>
      <c r="AUZ25" s="128"/>
      <c r="AVA25" s="128"/>
      <c r="AVB25" s="128"/>
      <c r="AVC25" s="128"/>
      <c r="AVD25" s="128"/>
      <c r="AVE25" s="128"/>
      <c r="AVF25" s="128"/>
      <c r="AVG25" s="128"/>
      <c r="AVH25" s="128"/>
      <c r="AVI25" s="128"/>
      <c r="AVJ25" s="128"/>
      <c r="AVK25" s="128"/>
      <c r="AVL25" s="128"/>
      <c r="AVM25" s="128"/>
      <c r="AVN25" s="128"/>
      <c r="AVO25" s="128"/>
      <c r="AVP25" s="128"/>
      <c r="AVQ25" s="128"/>
      <c r="AVR25" s="128"/>
      <c r="AVS25" s="128"/>
      <c r="AVT25" s="128"/>
      <c r="AVU25" s="128"/>
      <c r="AVV25" s="128"/>
      <c r="AVW25" s="128"/>
      <c r="AVX25" s="128"/>
      <c r="AVY25" s="128"/>
      <c r="AVZ25" s="128"/>
      <c r="AWA25" s="128"/>
      <c r="AWB25" s="128"/>
      <c r="AWC25" s="128"/>
      <c r="AWD25" s="128"/>
      <c r="AWE25" s="128"/>
      <c r="AWF25" s="128"/>
      <c r="AWG25" s="128"/>
      <c r="AWH25" s="128"/>
      <c r="AWI25" s="128"/>
      <c r="AWJ25" s="128"/>
      <c r="AWK25" s="128"/>
      <c r="AWL25" s="128"/>
      <c r="AWM25" s="128"/>
      <c r="AWN25" s="128"/>
      <c r="AWO25" s="128"/>
      <c r="AWP25" s="128"/>
      <c r="AWQ25" s="128"/>
      <c r="AWR25" s="128"/>
      <c r="AWS25" s="128"/>
      <c r="AWT25" s="128"/>
      <c r="AWU25" s="128"/>
      <c r="AWV25" s="128"/>
      <c r="AWW25" s="128"/>
      <c r="AWX25" s="128"/>
      <c r="AWY25" s="128"/>
      <c r="AWZ25" s="128"/>
      <c r="AXA25" s="128"/>
      <c r="AXB25" s="128"/>
      <c r="AXC25" s="128"/>
      <c r="AXD25" s="128"/>
      <c r="AXE25" s="128"/>
      <c r="AXF25" s="128"/>
      <c r="AXG25" s="128"/>
      <c r="AXH25" s="128"/>
      <c r="AXI25" s="128"/>
      <c r="AXJ25" s="128"/>
      <c r="AXK25" s="128"/>
      <c r="AXL25" s="128"/>
      <c r="AXM25" s="128"/>
      <c r="AXN25" s="128"/>
      <c r="AXO25" s="128"/>
      <c r="AXP25" s="128"/>
      <c r="AXQ25" s="128"/>
      <c r="AXR25" s="128"/>
      <c r="AXS25" s="128"/>
      <c r="AXT25" s="128"/>
      <c r="AXU25" s="128"/>
      <c r="AXV25" s="128"/>
      <c r="AXW25" s="128"/>
      <c r="AXX25" s="128"/>
      <c r="AXY25" s="128"/>
      <c r="AXZ25" s="128"/>
      <c r="AYA25" s="128"/>
      <c r="AYB25" s="128"/>
      <c r="AYC25" s="128"/>
      <c r="AYD25" s="128"/>
      <c r="AYE25" s="128"/>
      <c r="AYF25" s="128"/>
      <c r="AYG25" s="128"/>
      <c r="AYH25" s="128"/>
      <c r="AYI25" s="128"/>
      <c r="AYJ25" s="128"/>
      <c r="AYK25" s="128"/>
      <c r="AYL25" s="128"/>
      <c r="AYM25" s="128"/>
      <c r="AYN25" s="128"/>
      <c r="AYO25" s="128"/>
      <c r="AYP25" s="128"/>
      <c r="AYQ25" s="128"/>
      <c r="AYR25" s="128"/>
      <c r="AYS25" s="128"/>
      <c r="AYT25" s="128"/>
      <c r="AYU25" s="128"/>
      <c r="AYV25" s="128"/>
      <c r="AYW25" s="128"/>
      <c r="AYX25" s="128"/>
      <c r="AYY25" s="128"/>
      <c r="AYZ25" s="128"/>
      <c r="AZA25" s="128"/>
      <c r="AZB25" s="128"/>
      <c r="AZC25" s="128"/>
      <c r="AZD25" s="128"/>
      <c r="AZE25" s="128"/>
      <c r="AZF25" s="128"/>
      <c r="AZG25" s="128"/>
      <c r="AZH25" s="128"/>
      <c r="AZI25" s="128"/>
      <c r="AZJ25" s="128"/>
      <c r="AZK25" s="128"/>
      <c r="AZL25" s="128"/>
      <c r="AZM25" s="128"/>
      <c r="AZN25" s="128"/>
      <c r="AZO25" s="128"/>
      <c r="AZP25" s="128"/>
      <c r="AZQ25" s="128"/>
      <c r="AZR25" s="128"/>
      <c r="AZS25" s="128"/>
      <c r="AZT25" s="128"/>
      <c r="AZU25" s="128"/>
      <c r="AZV25" s="128"/>
      <c r="AZW25" s="128"/>
      <c r="AZX25" s="128"/>
      <c r="AZY25" s="128"/>
      <c r="AZZ25" s="128"/>
      <c r="BAA25" s="128"/>
      <c r="BAB25" s="128"/>
      <c r="BAC25" s="128"/>
      <c r="BAD25" s="128"/>
      <c r="BAE25" s="128"/>
      <c r="BAF25" s="128"/>
      <c r="BAG25" s="128"/>
      <c r="BAH25" s="128"/>
      <c r="BAI25" s="128"/>
      <c r="BAJ25" s="128"/>
      <c r="BAK25" s="128"/>
      <c r="BAL25" s="128"/>
      <c r="BAM25" s="128"/>
      <c r="BAN25" s="128"/>
      <c r="BAO25" s="128"/>
      <c r="BAP25" s="128"/>
      <c r="BAQ25" s="128"/>
      <c r="BAR25" s="128"/>
      <c r="BAS25" s="128"/>
      <c r="BAT25" s="128"/>
      <c r="BAU25" s="128"/>
      <c r="BAV25" s="128"/>
      <c r="BAW25" s="128"/>
      <c r="BAX25" s="128"/>
      <c r="BAY25" s="128"/>
      <c r="BAZ25" s="128"/>
      <c r="BBA25" s="128"/>
      <c r="BBB25" s="128"/>
      <c r="BBC25" s="128"/>
      <c r="BBD25" s="128"/>
      <c r="BBE25" s="128"/>
      <c r="BBF25" s="128"/>
      <c r="BBG25" s="128"/>
      <c r="BBH25" s="128"/>
      <c r="BBI25" s="128"/>
      <c r="BBJ25" s="128"/>
      <c r="BBK25" s="128"/>
      <c r="BBL25" s="128"/>
      <c r="BBM25" s="128"/>
      <c r="BBN25" s="128"/>
      <c r="BBO25" s="128"/>
      <c r="BBP25" s="128"/>
      <c r="BBQ25" s="128"/>
      <c r="BBR25" s="128"/>
      <c r="BBS25" s="128"/>
      <c r="BBT25" s="128"/>
      <c r="BBU25" s="128"/>
      <c r="BBV25" s="128"/>
      <c r="BBW25" s="128"/>
      <c r="BBX25" s="128"/>
      <c r="BBY25" s="128"/>
      <c r="BBZ25" s="128"/>
      <c r="BCA25" s="128"/>
      <c r="BCB25" s="128"/>
      <c r="BCC25" s="128"/>
      <c r="BCD25" s="128"/>
      <c r="BCE25" s="128"/>
      <c r="BCF25" s="128"/>
      <c r="BCG25" s="128"/>
      <c r="BCH25" s="128"/>
      <c r="BCI25" s="128"/>
      <c r="BCJ25" s="128"/>
      <c r="BCK25" s="128"/>
      <c r="BCL25" s="128"/>
      <c r="BCM25" s="128"/>
      <c r="BCN25" s="128"/>
      <c r="BCO25" s="128"/>
      <c r="BCP25" s="128"/>
      <c r="BCQ25" s="128"/>
      <c r="BCR25" s="128"/>
      <c r="BCS25" s="128"/>
      <c r="BCT25" s="128"/>
      <c r="BCU25" s="128"/>
      <c r="BCV25" s="128"/>
      <c r="BCW25" s="128"/>
      <c r="BCX25" s="128"/>
      <c r="BCY25" s="128"/>
      <c r="BCZ25" s="128"/>
      <c r="BDA25" s="128"/>
      <c r="BDB25" s="128"/>
      <c r="BDC25" s="128"/>
      <c r="BDD25" s="128"/>
      <c r="BDE25" s="128"/>
      <c r="BDF25" s="128"/>
      <c r="BDG25" s="128"/>
      <c r="BDH25" s="128"/>
      <c r="BDI25" s="128"/>
      <c r="BDJ25" s="128"/>
      <c r="BDK25" s="128"/>
      <c r="BDL25" s="128"/>
      <c r="BDM25" s="128"/>
      <c r="BDN25" s="128"/>
      <c r="BDO25" s="128"/>
      <c r="BDP25" s="128"/>
      <c r="BDQ25" s="128"/>
      <c r="BDR25" s="128"/>
      <c r="BDS25" s="128"/>
      <c r="BDT25" s="128"/>
      <c r="BDU25" s="128"/>
      <c r="BDV25" s="128"/>
      <c r="BDW25" s="128"/>
      <c r="BDX25" s="128"/>
      <c r="BDY25" s="128"/>
      <c r="BDZ25" s="128"/>
      <c r="BEA25" s="128"/>
      <c r="BEB25" s="128"/>
      <c r="BEC25" s="128"/>
      <c r="BED25" s="128"/>
      <c r="BEE25" s="128"/>
      <c r="BEF25" s="128"/>
      <c r="BEG25" s="128"/>
      <c r="BEH25" s="128"/>
      <c r="BEI25" s="128"/>
      <c r="BEJ25" s="128"/>
      <c r="BEK25" s="128"/>
      <c r="BEL25" s="128"/>
      <c r="BEM25" s="128"/>
      <c r="BEN25" s="128"/>
      <c r="BEO25" s="128"/>
      <c r="BEP25" s="128"/>
      <c r="BEQ25" s="128"/>
      <c r="BER25" s="128"/>
      <c r="BES25" s="128"/>
      <c r="BET25" s="128"/>
      <c r="BEU25" s="128"/>
      <c r="BEV25" s="128"/>
      <c r="BEW25" s="128"/>
      <c r="BEX25" s="128"/>
      <c r="BEY25" s="128"/>
      <c r="BEZ25" s="128"/>
      <c r="BFA25" s="128"/>
      <c r="BFB25" s="128"/>
      <c r="BFC25" s="128"/>
      <c r="BFD25" s="128"/>
      <c r="BFE25" s="128"/>
      <c r="BFF25" s="128"/>
      <c r="BFG25" s="128"/>
      <c r="BFH25" s="128"/>
      <c r="BFI25" s="128"/>
      <c r="BFJ25" s="128"/>
      <c r="BFK25" s="128"/>
      <c r="BFL25" s="128"/>
      <c r="BFM25" s="128"/>
      <c r="BFN25" s="128"/>
      <c r="BFO25" s="128"/>
      <c r="BFP25" s="128"/>
      <c r="BFQ25" s="128"/>
      <c r="BFR25" s="128"/>
      <c r="BFS25" s="128"/>
      <c r="BFT25" s="128"/>
      <c r="BFU25" s="128"/>
      <c r="BFV25" s="128"/>
      <c r="BFW25" s="128"/>
      <c r="BFX25" s="128"/>
      <c r="BFY25" s="128"/>
      <c r="BFZ25" s="128"/>
      <c r="BGA25" s="128"/>
      <c r="BGB25" s="128"/>
      <c r="BGC25" s="128"/>
      <c r="BGD25" s="128"/>
      <c r="BGE25" s="128"/>
      <c r="BGF25" s="128"/>
      <c r="BGG25" s="128"/>
      <c r="BGH25" s="128"/>
      <c r="BGI25" s="128"/>
      <c r="BGJ25" s="128"/>
      <c r="BGK25" s="128"/>
      <c r="BGL25" s="128"/>
      <c r="BGM25" s="128"/>
      <c r="BGN25" s="128"/>
      <c r="BGO25" s="128"/>
      <c r="BGP25" s="128"/>
      <c r="BGQ25" s="128"/>
      <c r="BGR25" s="128"/>
      <c r="BGS25" s="128"/>
      <c r="BGT25" s="128"/>
      <c r="BGU25" s="128"/>
      <c r="BGV25" s="128"/>
      <c r="BGW25" s="128"/>
      <c r="BGX25" s="128"/>
      <c r="BGY25" s="128"/>
      <c r="BGZ25" s="128"/>
      <c r="BHA25" s="128"/>
      <c r="BHB25" s="128"/>
      <c r="BHC25" s="128"/>
      <c r="BHD25" s="128"/>
      <c r="BHE25" s="128"/>
      <c r="BHF25" s="128"/>
      <c r="BHG25" s="128"/>
      <c r="BHH25" s="128"/>
      <c r="BHI25" s="128"/>
      <c r="BHJ25" s="128"/>
      <c r="BHK25" s="128"/>
      <c r="BHL25" s="128"/>
      <c r="BHM25" s="128"/>
      <c r="BHN25" s="128"/>
      <c r="BHO25" s="128"/>
      <c r="BHP25" s="128"/>
      <c r="BHQ25" s="128"/>
      <c r="BHR25" s="128"/>
      <c r="BHS25" s="128"/>
      <c r="BHT25" s="128"/>
      <c r="BHU25" s="128"/>
      <c r="BHV25" s="128"/>
      <c r="BHW25" s="128"/>
      <c r="BHX25" s="128"/>
      <c r="BHY25" s="128"/>
      <c r="BHZ25" s="128"/>
      <c r="BIA25" s="128"/>
      <c r="BIB25" s="128"/>
      <c r="BIC25" s="128"/>
      <c r="BID25" s="128"/>
      <c r="BIE25" s="128"/>
      <c r="BIF25" s="128"/>
      <c r="BIG25" s="128"/>
      <c r="BIH25" s="128"/>
      <c r="BII25" s="128"/>
      <c r="BIJ25" s="128"/>
      <c r="BIK25" s="128"/>
      <c r="BIL25" s="128"/>
      <c r="BIM25" s="128"/>
      <c r="BIN25" s="128"/>
      <c r="BIO25" s="128"/>
      <c r="BIP25" s="128"/>
      <c r="BIQ25" s="128"/>
      <c r="BIR25" s="128"/>
      <c r="BIS25" s="128"/>
      <c r="BIT25" s="128"/>
      <c r="BIU25" s="128"/>
      <c r="BIV25" s="128"/>
      <c r="BIW25" s="128"/>
      <c r="BIX25" s="128"/>
      <c r="BIY25" s="128"/>
      <c r="BIZ25" s="128"/>
      <c r="BJA25" s="128"/>
      <c r="BJB25" s="128"/>
      <c r="BJC25" s="128"/>
      <c r="BJD25" s="128"/>
      <c r="BJE25" s="128"/>
      <c r="BJF25" s="128"/>
      <c r="BJG25" s="128"/>
      <c r="BJH25" s="128"/>
      <c r="BJI25" s="128"/>
      <c r="BJJ25" s="128"/>
      <c r="BJK25" s="128"/>
      <c r="BJL25" s="128"/>
      <c r="BJM25" s="128"/>
      <c r="BJN25" s="128"/>
      <c r="BJO25" s="128"/>
      <c r="BJP25" s="128"/>
      <c r="BJQ25" s="128"/>
      <c r="BJR25" s="128"/>
      <c r="BJS25" s="128"/>
      <c r="BJT25" s="128"/>
      <c r="BJU25" s="128"/>
      <c r="BJV25" s="128"/>
      <c r="BJW25" s="128"/>
      <c r="BJX25" s="128"/>
      <c r="BJY25" s="128"/>
      <c r="BJZ25" s="128"/>
      <c r="BKA25" s="128"/>
      <c r="BKB25" s="128"/>
      <c r="BKC25" s="128"/>
      <c r="BKD25" s="128"/>
      <c r="BKE25" s="128"/>
      <c r="BKF25" s="128"/>
      <c r="BKG25" s="128"/>
      <c r="BKH25" s="128"/>
      <c r="BKI25" s="128"/>
      <c r="BKJ25" s="128"/>
      <c r="BKK25" s="128"/>
      <c r="BKL25" s="128"/>
      <c r="BKM25" s="128"/>
      <c r="BKN25" s="128"/>
      <c r="BKO25" s="128"/>
      <c r="BKP25" s="128"/>
      <c r="BKQ25" s="128"/>
      <c r="BKR25" s="128"/>
      <c r="BKS25" s="128"/>
      <c r="BKT25" s="128"/>
      <c r="BKU25" s="128"/>
      <c r="BKV25" s="128"/>
      <c r="BKW25" s="128"/>
      <c r="BKX25" s="128"/>
      <c r="BKY25" s="128"/>
      <c r="BKZ25" s="128"/>
      <c r="BLA25" s="128"/>
      <c r="BLB25" s="128"/>
      <c r="BLC25" s="128"/>
      <c r="BLD25" s="128"/>
      <c r="BLE25" s="128"/>
      <c r="BLF25" s="128"/>
      <c r="BLG25" s="128"/>
      <c r="BLH25" s="128"/>
      <c r="BLI25" s="128"/>
      <c r="BLJ25" s="128"/>
      <c r="BLK25" s="128"/>
      <c r="BLL25" s="128"/>
      <c r="BLM25" s="128"/>
      <c r="BLN25" s="128"/>
      <c r="BLO25" s="128"/>
      <c r="BLP25" s="128"/>
      <c r="BLQ25" s="128"/>
      <c r="BLR25" s="128"/>
      <c r="BLS25" s="128"/>
      <c r="BLT25" s="128"/>
      <c r="BLU25" s="128"/>
      <c r="BLV25" s="128"/>
      <c r="BLW25" s="128"/>
      <c r="BLX25" s="128"/>
      <c r="BLY25" s="128"/>
      <c r="BLZ25" s="128"/>
      <c r="BMA25" s="128"/>
      <c r="BMB25" s="128"/>
      <c r="BMC25" s="128"/>
      <c r="BMD25" s="128"/>
      <c r="BME25" s="128"/>
      <c r="BMF25" s="128"/>
      <c r="BMG25" s="128"/>
      <c r="BMH25" s="128"/>
      <c r="BMI25" s="128"/>
      <c r="BMJ25" s="128"/>
      <c r="BMK25" s="128"/>
      <c r="BML25" s="128"/>
      <c r="BMM25" s="128"/>
      <c r="BMN25" s="128"/>
      <c r="BMO25" s="128"/>
      <c r="BMP25" s="128"/>
      <c r="BMQ25" s="128"/>
      <c r="BMR25" s="128"/>
      <c r="BMS25" s="128"/>
      <c r="BMT25" s="128"/>
      <c r="BMU25" s="128"/>
      <c r="BMV25" s="128"/>
      <c r="BMW25" s="128"/>
      <c r="BMX25" s="128"/>
      <c r="BMY25" s="128"/>
      <c r="BMZ25" s="128"/>
      <c r="BNA25" s="128"/>
      <c r="BNB25" s="128"/>
      <c r="BNC25" s="128"/>
      <c r="BND25" s="128"/>
      <c r="BNE25" s="128"/>
      <c r="BNF25" s="128"/>
      <c r="BNG25" s="128"/>
      <c r="BNH25" s="128"/>
      <c r="BNI25" s="128"/>
      <c r="BNJ25" s="128"/>
      <c r="BNK25" s="128"/>
      <c r="BNL25" s="128"/>
      <c r="BNM25" s="128"/>
      <c r="BNN25" s="128"/>
      <c r="BNO25" s="128"/>
      <c r="BNP25" s="128"/>
      <c r="BNQ25" s="128"/>
      <c r="BNR25" s="128"/>
      <c r="BNS25" s="128"/>
      <c r="BNT25" s="128"/>
      <c r="BNU25" s="128"/>
      <c r="BNV25" s="128"/>
      <c r="BNW25" s="128"/>
      <c r="BNX25" s="128"/>
      <c r="BNY25" s="128"/>
      <c r="BNZ25" s="128"/>
      <c r="BOA25" s="128"/>
      <c r="BOB25" s="128"/>
      <c r="BOC25" s="128"/>
      <c r="BOD25" s="128"/>
      <c r="BOE25" s="128"/>
      <c r="BOF25" s="128"/>
      <c r="BOG25" s="128"/>
      <c r="BOH25" s="128"/>
      <c r="BOI25" s="128"/>
      <c r="BOJ25" s="128"/>
      <c r="BOK25" s="128"/>
      <c r="BOL25" s="128"/>
      <c r="BOM25" s="128"/>
      <c r="BON25" s="128"/>
      <c r="BOO25" s="128"/>
      <c r="BOP25" s="128"/>
      <c r="BOQ25" s="128"/>
      <c r="BOR25" s="128"/>
      <c r="BOS25" s="128"/>
      <c r="BOT25" s="128"/>
      <c r="BOU25" s="128"/>
      <c r="BOV25" s="128"/>
      <c r="BOW25" s="128"/>
      <c r="BOX25" s="128"/>
      <c r="BOY25" s="128"/>
      <c r="BOZ25" s="128"/>
      <c r="BPA25" s="128"/>
      <c r="BPB25" s="128"/>
      <c r="BPC25" s="128"/>
      <c r="BPD25" s="128"/>
      <c r="BPE25" s="128"/>
      <c r="BPF25" s="128"/>
      <c r="BPG25" s="128"/>
      <c r="BPH25" s="128"/>
      <c r="BPI25" s="128"/>
      <c r="BPJ25" s="128"/>
      <c r="BPK25" s="128"/>
      <c r="BPL25" s="128"/>
      <c r="BPM25" s="128"/>
      <c r="BPN25" s="128"/>
      <c r="BPO25" s="128"/>
      <c r="BPP25" s="128"/>
      <c r="BPQ25" s="128"/>
      <c r="BPR25" s="128"/>
      <c r="BPS25" s="128"/>
      <c r="BPT25" s="128"/>
      <c r="BPU25" s="128"/>
      <c r="BPV25" s="128"/>
      <c r="BPW25" s="128"/>
      <c r="BPX25" s="128"/>
      <c r="BPY25" s="128"/>
      <c r="BPZ25" s="128"/>
      <c r="BQA25" s="128"/>
      <c r="BQB25" s="128"/>
      <c r="BQC25" s="128"/>
      <c r="BQD25" s="128"/>
      <c r="BQE25" s="128"/>
      <c r="BQF25" s="128"/>
      <c r="BQG25" s="128"/>
      <c r="BQH25" s="128"/>
      <c r="BQI25" s="128"/>
      <c r="BQJ25" s="128"/>
      <c r="BQK25" s="128"/>
      <c r="BQL25" s="128"/>
      <c r="BQM25" s="128"/>
      <c r="BQN25" s="128"/>
      <c r="BQO25" s="128"/>
      <c r="BQP25" s="128"/>
      <c r="BQQ25" s="128"/>
      <c r="BQR25" s="128"/>
      <c r="BQS25" s="128"/>
      <c r="BQT25" s="128"/>
      <c r="BQU25" s="128"/>
      <c r="BQV25" s="128"/>
      <c r="BQW25" s="128"/>
      <c r="BQX25" s="128"/>
      <c r="BQY25" s="128"/>
      <c r="BQZ25" s="128"/>
      <c r="BRA25" s="128"/>
      <c r="BRB25" s="128"/>
      <c r="BRC25" s="128"/>
      <c r="BRD25" s="128"/>
      <c r="BRE25" s="128"/>
      <c r="BRF25" s="128"/>
      <c r="BRG25" s="128"/>
      <c r="BRH25" s="128"/>
      <c r="BRI25" s="128"/>
      <c r="BRJ25" s="128"/>
      <c r="BRK25" s="128"/>
      <c r="BRL25" s="128"/>
      <c r="BRM25" s="128"/>
      <c r="BRN25" s="128"/>
      <c r="BRO25" s="128"/>
      <c r="BRP25" s="128"/>
      <c r="BRQ25" s="128"/>
      <c r="BRR25" s="128"/>
      <c r="BRS25" s="128"/>
      <c r="BRT25" s="128"/>
      <c r="BRU25" s="128"/>
      <c r="BRV25" s="128"/>
      <c r="BRW25" s="128"/>
      <c r="BRX25" s="128"/>
      <c r="BRY25" s="128"/>
      <c r="BRZ25" s="128"/>
      <c r="BSA25" s="128"/>
      <c r="BSB25" s="128"/>
      <c r="BSC25" s="128"/>
      <c r="BSD25" s="128"/>
      <c r="BSE25" s="128"/>
      <c r="BSF25" s="128"/>
      <c r="BSG25" s="128"/>
      <c r="BSH25" s="128"/>
      <c r="BSI25" s="128"/>
      <c r="BSJ25" s="128"/>
      <c r="BSK25" s="128"/>
      <c r="BSL25" s="128"/>
      <c r="BSM25" s="128"/>
      <c r="BSN25" s="128"/>
      <c r="BSO25" s="128"/>
      <c r="BSP25" s="128"/>
      <c r="BSQ25" s="128"/>
      <c r="BSR25" s="128"/>
      <c r="BSS25" s="128"/>
      <c r="BST25" s="128"/>
      <c r="BSU25" s="128"/>
      <c r="BSV25" s="128"/>
      <c r="BSW25" s="128"/>
      <c r="BSX25" s="128"/>
      <c r="BSY25" s="128"/>
      <c r="BSZ25" s="128"/>
      <c r="BTA25" s="128"/>
      <c r="BTB25" s="128"/>
      <c r="BTC25" s="128"/>
      <c r="BTD25" s="128"/>
      <c r="BTE25" s="128"/>
      <c r="BTF25" s="128"/>
      <c r="BTG25" s="128"/>
      <c r="BTH25" s="128"/>
      <c r="BTI25" s="128"/>
      <c r="BTJ25" s="128"/>
      <c r="BTK25" s="128"/>
      <c r="BTL25" s="128"/>
      <c r="BTM25" s="128"/>
      <c r="BTN25" s="128"/>
      <c r="BTO25" s="128"/>
      <c r="BTP25" s="128"/>
      <c r="BTQ25" s="128"/>
      <c r="BTR25" s="128"/>
      <c r="BTS25" s="128"/>
      <c r="BTT25" s="128"/>
      <c r="BTU25" s="128"/>
      <c r="BTV25" s="128"/>
      <c r="BTW25" s="128"/>
      <c r="BTX25" s="128"/>
      <c r="BTY25" s="128"/>
      <c r="BTZ25" s="128"/>
      <c r="BUA25" s="128"/>
      <c r="BUB25" s="128"/>
      <c r="BUC25" s="128"/>
      <c r="BUD25" s="128"/>
      <c r="BUE25" s="128"/>
      <c r="BUF25" s="128"/>
      <c r="BUG25" s="128"/>
      <c r="BUH25" s="128"/>
      <c r="BUI25" s="128"/>
      <c r="BUJ25" s="128"/>
      <c r="BUK25" s="128"/>
      <c r="BUL25" s="128"/>
      <c r="BUM25" s="128"/>
      <c r="BUN25" s="128"/>
      <c r="BUO25" s="128"/>
      <c r="BUP25" s="128"/>
      <c r="BUQ25" s="128"/>
      <c r="BUR25" s="128"/>
      <c r="BUS25" s="128"/>
      <c r="BUT25" s="128"/>
      <c r="BUU25" s="128"/>
      <c r="BUV25" s="128"/>
      <c r="BUW25" s="128"/>
      <c r="BUX25" s="128"/>
      <c r="BUY25" s="128"/>
      <c r="BUZ25" s="128"/>
      <c r="BVA25" s="128"/>
      <c r="BVB25" s="128"/>
      <c r="BVC25" s="128"/>
      <c r="BVD25" s="128"/>
      <c r="BVE25" s="128"/>
      <c r="BVF25" s="128"/>
      <c r="BVG25" s="128"/>
      <c r="BVH25" s="128"/>
      <c r="BVI25" s="128"/>
      <c r="BVJ25" s="128"/>
      <c r="BVK25" s="128"/>
      <c r="BVL25" s="128"/>
      <c r="BVM25" s="128"/>
      <c r="BVN25" s="128"/>
      <c r="BVO25" s="128"/>
      <c r="BVP25" s="128"/>
      <c r="BVQ25" s="128"/>
      <c r="BVR25" s="128"/>
      <c r="BVS25" s="128"/>
      <c r="BVT25" s="128"/>
      <c r="BVU25" s="128"/>
      <c r="BVV25" s="128"/>
      <c r="BVW25" s="128"/>
      <c r="BVX25" s="128"/>
      <c r="BVY25" s="128"/>
      <c r="BVZ25" s="128"/>
      <c r="BWA25" s="128"/>
      <c r="BWB25" s="128"/>
      <c r="BWC25" s="128"/>
      <c r="BWD25" s="128"/>
      <c r="BWE25" s="128"/>
      <c r="BWF25" s="128"/>
      <c r="BWG25" s="128"/>
      <c r="BWH25" s="128"/>
      <c r="BWI25" s="128"/>
      <c r="BWJ25" s="128"/>
      <c r="BWK25" s="128"/>
      <c r="BWL25" s="128"/>
      <c r="BWM25" s="128"/>
      <c r="BWN25" s="128"/>
      <c r="BWO25" s="128"/>
      <c r="BWP25" s="128"/>
      <c r="BWQ25" s="128"/>
      <c r="BWR25" s="128"/>
      <c r="BWS25" s="128"/>
      <c r="BWT25" s="128"/>
      <c r="BWU25" s="128"/>
      <c r="BWV25" s="128"/>
      <c r="BWW25" s="128"/>
      <c r="BWX25" s="128"/>
      <c r="BWY25" s="128"/>
      <c r="BWZ25" s="128"/>
      <c r="BXA25" s="128"/>
      <c r="BXB25" s="128"/>
      <c r="BXC25" s="128"/>
      <c r="BXD25" s="128"/>
      <c r="BXE25" s="128"/>
      <c r="BXF25" s="128"/>
      <c r="BXG25" s="128"/>
      <c r="BXH25" s="128"/>
      <c r="BXI25" s="128"/>
      <c r="BXJ25" s="128"/>
      <c r="BXK25" s="128"/>
      <c r="BXL25" s="128"/>
      <c r="BXM25" s="128"/>
      <c r="BXN25" s="128"/>
      <c r="BXO25" s="128"/>
      <c r="BXP25" s="128"/>
      <c r="BXQ25" s="128"/>
      <c r="BXR25" s="128"/>
      <c r="BXS25" s="128"/>
      <c r="BXT25" s="128"/>
      <c r="BXU25" s="128"/>
      <c r="BXV25" s="128"/>
      <c r="BXW25" s="128"/>
      <c r="BXX25" s="128"/>
      <c r="BXY25" s="128"/>
      <c r="BXZ25" s="128"/>
      <c r="BYA25" s="128"/>
      <c r="BYB25" s="128"/>
      <c r="BYC25" s="128"/>
      <c r="BYD25" s="128"/>
      <c r="BYE25" s="128"/>
      <c r="BYF25" s="128"/>
      <c r="BYG25" s="128"/>
      <c r="BYH25" s="128"/>
      <c r="BYI25" s="128"/>
      <c r="BYJ25" s="128"/>
      <c r="BYK25" s="128"/>
      <c r="BYL25" s="128"/>
      <c r="BYM25" s="128"/>
      <c r="BYN25" s="128"/>
      <c r="BYO25" s="128"/>
      <c r="BYP25" s="128"/>
      <c r="BYQ25" s="128"/>
      <c r="BYR25" s="128"/>
      <c r="BYS25" s="128"/>
      <c r="BYT25" s="128"/>
      <c r="BYU25" s="128"/>
      <c r="BYV25" s="128"/>
      <c r="BYW25" s="128"/>
      <c r="BYX25" s="128"/>
      <c r="BYY25" s="128"/>
      <c r="BYZ25" s="128"/>
      <c r="BZA25" s="128"/>
      <c r="BZB25" s="128"/>
      <c r="BZC25" s="128"/>
      <c r="BZD25" s="128"/>
      <c r="BZE25" s="128"/>
      <c r="BZF25" s="128"/>
      <c r="BZG25" s="128"/>
      <c r="BZH25" s="128"/>
      <c r="BZI25" s="128"/>
      <c r="BZJ25" s="128"/>
      <c r="BZK25" s="128"/>
      <c r="BZL25" s="128"/>
      <c r="BZM25" s="128"/>
      <c r="BZN25" s="128"/>
      <c r="BZO25" s="128"/>
      <c r="BZP25" s="128"/>
      <c r="BZQ25" s="128"/>
      <c r="BZR25" s="128"/>
      <c r="BZS25" s="128"/>
      <c r="BZT25" s="128"/>
      <c r="BZU25" s="128"/>
      <c r="BZV25" s="128"/>
      <c r="BZW25" s="128"/>
      <c r="BZX25" s="128"/>
      <c r="BZY25" s="128"/>
      <c r="BZZ25" s="128"/>
      <c r="CAA25" s="128"/>
      <c r="CAB25" s="128"/>
      <c r="CAC25" s="128"/>
      <c r="CAD25" s="128"/>
      <c r="CAE25" s="128"/>
      <c r="CAF25" s="128"/>
      <c r="CAG25" s="128"/>
      <c r="CAH25" s="128"/>
      <c r="CAI25" s="128"/>
      <c r="CAJ25" s="128"/>
      <c r="CAK25" s="128"/>
      <c r="CAL25" s="128"/>
      <c r="CAM25" s="128"/>
      <c r="CAN25" s="128"/>
      <c r="CAO25" s="128"/>
      <c r="CAP25" s="128"/>
      <c r="CAQ25" s="128"/>
      <c r="CAR25" s="128"/>
      <c r="CAS25" s="128"/>
      <c r="CAT25" s="128"/>
      <c r="CAU25" s="128"/>
      <c r="CAV25" s="128"/>
      <c r="CAW25" s="128"/>
      <c r="CAX25" s="128"/>
      <c r="CAY25" s="128"/>
      <c r="CAZ25" s="128"/>
      <c r="CBA25" s="128"/>
      <c r="CBB25" s="128"/>
      <c r="CBC25" s="128"/>
      <c r="CBD25" s="128"/>
      <c r="CBE25" s="128"/>
      <c r="CBF25" s="128"/>
      <c r="CBG25" s="128"/>
      <c r="CBH25" s="128"/>
      <c r="CBI25" s="128"/>
      <c r="CBJ25" s="128"/>
      <c r="CBK25" s="128"/>
      <c r="CBL25" s="128"/>
      <c r="CBM25" s="128"/>
      <c r="CBN25" s="128"/>
      <c r="CBO25" s="128"/>
      <c r="CBP25" s="128"/>
      <c r="CBQ25" s="128"/>
      <c r="CBR25" s="128"/>
      <c r="CBS25" s="128"/>
      <c r="CBT25" s="128"/>
      <c r="CBU25" s="128"/>
      <c r="CBV25" s="128"/>
      <c r="CBW25" s="128"/>
      <c r="CBX25" s="128"/>
      <c r="CBY25" s="128"/>
      <c r="CBZ25" s="128"/>
      <c r="CCA25" s="128"/>
      <c r="CCB25" s="128"/>
      <c r="CCC25" s="128"/>
      <c r="CCD25" s="128"/>
      <c r="CCE25" s="128"/>
      <c r="CCF25" s="128"/>
      <c r="CCG25" s="128"/>
      <c r="CCH25" s="128"/>
      <c r="CCI25" s="128"/>
      <c r="CCJ25" s="128"/>
      <c r="CCK25" s="128"/>
      <c r="CCL25" s="128"/>
      <c r="CCM25" s="128"/>
      <c r="CCN25" s="128"/>
      <c r="CCO25" s="128"/>
      <c r="CCP25" s="128"/>
      <c r="CCQ25" s="128"/>
      <c r="CCR25" s="128"/>
      <c r="CCS25" s="128"/>
      <c r="CCT25" s="128"/>
      <c r="CCU25" s="128"/>
      <c r="CCV25" s="128"/>
      <c r="CCW25" s="128"/>
      <c r="CCX25" s="128"/>
      <c r="CCY25" s="128"/>
      <c r="CCZ25" s="128"/>
      <c r="CDA25" s="128"/>
      <c r="CDB25" s="128"/>
      <c r="CDC25" s="128"/>
      <c r="CDD25" s="128"/>
      <c r="CDE25" s="128"/>
      <c r="CDF25" s="128"/>
      <c r="CDG25" s="128"/>
      <c r="CDH25" s="128"/>
      <c r="CDI25" s="128"/>
      <c r="CDJ25" s="128"/>
      <c r="CDK25" s="128"/>
      <c r="CDL25" s="128"/>
      <c r="CDM25" s="128"/>
      <c r="CDN25" s="128"/>
      <c r="CDO25" s="128"/>
      <c r="CDP25" s="128"/>
      <c r="CDQ25" s="128"/>
      <c r="CDR25" s="128"/>
      <c r="CDS25" s="128"/>
      <c r="CDT25" s="128"/>
      <c r="CDU25" s="128"/>
      <c r="CDV25" s="128"/>
      <c r="CDW25" s="128"/>
      <c r="CDX25" s="128"/>
      <c r="CDY25" s="128"/>
      <c r="CDZ25" s="128"/>
      <c r="CEA25" s="128"/>
      <c r="CEB25" s="128"/>
      <c r="CEC25" s="128"/>
      <c r="CED25" s="128"/>
      <c r="CEE25" s="128"/>
      <c r="CEF25" s="128"/>
      <c r="CEG25" s="128"/>
      <c r="CEH25" s="128"/>
      <c r="CEI25" s="128"/>
      <c r="CEJ25" s="128"/>
      <c r="CEK25" s="128"/>
      <c r="CEL25" s="128"/>
      <c r="CEM25" s="128"/>
      <c r="CEN25" s="128"/>
      <c r="CEO25" s="128"/>
      <c r="CEP25" s="128"/>
      <c r="CEQ25" s="128"/>
      <c r="CER25" s="128"/>
      <c r="CES25" s="128"/>
      <c r="CET25" s="128"/>
      <c r="CEU25" s="128"/>
      <c r="CEV25" s="128"/>
      <c r="CEW25" s="128"/>
      <c r="CEX25" s="128"/>
      <c r="CEY25" s="128"/>
      <c r="CEZ25" s="128"/>
      <c r="CFA25" s="128"/>
      <c r="CFB25" s="128"/>
      <c r="CFC25" s="128"/>
      <c r="CFD25" s="128"/>
      <c r="CFE25" s="128"/>
      <c r="CFF25" s="128"/>
      <c r="CFG25" s="128"/>
      <c r="CFH25" s="128"/>
      <c r="CFI25" s="128"/>
      <c r="CFJ25" s="128"/>
      <c r="CFK25" s="128"/>
      <c r="CFL25" s="128"/>
      <c r="CFM25" s="128"/>
      <c r="CFN25" s="128"/>
      <c r="CFO25" s="128"/>
      <c r="CFP25" s="128"/>
      <c r="CFQ25" s="128"/>
      <c r="CFR25" s="128"/>
      <c r="CFS25" s="128"/>
      <c r="CFT25" s="128"/>
      <c r="CFU25" s="128"/>
      <c r="CFV25" s="128"/>
      <c r="CFW25" s="128"/>
      <c r="CFX25" s="128"/>
      <c r="CFY25" s="128"/>
      <c r="CFZ25" s="128"/>
      <c r="CGA25" s="128"/>
      <c r="CGB25" s="128"/>
      <c r="CGC25" s="128"/>
      <c r="CGD25" s="128"/>
      <c r="CGE25" s="128"/>
      <c r="CGF25" s="128"/>
      <c r="CGG25" s="128"/>
      <c r="CGH25" s="128"/>
      <c r="CGI25" s="128"/>
      <c r="CGJ25" s="128"/>
      <c r="CGK25" s="128"/>
      <c r="CGL25" s="128"/>
      <c r="CGM25" s="128"/>
      <c r="CGN25" s="128"/>
      <c r="CGO25" s="128"/>
      <c r="CGP25" s="128"/>
      <c r="CGQ25" s="128"/>
      <c r="CGR25" s="128"/>
      <c r="CGS25" s="128"/>
      <c r="CGT25" s="128"/>
      <c r="CGU25" s="128"/>
      <c r="CGV25" s="128"/>
      <c r="CGW25" s="128"/>
      <c r="CGX25" s="128"/>
      <c r="CGY25" s="128"/>
      <c r="CGZ25" s="128"/>
      <c r="CHA25" s="128"/>
      <c r="CHB25" s="128"/>
      <c r="CHC25" s="128"/>
      <c r="CHD25" s="128"/>
      <c r="CHE25" s="128"/>
      <c r="CHF25" s="128"/>
      <c r="CHG25" s="128"/>
      <c r="CHH25" s="128"/>
      <c r="CHI25" s="128"/>
      <c r="CHJ25" s="128"/>
      <c r="CHK25" s="128"/>
      <c r="CHL25" s="128"/>
      <c r="CHM25" s="128"/>
      <c r="CHN25" s="128"/>
      <c r="CHO25" s="128"/>
      <c r="CHP25" s="128"/>
      <c r="CHQ25" s="128"/>
      <c r="CHR25" s="128"/>
      <c r="CHS25" s="128"/>
      <c r="CHT25" s="128"/>
      <c r="CHU25" s="128"/>
      <c r="CHV25" s="128"/>
      <c r="CHW25" s="128"/>
      <c r="CHX25" s="128"/>
      <c r="CHY25" s="128"/>
      <c r="CHZ25" s="128"/>
      <c r="CIA25" s="128"/>
      <c r="CIB25" s="128"/>
      <c r="CIC25" s="128"/>
      <c r="CID25" s="128"/>
      <c r="CIE25" s="128"/>
      <c r="CIF25" s="128"/>
      <c r="CIG25" s="128"/>
      <c r="CIH25" s="128"/>
      <c r="CII25" s="128"/>
      <c r="CIJ25" s="128"/>
      <c r="CIK25" s="128"/>
      <c r="CIL25" s="128"/>
      <c r="CIM25" s="128"/>
      <c r="CIN25" s="128"/>
      <c r="CIO25" s="128"/>
      <c r="CIP25" s="128"/>
      <c r="CIQ25" s="128"/>
      <c r="CIR25" s="128"/>
      <c r="CIS25" s="128"/>
      <c r="CIT25" s="128"/>
      <c r="CIU25" s="128"/>
      <c r="CIV25" s="128"/>
      <c r="CIW25" s="128"/>
      <c r="CIX25" s="128"/>
      <c r="CIY25" s="128"/>
      <c r="CIZ25" s="128"/>
      <c r="CJA25" s="128"/>
      <c r="CJB25" s="128"/>
      <c r="CJC25" s="128"/>
      <c r="CJD25" s="128"/>
      <c r="CJE25" s="128"/>
      <c r="CJF25" s="128"/>
      <c r="CJG25" s="128"/>
      <c r="CJH25" s="128"/>
      <c r="CJI25" s="128"/>
      <c r="CJJ25" s="128"/>
      <c r="CJK25" s="128"/>
      <c r="CJL25" s="128"/>
      <c r="CJM25" s="128"/>
      <c r="CJN25" s="128"/>
      <c r="CJO25" s="128"/>
      <c r="CJP25" s="128"/>
      <c r="CJQ25" s="128"/>
      <c r="CJR25" s="128"/>
      <c r="CJS25" s="128"/>
      <c r="CJT25" s="128"/>
      <c r="CJU25" s="128"/>
      <c r="CJV25" s="128"/>
      <c r="CJW25" s="128"/>
      <c r="CJX25" s="128"/>
      <c r="CJY25" s="128"/>
      <c r="CJZ25" s="128"/>
      <c r="CKA25" s="128"/>
      <c r="CKB25" s="128"/>
      <c r="CKC25" s="128"/>
      <c r="CKD25" s="128"/>
      <c r="CKE25" s="128"/>
      <c r="CKF25" s="128"/>
      <c r="CKG25" s="128"/>
      <c r="CKH25" s="128"/>
      <c r="CKI25" s="128"/>
      <c r="CKJ25" s="128"/>
      <c r="CKK25" s="128"/>
      <c r="CKL25" s="128"/>
      <c r="CKM25" s="128"/>
      <c r="CKN25" s="128"/>
      <c r="CKO25" s="128"/>
      <c r="CKP25" s="128"/>
      <c r="CKQ25" s="128"/>
      <c r="CKR25" s="128"/>
      <c r="CKS25" s="128"/>
      <c r="CKT25" s="128"/>
      <c r="CKU25" s="128"/>
      <c r="CKV25" s="128"/>
      <c r="CKW25" s="128"/>
      <c r="CKX25" s="128"/>
      <c r="CKY25" s="128"/>
      <c r="CKZ25" s="128"/>
      <c r="CLA25" s="128"/>
      <c r="CLB25" s="128"/>
      <c r="CLC25" s="128"/>
      <c r="CLD25" s="128"/>
      <c r="CLE25" s="128"/>
      <c r="CLF25" s="128"/>
      <c r="CLG25" s="128"/>
      <c r="CLH25" s="128"/>
      <c r="CLI25" s="128"/>
      <c r="CLJ25" s="128"/>
      <c r="CLK25" s="128"/>
      <c r="CLL25" s="128"/>
      <c r="CLM25" s="128"/>
      <c r="CLN25" s="128"/>
      <c r="CLO25" s="128"/>
      <c r="CLP25" s="128"/>
      <c r="CLQ25" s="128"/>
      <c r="CLR25" s="128"/>
      <c r="CLS25" s="128"/>
      <c r="CLT25" s="128"/>
      <c r="CLU25" s="128"/>
      <c r="CLV25" s="128"/>
      <c r="CLW25" s="128"/>
      <c r="CLX25" s="128"/>
      <c r="CLY25" s="128"/>
      <c r="CLZ25" s="128"/>
      <c r="CMA25" s="128"/>
      <c r="CMB25" s="128"/>
      <c r="CMC25" s="128"/>
      <c r="CMD25" s="128"/>
      <c r="CME25" s="128"/>
      <c r="CMF25" s="128"/>
      <c r="CMG25" s="128"/>
      <c r="CMH25" s="128"/>
      <c r="CMI25" s="128"/>
      <c r="CMJ25" s="128"/>
      <c r="CMK25" s="128"/>
      <c r="CML25" s="128"/>
      <c r="CMM25" s="128"/>
      <c r="CMN25" s="128"/>
      <c r="CMO25" s="128"/>
      <c r="CMP25" s="128"/>
      <c r="CMQ25" s="128"/>
      <c r="CMR25" s="128"/>
      <c r="CMS25" s="128"/>
      <c r="CMT25" s="128"/>
      <c r="CMU25" s="128"/>
      <c r="CMV25" s="128"/>
      <c r="CMW25" s="128"/>
      <c r="CMX25" s="128"/>
      <c r="CMY25" s="128"/>
      <c r="CMZ25" s="128"/>
      <c r="CNA25" s="128"/>
      <c r="CNB25" s="128"/>
      <c r="CNC25" s="128"/>
      <c r="CND25" s="128"/>
      <c r="CNE25" s="128"/>
      <c r="CNF25" s="128"/>
      <c r="CNG25" s="128"/>
      <c r="CNH25" s="128"/>
      <c r="CNI25" s="128"/>
      <c r="CNJ25" s="128"/>
      <c r="CNK25" s="128"/>
      <c r="CNL25" s="128"/>
      <c r="CNM25" s="128"/>
      <c r="CNN25" s="128"/>
      <c r="CNO25" s="128"/>
      <c r="CNP25" s="128"/>
      <c r="CNQ25" s="128"/>
      <c r="CNR25" s="128"/>
      <c r="CNS25" s="128"/>
      <c r="CNT25" s="128"/>
      <c r="CNU25" s="128"/>
      <c r="CNV25" s="128"/>
      <c r="CNW25" s="128"/>
      <c r="CNX25" s="128"/>
      <c r="CNY25" s="128"/>
      <c r="CNZ25" s="128"/>
      <c r="COA25" s="128"/>
      <c r="COB25" s="128"/>
      <c r="COC25" s="128"/>
      <c r="COD25" s="128"/>
      <c r="COE25" s="128"/>
      <c r="COF25" s="128"/>
      <c r="COG25" s="128"/>
      <c r="COH25" s="128"/>
      <c r="COI25" s="128"/>
      <c r="COJ25" s="128"/>
      <c r="COK25" s="128"/>
      <c r="COL25" s="128"/>
      <c r="COM25" s="128"/>
      <c r="CON25" s="128"/>
      <c r="COO25" s="128"/>
      <c r="COP25" s="128"/>
      <c r="COQ25" s="128"/>
      <c r="COR25" s="128"/>
      <c r="COS25" s="128"/>
      <c r="COT25" s="128"/>
      <c r="COU25" s="128"/>
      <c r="COV25" s="128"/>
      <c r="COW25" s="128"/>
      <c r="COX25" s="128"/>
      <c r="COY25" s="128"/>
      <c r="COZ25" s="128"/>
      <c r="CPA25" s="128"/>
      <c r="CPB25" s="128"/>
      <c r="CPC25" s="128"/>
      <c r="CPD25" s="128"/>
      <c r="CPE25" s="128"/>
      <c r="CPF25" s="128"/>
      <c r="CPG25" s="128"/>
      <c r="CPH25" s="128"/>
      <c r="CPI25" s="128"/>
      <c r="CPJ25" s="128"/>
      <c r="CPK25" s="128"/>
      <c r="CPL25" s="128"/>
      <c r="CPM25" s="128"/>
      <c r="CPN25" s="128"/>
      <c r="CPO25" s="128"/>
      <c r="CPP25" s="128"/>
      <c r="CPQ25" s="128"/>
      <c r="CPR25" s="128"/>
      <c r="CPS25" s="128"/>
      <c r="CPT25" s="128"/>
      <c r="CPU25" s="128"/>
      <c r="CPV25" s="128"/>
      <c r="CPW25" s="128"/>
      <c r="CPX25" s="128"/>
      <c r="CPY25" s="128"/>
      <c r="CPZ25" s="128"/>
      <c r="CQA25" s="128"/>
      <c r="CQB25" s="128"/>
      <c r="CQC25" s="128"/>
      <c r="CQD25" s="128"/>
      <c r="CQE25" s="128"/>
      <c r="CQF25" s="128"/>
      <c r="CQG25" s="128"/>
      <c r="CQH25" s="128"/>
      <c r="CQI25" s="128"/>
      <c r="CQJ25" s="128"/>
      <c r="CQK25" s="128"/>
      <c r="CQL25" s="128"/>
      <c r="CQM25" s="128"/>
      <c r="CQN25" s="128"/>
      <c r="CQO25" s="128"/>
      <c r="CQP25" s="128"/>
      <c r="CQQ25" s="128"/>
      <c r="CQR25" s="128"/>
      <c r="CQS25" s="128"/>
      <c r="CQT25" s="128"/>
      <c r="CQU25" s="128"/>
      <c r="CQV25" s="128"/>
      <c r="CQW25" s="128"/>
      <c r="CQX25" s="128"/>
      <c r="CQY25" s="128"/>
      <c r="CQZ25" s="128"/>
      <c r="CRA25" s="128"/>
      <c r="CRB25" s="128"/>
      <c r="CRC25" s="128"/>
      <c r="CRD25" s="128"/>
      <c r="CRE25" s="128"/>
      <c r="CRF25" s="128"/>
      <c r="CRG25" s="128"/>
      <c r="CRH25" s="128"/>
      <c r="CRI25" s="128"/>
      <c r="CRJ25" s="128"/>
      <c r="CRK25" s="128"/>
      <c r="CRL25" s="128"/>
      <c r="CRM25" s="128"/>
      <c r="CRN25" s="128"/>
      <c r="CRO25" s="128"/>
      <c r="CRP25" s="128"/>
      <c r="CRQ25" s="128"/>
      <c r="CRR25" s="128"/>
      <c r="CRS25" s="128"/>
      <c r="CRT25" s="128"/>
      <c r="CRU25" s="128"/>
      <c r="CRV25" s="128"/>
      <c r="CRW25" s="128"/>
      <c r="CRX25" s="128"/>
      <c r="CRY25" s="128"/>
      <c r="CRZ25" s="128"/>
      <c r="CSA25" s="128"/>
      <c r="CSB25" s="128"/>
      <c r="CSC25" s="128"/>
      <c r="CSD25" s="128"/>
      <c r="CSE25" s="128"/>
      <c r="CSF25" s="128"/>
      <c r="CSG25" s="128"/>
      <c r="CSH25" s="128"/>
      <c r="CSI25" s="128"/>
      <c r="CSJ25" s="128"/>
      <c r="CSK25" s="128"/>
      <c r="CSL25" s="128"/>
      <c r="CSM25" s="128"/>
      <c r="CSN25" s="128"/>
      <c r="CSO25" s="128"/>
      <c r="CSP25" s="128"/>
      <c r="CSQ25" s="128"/>
      <c r="CSR25" s="128"/>
      <c r="CSS25" s="128"/>
      <c r="CST25" s="128"/>
      <c r="CSU25" s="128"/>
      <c r="CSV25" s="128"/>
      <c r="CSW25" s="128"/>
      <c r="CSX25" s="128"/>
      <c r="CSY25" s="128"/>
      <c r="CSZ25" s="128"/>
      <c r="CTA25" s="128"/>
      <c r="CTB25" s="128"/>
      <c r="CTC25" s="128"/>
      <c r="CTD25" s="128"/>
      <c r="CTE25" s="128"/>
      <c r="CTF25" s="128"/>
      <c r="CTG25" s="128"/>
      <c r="CTH25" s="128"/>
      <c r="CTI25" s="128"/>
      <c r="CTJ25" s="128"/>
      <c r="CTK25" s="128"/>
      <c r="CTL25" s="128"/>
      <c r="CTM25" s="128"/>
      <c r="CTN25" s="128"/>
      <c r="CTO25" s="128"/>
      <c r="CTP25" s="128"/>
      <c r="CTQ25" s="128"/>
      <c r="CTR25" s="128"/>
      <c r="CTS25" s="128"/>
      <c r="CTT25" s="128"/>
      <c r="CTU25" s="128"/>
      <c r="CTV25" s="128"/>
      <c r="CTW25" s="128"/>
      <c r="CTX25" s="128"/>
      <c r="CTY25" s="128"/>
      <c r="CTZ25" s="128"/>
      <c r="CUA25" s="128"/>
      <c r="CUB25" s="128"/>
      <c r="CUC25" s="128"/>
      <c r="CUD25" s="128"/>
      <c r="CUE25" s="128"/>
      <c r="CUF25" s="128"/>
      <c r="CUG25" s="128"/>
      <c r="CUH25" s="128"/>
      <c r="CUI25" s="128"/>
      <c r="CUJ25" s="128"/>
      <c r="CUK25" s="128"/>
      <c r="CUL25" s="128"/>
      <c r="CUM25" s="128"/>
      <c r="CUN25" s="128"/>
      <c r="CUO25" s="128"/>
      <c r="CUP25" s="128"/>
      <c r="CUQ25" s="128"/>
      <c r="CUR25" s="128"/>
      <c r="CUS25" s="128"/>
      <c r="CUT25" s="128"/>
      <c r="CUU25" s="128"/>
      <c r="CUV25" s="128"/>
      <c r="CUW25" s="128"/>
      <c r="CUX25" s="128"/>
      <c r="CUY25" s="128"/>
      <c r="CUZ25" s="128"/>
      <c r="CVA25" s="128"/>
      <c r="CVB25" s="128"/>
      <c r="CVC25" s="128"/>
      <c r="CVD25" s="128"/>
      <c r="CVE25" s="128"/>
      <c r="CVF25" s="128"/>
      <c r="CVG25" s="128"/>
      <c r="CVH25" s="128"/>
      <c r="CVI25" s="128"/>
      <c r="CVJ25" s="128"/>
      <c r="CVK25" s="128"/>
      <c r="CVL25" s="128"/>
      <c r="CVM25" s="128"/>
      <c r="CVN25" s="128"/>
      <c r="CVO25" s="128"/>
      <c r="CVP25" s="128"/>
      <c r="CVQ25" s="128"/>
      <c r="CVR25" s="128"/>
      <c r="CVS25" s="128"/>
      <c r="CVT25" s="128"/>
      <c r="CVU25" s="128"/>
      <c r="CVV25" s="128"/>
      <c r="CVW25" s="128"/>
      <c r="CVX25" s="128"/>
      <c r="CVY25" s="128"/>
      <c r="CVZ25" s="128"/>
      <c r="CWA25" s="128"/>
      <c r="CWB25" s="128"/>
      <c r="CWC25" s="128"/>
      <c r="CWD25" s="128"/>
      <c r="CWE25" s="128"/>
      <c r="CWF25" s="128"/>
      <c r="CWG25" s="128"/>
      <c r="CWH25" s="128"/>
      <c r="CWI25" s="128"/>
      <c r="CWJ25" s="128"/>
      <c r="CWK25" s="128"/>
      <c r="CWL25" s="128"/>
      <c r="CWM25" s="128"/>
      <c r="CWN25" s="128"/>
      <c r="CWO25" s="128"/>
      <c r="CWP25" s="128"/>
      <c r="CWQ25" s="128"/>
      <c r="CWR25" s="128"/>
      <c r="CWS25" s="128"/>
      <c r="CWT25" s="128"/>
      <c r="CWU25" s="128"/>
      <c r="CWV25" s="128"/>
      <c r="CWW25" s="128"/>
      <c r="CWX25" s="128"/>
      <c r="CWY25" s="128"/>
      <c r="CWZ25" s="128"/>
      <c r="CXA25" s="128"/>
      <c r="CXB25" s="128"/>
      <c r="CXC25" s="128"/>
      <c r="CXD25" s="128"/>
      <c r="CXE25" s="128"/>
      <c r="CXF25" s="128"/>
      <c r="CXG25" s="128"/>
      <c r="CXH25" s="128"/>
      <c r="CXI25" s="128"/>
      <c r="CXJ25" s="128"/>
      <c r="CXK25" s="128"/>
      <c r="CXL25" s="128"/>
      <c r="CXM25" s="128"/>
      <c r="CXN25" s="128"/>
      <c r="CXO25" s="128"/>
      <c r="CXP25" s="128"/>
      <c r="CXQ25" s="128"/>
      <c r="CXR25" s="128"/>
      <c r="CXS25" s="128"/>
      <c r="CXT25" s="128"/>
      <c r="CXU25" s="128"/>
      <c r="CXV25" s="128"/>
      <c r="CXW25" s="128"/>
      <c r="CXX25" s="128"/>
      <c r="CXY25" s="128"/>
      <c r="CXZ25" s="128"/>
      <c r="CYA25" s="128"/>
      <c r="CYB25" s="128"/>
      <c r="CYC25" s="128"/>
      <c r="CYD25" s="128"/>
      <c r="CYE25" s="128"/>
      <c r="CYF25" s="128"/>
      <c r="CYG25" s="128"/>
      <c r="CYH25" s="128"/>
      <c r="CYI25" s="128"/>
      <c r="CYJ25" s="128"/>
      <c r="CYK25" s="128"/>
      <c r="CYL25" s="128"/>
      <c r="CYM25" s="128"/>
      <c r="CYN25" s="128"/>
      <c r="CYO25" s="128"/>
      <c r="CYP25" s="128"/>
      <c r="CYQ25" s="128"/>
      <c r="CYR25" s="128"/>
      <c r="CYS25" s="128"/>
      <c r="CYT25" s="128"/>
      <c r="CYU25" s="128"/>
      <c r="CYV25" s="128"/>
      <c r="CYW25" s="128"/>
      <c r="CYX25" s="128"/>
      <c r="CYY25" s="128"/>
      <c r="CYZ25" s="128"/>
      <c r="CZA25" s="128"/>
      <c r="CZB25" s="128"/>
      <c r="CZC25" s="128"/>
      <c r="CZD25" s="128"/>
      <c r="CZE25" s="128"/>
      <c r="CZF25" s="128"/>
      <c r="CZG25" s="128"/>
      <c r="CZH25" s="128"/>
      <c r="CZI25" s="128"/>
      <c r="CZJ25" s="128"/>
      <c r="CZK25" s="128"/>
      <c r="CZL25" s="128"/>
      <c r="CZM25" s="128"/>
      <c r="CZN25" s="128"/>
      <c r="CZO25" s="128"/>
      <c r="CZP25" s="128"/>
      <c r="CZQ25" s="128"/>
      <c r="CZR25" s="128"/>
      <c r="CZS25" s="128"/>
      <c r="CZT25" s="128"/>
      <c r="CZU25" s="128"/>
      <c r="CZV25" s="128"/>
      <c r="CZW25" s="128"/>
      <c r="CZX25" s="128"/>
      <c r="CZY25" s="128"/>
      <c r="CZZ25" s="128"/>
      <c r="DAA25" s="128"/>
      <c r="DAB25" s="128"/>
      <c r="DAC25" s="128"/>
      <c r="DAD25" s="128"/>
      <c r="DAE25" s="128"/>
      <c r="DAF25" s="128"/>
      <c r="DAG25" s="128"/>
      <c r="DAH25" s="128"/>
      <c r="DAI25" s="128"/>
      <c r="DAJ25" s="128"/>
      <c r="DAK25" s="128"/>
      <c r="DAL25" s="128"/>
      <c r="DAM25" s="128"/>
      <c r="DAN25" s="128"/>
      <c r="DAO25" s="128"/>
      <c r="DAP25" s="128"/>
      <c r="DAQ25" s="128"/>
      <c r="DAR25" s="128"/>
      <c r="DAS25" s="128"/>
      <c r="DAT25" s="128"/>
      <c r="DAU25" s="128"/>
      <c r="DAV25" s="128"/>
      <c r="DAW25" s="128"/>
      <c r="DAX25" s="128"/>
      <c r="DAY25" s="128"/>
      <c r="DAZ25" s="128"/>
      <c r="DBA25" s="128"/>
      <c r="DBB25" s="128"/>
      <c r="DBC25" s="128"/>
      <c r="DBD25" s="128"/>
      <c r="DBE25" s="128"/>
      <c r="DBF25" s="128"/>
      <c r="DBG25" s="128"/>
      <c r="DBH25" s="128"/>
      <c r="DBI25" s="128"/>
      <c r="DBJ25" s="128"/>
      <c r="DBK25" s="128"/>
      <c r="DBL25" s="128"/>
      <c r="DBM25" s="128"/>
      <c r="DBN25" s="128"/>
      <c r="DBO25" s="128"/>
      <c r="DBP25" s="128"/>
      <c r="DBQ25" s="128"/>
      <c r="DBR25" s="128"/>
      <c r="DBS25" s="128"/>
      <c r="DBT25" s="128"/>
      <c r="DBU25" s="128"/>
      <c r="DBV25" s="128"/>
      <c r="DBW25" s="128"/>
      <c r="DBX25" s="128"/>
      <c r="DBY25" s="128"/>
      <c r="DBZ25" s="128"/>
      <c r="DCA25" s="128"/>
      <c r="DCB25" s="128"/>
      <c r="DCC25" s="128"/>
      <c r="DCD25" s="128"/>
      <c r="DCE25" s="128"/>
      <c r="DCF25" s="128"/>
      <c r="DCG25" s="128"/>
      <c r="DCH25" s="128"/>
      <c r="DCI25" s="128"/>
      <c r="DCJ25" s="128"/>
      <c r="DCK25" s="128"/>
      <c r="DCL25" s="128"/>
      <c r="DCM25" s="128"/>
      <c r="DCN25" s="128"/>
      <c r="DCO25" s="128"/>
      <c r="DCP25" s="128"/>
      <c r="DCQ25" s="128"/>
      <c r="DCR25" s="128"/>
      <c r="DCS25" s="128"/>
      <c r="DCT25" s="128"/>
      <c r="DCU25" s="128"/>
      <c r="DCV25" s="128"/>
      <c r="DCW25" s="128"/>
      <c r="DCX25" s="128"/>
      <c r="DCY25" s="128"/>
      <c r="DCZ25" s="128"/>
      <c r="DDA25" s="128"/>
      <c r="DDB25" s="128"/>
      <c r="DDC25" s="128"/>
      <c r="DDD25" s="128"/>
      <c r="DDE25" s="128"/>
      <c r="DDF25" s="128"/>
      <c r="DDG25" s="128"/>
      <c r="DDH25" s="128"/>
      <c r="DDI25" s="128"/>
      <c r="DDJ25" s="128"/>
      <c r="DDK25" s="128"/>
      <c r="DDL25" s="128"/>
      <c r="DDM25" s="128"/>
      <c r="DDN25" s="128"/>
      <c r="DDO25" s="128"/>
      <c r="DDP25" s="128"/>
      <c r="DDQ25" s="128"/>
      <c r="DDR25" s="128"/>
      <c r="DDS25" s="128"/>
      <c r="DDT25" s="128"/>
      <c r="DDU25" s="128"/>
      <c r="DDV25" s="128"/>
      <c r="DDW25" s="128"/>
      <c r="DDX25" s="128"/>
      <c r="DDY25" s="128"/>
      <c r="DDZ25" s="128"/>
      <c r="DEA25" s="128"/>
      <c r="DEB25" s="128"/>
      <c r="DEC25" s="128"/>
      <c r="DED25" s="128"/>
      <c r="DEE25" s="128"/>
      <c r="DEF25" s="128"/>
      <c r="DEG25" s="128"/>
      <c r="DEH25" s="128"/>
      <c r="DEI25" s="128"/>
      <c r="DEJ25" s="128"/>
      <c r="DEK25" s="128"/>
      <c r="DEL25" s="128"/>
      <c r="DEM25" s="128"/>
      <c r="DEN25" s="128"/>
      <c r="DEO25" s="128"/>
      <c r="DEP25" s="128"/>
      <c r="DEQ25" s="128"/>
      <c r="DER25" s="128"/>
      <c r="DES25" s="128"/>
      <c r="DET25" s="128"/>
      <c r="DEU25" s="128"/>
      <c r="DEV25" s="128"/>
      <c r="DEW25" s="128"/>
      <c r="DEX25" s="128"/>
      <c r="DEY25" s="128"/>
      <c r="DEZ25" s="128"/>
      <c r="DFA25" s="128"/>
      <c r="DFB25" s="128"/>
      <c r="DFC25" s="128"/>
      <c r="DFD25" s="128"/>
      <c r="DFE25" s="128"/>
      <c r="DFF25" s="128"/>
      <c r="DFG25" s="128"/>
      <c r="DFH25" s="128"/>
      <c r="DFI25" s="128"/>
      <c r="DFJ25" s="128"/>
      <c r="DFK25" s="128"/>
      <c r="DFL25" s="128"/>
      <c r="DFM25" s="128"/>
      <c r="DFN25" s="128"/>
      <c r="DFO25" s="128"/>
      <c r="DFP25" s="128"/>
      <c r="DFQ25" s="128"/>
      <c r="DFR25" s="128"/>
      <c r="DFS25" s="128"/>
      <c r="DFT25" s="128"/>
      <c r="DFU25" s="128"/>
      <c r="DFV25" s="128"/>
      <c r="DFW25" s="128"/>
      <c r="DFX25" s="128"/>
      <c r="DFY25" s="128"/>
      <c r="DFZ25" s="128"/>
      <c r="DGA25" s="128"/>
      <c r="DGB25" s="128"/>
      <c r="DGC25" s="128"/>
      <c r="DGD25" s="128"/>
      <c r="DGE25" s="128"/>
      <c r="DGF25" s="128"/>
      <c r="DGG25" s="128"/>
      <c r="DGH25" s="128"/>
      <c r="DGI25" s="128"/>
      <c r="DGJ25" s="128"/>
      <c r="DGK25" s="128"/>
      <c r="DGL25" s="128"/>
      <c r="DGM25" s="128"/>
      <c r="DGN25" s="128"/>
      <c r="DGO25" s="128"/>
      <c r="DGP25" s="128"/>
      <c r="DGQ25" s="128"/>
      <c r="DGR25" s="128"/>
      <c r="DGS25" s="128"/>
      <c r="DGT25" s="128"/>
      <c r="DGU25" s="128"/>
      <c r="DGV25" s="128"/>
      <c r="DGW25" s="128"/>
      <c r="DGX25" s="128"/>
      <c r="DGY25" s="128"/>
      <c r="DGZ25" s="128"/>
      <c r="DHA25" s="128"/>
      <c r="DHB25" s="128"/>
      <c r="DHC25" s="128"/>
      <c r="DHD25" s="128"/>
      <c r="DHE25" s="128"/>
      <c r="DHF25" s="128"/>
      <c r="DHG25" s="128"/>
      <c r="DHH25" s="128"/>
      <c r="DHI25" s="128"/>
      <c r="DHJ25" s="128"/>
      <c r="DHK25" s="128"/>
      <c r="DHL25" s="128"/>
      <c r="DHM25" s="128"/>
      <c r="DHN25" s="128"/>
      <c r="DHO25" s="128"/>
      <c r="DHP25" s="128"/>
      <c r="DHQ25" s="128"/>
      <c r="DHR25" s="128"/>
      <c r="DHS25" s="128"/>
      <c r="DHT25" s="128"/>
      <c r="DHU25" s="128"/>
      <c r="DHV25" s="128"/>
      <c r="DHW25" s="128"/>
      <c r="DHX25" s="128"/>
      <c r="DHY25" s="128"/>
      <c r="DHZ25" s="128"/>
      <c r="DIA25" s="128"/>
      <c r="DIB25" s="128"/>
      <c r="DIC25" s="128"/>
    </row>
    <row r="26" spans="1:2941" s="154" customFormat="1" ht="12" x14ac:dyDescent="0.2">
      <c r="A26" s="152" t="s">
        <v>194</v>
      </c>
      <c r="B26" s="152" t="s">
        <v>195</v>
      </c>
      <c r="C26" s="153" t="s">
        <v>196</v>
      </c>
      <c r="D26" s="153" t="s">
        <v>133</v>
      </c>
      <c r="E26" s="153" t="s">
        <v>133</v>
      </c>
      <c r="F26" s="153" t="s">
        <v>176</v>
      </c>
      <c r="G26" s="153" t="s">
        <v>11</v>
      </c>
      <c r="H26" s="234">
        <v>26000</v>
      </c>
      <c r="I26" s="147" t="s">
        <v>11</v>
      </c>
      <c r="J26" s="147" t="s">
        <v>159</v>
      </c>
      <c r="K26" s="147" t="s">
        <v>147</v>
      </c>
      <c r="L26" s="147" t="s">
        <v>147</v>
      </c>
      <c r="M26" s="147" t="s">
        <v>138</v>
      </c>
      <c r="N26" s="147" t="s">
        <v>138</v>
      </c>
      <c r="O26" s="192" t="s">
        <v>139</v>
      </c>
      <c r="P26" s="190" t="s">
        <v>140</v>
      </c>
      <c r="Q26" s="190" t="s">
        <v>11</v>
      </c>
      <c r="R26" s="190" t="s">
        <v>140</v>
      </c>
      <c r="S26" s="190" t="s">
        <v>140</v>
      </c>
      <c r="T26" s="190" t="s">
        <v>11</v>
      </c>
      <c r="U26" s="190" t="s">
        <v>11</v>
      </c>
      <c r="V26" s="190" t="s">
        <v>11</v>
      </c>
      <c r="W26" s="190" t="s">
        <v>11</v>
      </c>
      <c r="X26" s="190" t="s">
        <v>11</v>
      </c>
      <c r="Y26" s="190" t="s">
        <v>11</v>
      </c>
      <c r="Z26" s="190" t="s">
        <v>140</v>
      </c>
      <c r="AA26" s="190" t="s">
        <v>140</v>
      </c>
      <c r="AB26" s="190" t="s">
        <v>140</v>
      </c>
      <c r="AC26" s="190" t="s">
        <v>11</v>
      </c>
      <c r="AD26" s="190" t="s">
        <v>11</v>
      </c>
      <c r="AE26" s="190" t="s">
        <v>140</v>
      </c>
      <c r="AF26" s="190" t="s">
        <v>140</v>
      </c>
      <c r="AG26" s="190" t="s">
        <v>11</v>
      </c>
      <c r="AH26" s="278">
        <v>0</v>
      </c>
      <c r="AI26" s="190" t="s">
        <v>11</v>
      </c>
      <c r="AJ26" s="196"/>
      <c r="AK26" s="202" t="s">
        <v>11</v>
      </c>
      <c r="AL26" s="202" t="s">
        <v>11</v>
      </c>
      <c r="AM26" s="249"/>
      <c r="AN26" s="190" t="s">
        <v>11</v>
      </c>
      <c r="AO26" s="190" t="s">
        <v>140</v>
      </c>
      <c r="AP26" s="190" t="s">
        <v>11</v>
      </c>
      <c r="AQ26" s="190" t="s">
        <v>140</v>
      </c>
      <c r="AR26" s="190" t="s">
        <v>140</v>
      </c>
      <c r="AS26" s="190" t="s">
        <v>11</v>
      </c>
      <c r="AT26" s="190" t="s">
        <v>11</v>
      </c>
      <c r="AU26" s="190" t="s">
        <v>11</v>
      </c>
      <c r="AV26" s="190" t="s">
        <v>11</v>
      </c>
      <c r="AW26" s="190" t="s">
        <v>11</v>
      </c>
      <c r="AX26" s="190"/>
      <c r="AY26" s="190"/>
      <c r="AZ26" s="204"/>
      <c r="BA26" s="204"/>
      <c r="BB26" s="204"/>
      <c r="BC26" s="190"/>
      <c r="BD26" s="190"/>
      <c r="BE26" s="190"/>
      <c r="BF26" s="190"/>
      <c r="BG26" s="243"/>
      <c r="BH26" s="190" t="s">
        <v>11</v>
      </c>
      <c r="BI26" s="190" t="s">
        <v>11</v>
      </c>
      <c r="BJ26" s="190" t="s">
        <v>11</v>
      </c>
      <c r="BK26" s="190" t="s">
        <v>11</v>
      </c>
      <c r="BL26" s="190" t="s">
        <v>11</v>
      </c>
      <c r="BM26" s="190" t="s">
        <v>11</v>
      </c>
      <c r="BN26" s="190" t="s">
        <v>11</v>
      </c>
      <c r="BO26" s="190" t="s">
        <v>11</v>
      </c>
      <c r="BP26" s="190" t="s">
        <v>11</v>
      </c>
      <c r="BQ26" s="243"/>
      <c r="BR26" s="190" t="s">
        <v>141</v>
      </c>
      <c r="BS26" s="190" t="s">
        <v>141</v>
      </c>
      <c r="BT26" s="190" t="s">
        <v>141</v>
      </c>
      <c r="BU26" s="190" t="s">
        <v>141</v>
      </c>
      <c r="BV26" s="190" t="s">
        <v>141</v>
      </c>
      <c r="BW26" s="190" t="s">
        <v>141</v>
      </c>
      <c r="BX26" s="190" t="s">
        <v>141</v>
      </c>
      <c r="BY26" s="190" t="s">
        <v>141</v>
      </c>
      <c r="BZ26" s="190" t="s">
        <v>141</v>
      </c>
      <c r="CA26" s="190" t="s">
        <v>141</v>
      </c>
      <c r="CB26" s="190" t="s">
        <v>141</v>
      </c>
      <c r="CC26" s="243"/>
      <c r="CD26" s="190" t="s">
        <v>141</v>
      </c>
      <c r="CE26" s="190" t="s">
        <v>141</v>
      </c>
      <c r="CF26" s="190" t="s">
        <v>141</v>
      </c>
      <c r="CG26" s="190" t="s">
        <v>141</v>
      </c>
      <c r="CH26" s="190" t="s">
        <v>141</v>
      </c>
      <c r="CI26" s="190" t="s">
        <v>141</v>
      </c>
      <c r="CJ26" s="190" t="s">
        <v>141</v>
      </c>
      <c r="CK26" s="190" t="s">
        <v>11</v>
      </c>
      <c r="CL26" s="190" t="s">
        <v>11</v>
      </c>
      <c r="CM26" s="190" t="s">
        <v>11</v>
      </c>
      <c r="CN26" s="190" t="s">
        <v>141</v>
      </c>
      <c r="CO26" s="243"/>
      <c r="CP26" s="190" t="s">
        <v>11</v>
      </c>
      <c r="CQ26" s="190" t="s">
        <v>11</v>
      </c>
      <c r="CR26" s="193" t="s">
        <v>11</v>
      </c>
      <c r="CS26" s="197" t="s">
        <v>11</v>
      </c>
      <c r="CT26" s="197" t="s">
        <v>11</v>
      </c>
      <c r="CU26" s="194" t="s">
        <v>11</v>
      </c>
      <c r="CV26" s="190" t="s">
        <v>11</v>
      </c>
      <c r="CW26" s="206"/>
      <c r="CX26" s="190" t="s">
        <v>11</v>
      </c>
      <c r="CY26" s="190"/>
      <c r="CZ26" s="190"/>
      <c r="DA26" s="190"/>
      <c r="DB26" s="190"/>
      <c r="DC26" s="190"/>
      <c r="DD26" s="190"/>
      <c r="DE26" s="243"/>
      <c r="DF26" s="190" t="s">
        <v>11</v>
      </c>
      <c r="DG26" s="241"/>
      <c r="DH26" s="241"/>
      <c r="DI26" s="242"/>
      <c r="DJ26" s="242"/>
      <c r="DK26" s="128"/>
      <c r="DL26" s="128"/>
      <c r="DM26" s="128"/>
      <c r="DN26" s="128"/>
      <c r="DO26" s="128"/>
      <c r="DP26" s="128"/>
      <c r="DQ26" s="128"/>
      <c r="DR26" s="128"/>
      <c r="DS26" s="128"/>
      <c r="DT26" s="128"/>
      <c r="DU26" s="128"/>
      <c r="DV26" s="128"/>
      <c r="DW26" s="128"/>
      <c r="DX26" s="128"/>
      <c r="DY26" s="128"/>
      <c r="DZ26" s="128"/>
      <c r="EA26" s="128"/>
      <c r="EB26" s="128"/>
      <c r="EC26" s="128"/>
      <c r="ED26" s="128"/>
      <c r="EE26" s="128"/>
      <c r="EF26" s="128"/>
      <c r="EG26" s="128"/>
      <c r="EH26" s="128"/>
      <c r="EI26" s="128"/>
      <c r="EJ26" s="128"/>
      <c r="EK26" s="128"/>
      <c r="EL26" s="128"/>
      <c r="EM26" s="128"/>
      <c r="EN26" s="128"/>
      <c r="EO26" s="128"/>
      <c r="EP26" s="128"/>
      <c r="EQ26" s="128"/>
      <c r="ER26" s="128"/>
      <c r="ES26" s="128"/>
      <c r="ET26" s="128"/>
      <c r="EU26" s="128"/>
      <c r="EV26" s="128"/>
      <c r="EW26" s="128"/>
      <c r="EX26" s="128"/>
      <c r="EY26" s="128"/>
      <c r="EZ26" s="128"/>
      <c r="FA26" s="128"/>
      <c r="FB26" s="128"/>
      <c r="FC26" s="128"/>
      <c r="FD26" s="128"/>
      <c r="FE26" s="128"/>
      <c r="FF26" s="128"/>
      <c r="FG26" s="128"/>
      <c r="FH26" s="128"/>
      <c r="FI26" s="128"/>
      <c r="FJ26" s="128"/>
      <c r="FK26" s="128"/>
      <c r="FL26" s="128"/>
      <c r="FM26" s="128"/>
      <c r="FN26" s="128"/>
      <c r="FO26" s="128"/>
      <c r="FP26" s="128"/>
      <c r="FQ26" s="128"/>
      <c r="FR26" s="128"/>
      <c r="FS26" s="128"/>
      <c r="FT26" s="128"/>
      <c r="FU26" s="128"/>
      <c r="FV26" s="128"/>
      <c r="FW26" s="128"/>
      <c r="FX26" s="128"/>
      <c r="FY26" s="128"/>
      <c r="FZ26" s="128"/>
      <c r="GA26" s="128"/>
      <c r="GB26" s="128"/>
      <c r="GC26" s="128"/>
      <c r="GD26" s="128"/>
      <c r="GE26" s="128"/>
      <c r="GF26" s="128"/>
      <c r="GG26" s="128"/>
      <c r="GH26" s="128"/>
      <c r="GI26" s="128"/>
      <c r="GJ26" s="128"/>
      <c r="GK26" s="128"/>
      <c r="GL26" s="128"/>
      <c r="GM26" s="128"/>
      <c r="GN26" s="128"/>
      <c r="GO26" s="128"/>
      <c r="GP26" s="128"/>
      <c r="GQ26" s="128"/>
      <c r="GR26" s="128"/>
      <c r="GS26" s="128"/>
      <c r="GT26" s="128"/>
      <c r="GU26" s="128"/>
      <c r="GV26" s="128"/>
      <c r="GW26" s="128"/>
      <c r="GX26" s="128"/>
      <c r="GY26" s="128"/>
      <c r="GZ26" s="128"/>
      <c r="HA26" s="128"/>
      <c r="HB26" s="128"/>
      <c r="HC26" s="128"/>
      <c r="HD26" s="128"/>
      <c r="HE26" s="128"/>
      <c r="HF26" s="128"/>
      <c r="HG26" s="128"/>
      <c r="HH26" s="128"/>
      <c r="HI26" s="128"/>
      <c r="HJ26" s="128"/>
      <c r="HK26" s="128"/>
      <c r="HL26" s="128"/>
      <c r="HM26" s="128"/>
      <c r="HN26" s="128"/>
      <c r="HO26" s="128"/>
      <c r="HP26" s="128"/>
      <c r="HQ26" s="128"/>
      <c r="HR26" s="128"/>
      <c r="HS26" s="128"/>
      <c r="HT26" s="128"/>
      <c r="HU26" s="128"/>
      <c r="HV26" s="128"/>
      <c r="HW26" s="128"/>
      <c r="HX26" s="128"/>
      <c r="HY26" s="128"/>
      <c r="HZ26" s="128"/>
      <c r="IA26" s="128"/>
      <c r="IB26" s="128"/>
      <c r="IC26" s="128"/>
      <c r="ID26" s="128"/>
      <c r="IE26" s="128"/>
      <c r="IF26" s="128"/>
      <c r="IG26" s="128"/>
      <c r="IH26" s="128"/>
      <c r="II26" s="128"/>
      <c r="IJ26" s="128"/>
      <c r="IK26" s="128"/>
      <c r="IL26" s="128"/>
      <c r="IM26" s="128"/>
      <c r="IN26" s="128"/>
      <c r="IO26" s="128"/>
      <c r="IP26" s="128"/>
      <c r="IQ26" s="128"/>
      <c r="IR26" s="128"/>
      <c r="IS26" s="128"/>
      <c r="IT26" s="128"/>
      <c r="IU26" s="128"/>
      <c r="IV26" s="128"/>
      <c r="IW26" s="128"/>
      <c r="IX26" s="128"/>
      <c r="IY26" s="128"/>
      <c r="IZ26" s="128"/>
      <c r="JA26" s="128"/>
      <c r="JB26" s="128"/>
      <c r="JC26" s="128"/>
      <c r="JD26" s="128"/>
      <c r="JE26" s="128"/>
      <c r="JF26" s="128"/>
      <c r="JG26" s="128"/>
      <c r="JH26" s="128"/>
      <c r="JI26" s="128"/>
      <c r="JJ26" s="128"/>
      <c r="JK26" s="128"/>
      <c r="JL26" s="128"/>
      <c r="JM26" s="128"/>
      <c r="JN26" s="128"/>
      <c r="JO26" s="128"/>
      <c r="JP26" s="128"/>
      <c r="JQ26" s="128"/>
      <c r="JR26" s="128"/>
      <c r="JS26" s="128"/>
      <c r="JT26" s="128"/>
      <c r="JU26" s="128"/>
      <c r="JV26" s="128"/>
      <c r="JW26" s="128"/>
      <c r="JX26" s="128"/>
      <c r="JY26" s="128"/>
      <c r="JZ26" s="128"/>
      <c r="KA26" s="128"/>
      <c r="KB26" s="128"/>
      <c r="KC26" s="128"/>
      <c r="KD26" s="128"/>
      <c r="KE26" s="128"/>
      <c r="KF26" s="128"/>
      <c r="KG26" s="128"/>
      <c r="KH26" s="128"/>
      <c r="KI26" s="128"/>
      <c r="KJ26" s="128"/>
      <c r="KK26" s="128"/>
      <c r="KL26" s="128"/>
      <c r="KM26" s="128"/>
      <c r="KN26" s="128"/>
      <c r="KO26" s="128"/>
      <c r="KP26" s="128"/>
      <c r="KQ26" s="128"/>
      <c r="KR26" s="128"/>
      <c r="KS26" s="128"/>
      <c r="KT26" s="128"/>
      <c r="KU26" s="128"/>
      <c r="KV26" s="128"/>
      <c r="KW26" s="128"/>
      <c r="KX26" s="128"/>
      <c r="KY26" s="128"/>
      <c r="KZ26" s="128"/>
      <c r="LA26" s="128"/>
      <c r="LB26" s="128"/>
      <c r="LC26" s="128"/>
      <c r="LD26" s="128"/>
      <c r="LE26" s="128"/>
      <c r="LF26" s="128"/>
      <c r="LG26" s="128"/>
      <c r="LH26" s="128"/>
      <c r="LI26" s="128"/>
      <c r="LJ26" s="128"/>
      <c r="LK26" s="128"/>
      <c r="LL26" s="128"/>
      <c r="LM26" s="128"/>
      <c r="LN26" s="128"/>
      <c r="LO26" s="128"/>
      <c r="LP26" s="128"/>
      <c r="LQ26" s="128"/>
      <c r="LR26" s="128"/>
      <c r="LS26" s="128"/>
      <c r="LT26" s="128"/>
      <c r="LU26" s="128"/>
      <c r="LV26" s="128"/>
      <c r="LW26" s="128"/>
      <c r="LX26" s="128"/>
      <c r="LY26" s="128"/>
      <c r="LZ26" s="128"/>
      <c r="MA26" s="128"/>
      <c r="MB26" s="128"/>
      <c r="MC26" s="128"/>
      <c r="MD26" s="128"/>
      <c r="ME26" s="128"/>
      <c r="MF26" s="128"/>
      <c r="MG26" s="128"/>
      <c r="MH26" s="128"/>
      <c r="MI26" s="128"/>
      <c r="MJ26" s="128"/>
      <c r="MK26" s="128"/>
      <c r="ML26" s="128"/>
      <c r="MM26" s="128"/>
      <c r="MN26" s="128"/>
      <c r="MO26" s="128"/>
      <c r="MP26" s="128"/>
      <c r="MQ26" s="128"/>
      <c r="MR26" s="128"/>
      <c r="MS26" s="128"/>
      <c r="MT26" s="128"/>
      <c r="MU26" s="128"/>
      <c r="MV26" s="128"/>
      <c r="MW26" s="128"/>
      <c r="MX26" s="128"/>
      <c r="MY26" s="128"/>
      <c r="MZ26" s="128"/>
      <c r="NA26" s="128"/>
      <c r="NB26" s="128"/>
      <c r="NC26" s="128"/>
      <c r="ND26" s="128"/>
      <c r="NE26" s="128"/>
      <c r="NF26" s="128"/>
      <c r="NG26" s="128"/>
      <c r="NH26" s="128"/>
      <c r="NI26" s="128"/>
      <c r="NJ26" s="128"/>
      <c r="NK26" s="128"/>
      <c r="NL26" s="128"/>
      <c r="NM26" s="128"/>
      <c r="NN26" s="128"/>
      <c r="NO26" s="128"/>
      <c r="NP26" s="128"/>
      <c r="NQ26" s="128"/>
      <c r="NR26" s="128"/>
      <c r="NS26" s="128"/>
      <c r="NT26" s="128"/>
      <c r="NU26" s="128"/>
      <c r="NV26" s="128"/>
      <c r="NW26" s="128"/>
      <c r="NX26" s="128"/>
      <c r="NY26" s="128"/>
      <c r="NZ26" s="128"/>
      <c r="OA26" s="128"/>
      <c r="OB26" s="128"/>
      <c r="OC26" s="128"/>
      <c r="OD26" s="128"/>
      <c r="OE26" s="128"/>
      <c r="OF26" s="128"/>
      <c r="OG26" s="128"/>
      <c r="OH26" s="128"/>
      <c r="OI26" s="128"/>
      <c r="OJ26" s="128"/>
      <c r="OK26" s="128"/>
      <c r="OL26" s="128"/>
      <c r="OM26" s="128"/>
      <c r="ON26" s="128"/>
      <c r="OO26" s="128"/>
      <c r="OP26" s="128"/>
      <c r="OQ26" s="128"/>
      <c r="OR26" s="128"/>
      <c r="OS26" s="128"/>
      <c r="OT26" s="128"/>
      <c r="OU26" s="128"/>
      <c r="OV26" s="128"/>
      <c r="OW26" s="128"/>
      <c r="OX26" s="128"/>
      <c r="OY26" s="128"/>
      <c r="OZ26" s="128"/>
      <c r="PA26" s="128"/>
      <c r="PB26" s="128"/>
      <c r="PC26" s="128"/>
      <c r="PD26" s="128"/>
      <c r="PE26" s="128"/>
      <c r="PF26" s="128"/>
      <c r="PG26" s="128"/>
      <c r="PH26" s="128"/>
      <c r="PI26" s="128"/>
      <c r="PJ26" s="128"/>
      <c r="PK26" s="128"/>
      <c r="PL26" s="128"/>
      <c r="PM26" s="128"/>
      <c r="PN26" s="128"/>
      <c r="PO26" s="128"/>
      <c r="PP26" s="128"/>
      <c r="PQ26" s="128"/>
      <c r="PR26" s="128"/>
      <c r="PS26" s="128"/>
      <c r="PT26" s="128"/>
      <c r="PU26" s="128"/>
      <c r="PV26" s="128"/>
      <c r="PW26" s="128"/>
      <c r="PX26" s="128"/>
      <c r="PY26" s="128"/>
      <c r="PZ26" s="128"/>
      <c r="QA26" s="128"/>
      <c r="QB26" s="128"/>
      <c r="QC26" s="128"/>
      <c r="QD26" s="128"/>
      <c r="QE26" s="128"/>
      <c r="QF26" s="128"/>
      <c r="QG26" s="128"/>
      <c r="QH26" s="128"/>
      <c r="QI26" s="128"/>
      <c r="QJ26" s="128"/>
      <c r="QK26" s="128"/>
      <c r="QL26" s="128"/>
      <c r="QM26" s="128"/>
      <c r="QN26" s="128"/>
      <c r="QO26" s="128"/>
      <c r="QP26" s="128"/>
      <c r="QQ26" s="128"/>
      <c r="QR26" s="128"/>
      <c r="QS26" s="128"/>
      <c r="QT26" s="128"/>
      <c r="QU26" s="128"/>
      <c r="QV26" s="128"/>
      <c r="QW26" s="128"/>
      <c r="QX26" s="128"/>
      <c r="QY26" s="128"/>
      <c r="QZ26" s="128"/>
      <c r="RA26" s="128"/>
      <c r="RB26" s="128"/>
      <c r="RC26" s="128"/>
      <c r="RD26" s="128"/>
      <c r="RE26" s="128"/>
      <c r="RF26" s="128"/>
      <c r="RG26" s="128"/>
      <c r="RH26" s="128"/>
      <c r="RI26" s="128"/>
      <c r="RJ26" s="128"/>
      <c r="RK26" s="128"/>
      <c r="RL26" s="128"/>
      <c r="RM26" s="128"/>
      <c r="RN26" s="128"/>
      <c r="RO26" s="128"/>
      <c r="RP26" s="128"/>
      <c r="RQ26" s="128"/>
      <c r="RR26" s="128"/>
      <c r="RS26" s="128"/>
      <c r="RT26" s="128"/>
      <c r="RU26" s="128"/>
      <c r="RV26" s="128"/>
      <c r="RW26" s="128"/>
      <c r="RX26" s="128"/>
      <c r="RY26" s="128"/>
      <c r="RZ26" s="128"/>
      <c r="SA26" s="128"/>
      <c r="SB26" s="128"/>
      <c r="SC26" s="128"/>
      <c r="SD26" s="128"/>
      <c r="SE26" s="128"/>
      <c r="SF26" s="128"/>
      <c r="SG26" s="128"/>
      <c r="SH26" s="128"/>
      <c r="SI26" s="128"/>
      <c r="SJ26" s="128"/>
      <c r="SK26" s="128"/>
      <c r="SL26" s="128"/>
      <c r="SM26" s="128"/>
      <c r="SN26" s="128"/>
      <c r="SO26" s="128"/>
      <c r="SP26" s="128"/>
      <c r="SQ26" s="128"/>
      <c r="SR26" s="128"/>
      <c r="SS26" s="128"/>
      <c r="ST26" s="128"/>
      <c r="SU26" s="128"/>
      <c r="SV26" s="128"/>
      <c r="SW26" s="128"/>
      <c r="SX26" s="128"/>
      <c r="SY26" s="128"/>
      <c r="SZ26" s="128"/>
      <c r="TA26" s="128"/>
      <c r="TB26" s="128"/>
      <c r="TC26" s="128"/>
      <c r="TD26" s="128"/>
      <c r="TE26" s="128"/>
      <c r="TF26" s="128"/>
      <c r="TG26" s="128"/>
      <c r="TH26" s="128"/>
      <c r="TI26" s="128"/>
      <c r="TJ26" s="128"/>
      <c r="TK26" s="128"/>
      <c r="TL26" s="128"/>
      <c r="TM26" s="128"/>
      <c r="TN26" s="128"/>
      <c r="TO26" s="128"/>
      <c r="TP26" s="128"/>
      <c r="TQ26" s="128"/>
      <c r="TR26" s="128"/>
      <c r="TS26" s="128"/>
      <c r="TT26" s="128"/>
      <c r="TU26" s="128"/>
      <c r="TV26" s="128"/>
      <c r="TW26" s="128"/>
      <c r="TX26" s="128"/>
      <c r="TY26" s="128"/>
      <c r="TZ26" s="128"/>
      <c r="UA26" s="128"/>
      <c r="UB26" s="128"/>
      <c r="UC26" s="128"/>
      <c r="UD26" s="128"/>
      <c r="UE26" s="128"/>
      <c r="UF26" s="128"/>
      <c r="UG26" s="128"/>
      <c r="UH26" s="128"/>
      <c r="UI26" s="128"/>
      <c r="UJ26" s="128"/>
      <c r="UK26" s="128"/>
      <c r="UL26" s="128"/>
      <c r="UM26" s="128"/>
      <c r="UN26" s="128"/>
      <c r="UO26" s="128"/>
      <c r="UP26" s="128"/>
      <c r="UQ26" s="128"/>
      <c r="UR26" s="128"/>
      <c r="US26" s="128"/>
      <c r="UT26" s="128"/>
      <c r="UU26" s="128"/>
      <c r="UV26" s="128"/>
      <c r="UW26" s="128"/>
      <c r="UX26" s="128"/>
      <c r="UY26" s="128"/>
      <c r="UZ26" s="128"/>
      <c r="VA26" s="128"/>
      <c r="VB26" s="128"/>
      <c r="VC26" s="128"/>
      <c r="VD26" s="128"/>
      <c r="VE26" s="128"/>
      <c r="VF26" s="128"/>
      <c r="VG26" s="128"/>
      <c r="VH26" s="128"/>
      <c r="VI26" s="128"/>
      <c r="VJ26" s="128"/>
      <c r="VK26" s="128"/>
      <c r="VL26" s="128"/>
      <c r="VM26" s="128"/>
      <c r="VN26" s="128"/>
      <c r="VO26" s="128"/>
      <c r="VP26" s="128"/>
      <c r="VQ26" s="128"/>
      <c r="VR26" s="128"/>
      <c r="VS26" s="128"/>
      <c r="VT26" s="128"/>
      <c r="VU26" s="128"/>
      <c r="VV26" s="128"/>
      <c r="VW26" s="128"/>
      <c r="VX26" s="128"/>
      <c r="VY26" s="128"/>
      <c r="VZ26" s="128"/>
      <c r="WA26" s="128"/>
      <c r="WB26" s="128"/>
      <c r="WC26" s="128"/>
      <c r="WD26" s="128"/>
      <c r="WE26" s="128"/>
      <c r="WF26" s="128"/>
      <c r="WG26" s="128"/>
      <c r="WH26" s="128"/>
      <c r="WI26" s="128"/>
      <c r="WJ26" s="128"/>
      <c r="WK26" s="128"/>
      <c r="WL26" s="128"/>
      <c r="WM26" s="128"/>
      <c r="WN26" s="128"/>
      <c r="WO26" s="128"/>
      <c r="WP26" s="128"/>
      <c r="WQ26" s="128"/>
      <c r="WR26" s="128"/>
      <c r="WS26" s="128"/>
      <c r="WT26" s="128"/>
      <c r="WU26" s="128"/>
      <c r="WV26" s="128"/>
      <c r="WW26" s="128"/>
      <c r="WX26" s="128"/>
      <c r="WY26" s="128"/>
      <c r="WZ26" s="128"/>
      <c r="XA26" s="128"/>
      <c r="XB26" s="128"/>
      <c r="XC26" s="128"/>
      <c r="XD26" s="128"/>
      <c r="XE26" s="128"/>
      <c r="XF26" s="128"/>
      <c r="XG26" s="128"/>
      <c r="XH26" s="128"/>
      <c r="XI26" s="128"/>
      <c r="XJ26" s="128"/>
      <c r="XK26" s="128"/>
      <c r="XL26" s="128"/>
      <c r="XM26" s="128"/>
      <c r="XN26" s="128"/>
      <c r="XO26" s="128"/>
      <c r="XP26" s="128"/>
      <c r="XQ26" s="128"/>
      <c r="XR26" s="128"/>
      <c r="XS26" s="128"/>
      <c r="XT26" s="128"/>
      <c r="XU26" s="128"/>
      <c r="XV26" s="128"/>
      <c r="XW26" s="128"/>
      <c r="XX26" s="128"/>
      <c r="XY26" s="128"/>
      <c r="XZ26" s="128"/>
      <c r="YA26" s="128"/>
      <c r="YB26" s="128"/>
      <c r="YC26" s="128"/>
      <c r="YD26" s="128"/>
      <c r="YE26" s="128"/>
      <c r="YF26" s="128"/>
      <c r="YG26" s="128"/>
      <c r="YH26" s="128"/>
      <c r="YI26" s="128"/>
      <c r="YJ26" s="128"/>
      <c r="YK26" s="128"/>
      <c r="YL26" s="128"/>
      <c r="YM26" s="128"/>
      <c r="YN26" s="128"/>
      <c r="YO26" s="128"/>
      <c r="YP26" s="128"/>
      <c r="YQ26" s="128"/>
      <c r="YR26" s="128"/>
      <c r="YS26" s="128"/>
      <c r="YT26" s="128"/>
      <c r="YU26" s="128"/>
      <c r="YV26" s="128"/>
      <c r="YW26" s="128"/>
      <c r="YX26" s="128"/>
      <c r="YY26" s="128"/>
      <c r="YZ26" s="128"/>
      <c r="ZA26" s="128"/>
      <c r="ZB26" s="128"/>
      <c r="ZC26" s="128"/>
      <c r="ZD26" s="128"/>
      <c r="ZE26" s="128"/>
      <c r="ZF26" s="128"/>
      <c r="ZG26" s="128"/>
      <c r="ZH26" s="128"/>
      <c r="ZI26" s="128"/>
      <c r="ZJ26" s="128"/>
      <c r="ZK26" s="128"/>
      <c r="ZL26" s="128"/>
      <c r="ZM26" s="128"/>
      <c r="ZN26" s="128"/>
      <c r="ZO26" s="128"/>
      <c r="ZP26" s="128"/>
      <c r="ZQ26" s="128"/>
      <c r="ZR26" s="128"/>
      <c r="ZS26" s="128"/>
      <c r="ZT26" s="128"/>
      <c r="ZU26" s="128"/>
      <c r="ZV26" s="128"/>
      <c r="ZW26" s="128"/>
      <c r="ZX26" s="128"/>
      <c r="ZY26" s="128"/>
      <c r="ZZ26" s="128"/>
      <c r="AAA26" s="128"/>
      <c r="AAB26" s="128"/>
      <c r="AAC26" s="128"/>
      <c r="AAD26" s="128"/>
      <c r="AAE26" s="128"/>
      <c r="AAF26" s="128"/>
      <c r="AAG26" s="128"/>
      <c r="AAH26" s="128"/>
      <c r="AAI26" s="128"/>
      <c r="AAJ26" s="128"/>
      <c r="AAK26" s="128"/>
      <c r="AAL26" s="128"/>
      <c r="AAM26" s="128"/>
      <c r="AAN26" s="128"/>
      <c r="AAO26" s="128"/>
      <c r="AAP26" s="128"/>
      <c r="AAQ26" s="128"/>
      <c r="AAR26" s="128"/>
      <c r="AAS26" s="128"/>
      <c r="AAT26" s="128"/>
      <c r="AAU26" s="128"/>
      <c r="AAV26" s="128"/>
      <c r="AAW26" s="128"/>
      <c r="AAX26" s="128"/>
      <c r="AAY26" s="128"/>
      <c r="AAZ26" s="128"/>
      <c r="ABA26" s="128"/>
      <c r="ABB26" s="128"/>
      <c r="ABC26" s="128"/>
      <c r="ABD26" s="128"/>
      <c r="ABE26" s="128"/>
      <c r="ABF26" s="128"/>
      <c r="ABG26" s="128"/>
      <c r="ABH26" s="128"/>
      <c r="ABI26" s="128"/>
      <c r="ABJ26" s="128"/>
      <c r="ABK26" s="128"/>
      <c r="ABL26" s="128"/>
      <c r="ABM26" s="128"/>
      <c r="ABN26" s="128"/>
      <c r="ABO26" s="128"/>
      <c r="ABP26" s="128"/>
      <c r="ABQ26" s="128"/>
      <c r="ABR26" s="128"/>
      <c r="ABS26" s="128"/>
      <c r="ABT26" s="128"/>
      <c r="ABU26" s="128"/>
      <c r="ABV26" s="128"/>
      <c r="ABW26" s="128"/>
      <c r="ABX26" s="128"/>
      <c r="ABY26" s="128"/>
      <c r="ABZ26" s="128"/>
      <c r="ACA26" s="128"/>
      <c r="ACB26" s="128"/>
      <c r="ACC26" s="128"/>
      <c r="ACD26" s="128"/>
      <c r="ACE26" s="128"/>
      <c r="ACF26" s="128"/>
      <c r="ACG26" s="128"/>
      <c r="ACH26" s="128"/>
      <c r="ACI26" s="128"/>
      <c r="ACJ26" s="128"/>
      <c r="ACK26" s="128"/>
      <c r="ACL26" s="128"/>
      <c r="ACM26" s="128"/>
      <c r="ACN26" s="128"/>
      <c r="ACO26" s="128"/>
      <c r="ACP26" s="128"/>
      <c r="ACQ26" s="128"/>
      <c r="ACR26" s="128"/>
      <c r="ACS26" s="128"/>
      <c r="ACT26" s="128"/>
      <c r="ACU26" s="128"/>
      <c r="ACV26" s="128"/>
      <c r="ACW26" s="128"/>
      <c r="ACX26" s="128"/>
      <c r="ACY26" s="128"/>
      <c r="ACZ26" s="128"/>
      <c r="ADA26" s="128"/>
      <c r="ADB26" s="128"/>
      <c r="ADC26" s="128"/>
      <c r="ADD26" s="128"/>
      <c r="ADE26" s="128"/>
      <c r="ADF26" s="128"/>
      <c r="ADG26" s="128"/>
      <c r="ADH26" s="128"/>
      <c r="ADI26" s="128"/>
      <c r="ADJ26" s="128"/>
      <c r="ADK26" s="128"/>
      <c r="ADL26" s="128"/>
      <c r="ADM26" s="128"/>
      <c r="ADN26" s="128"/>
      <c r="ADO26" s="128"/>
      <c r="ADP26" s="128"/>
      <c r="ADQ26" s="128"/>
      <c r="ADR26" s="128"/>
      <c r="ADS26" s="128"/>
      <c r="ADT26" s="128"/>
      <c r="ADU26" s="128"/>
      <c r="ADV26" s="128"/>
      <c r="ADW26" s="128"/>
      <c r="ADX26" s="128"/>
      <c r="ADY26" s="128"/>
      <c r="ADZ26" s="128"/>
      <c r="AEA26" s="128"/>
      <c r="AEB26" s="128"/>
      <c r="AEC26" s="128"/>
      <c r="AED26" s="128"/>
      <c r="AEE26" s="128"/>
      <c r="AEF26" s="128"/>
      <c r="AEG26" s="128"/>
      <c r="AEH26" s="128"/>
      <c r="AEI26" s="128"/>
      <c r="AEJ26" s="128"/>
      <c r="AEK26" s="128"/>
      <c r="AEL26" s="128"/>
      <c r="AEM26" s="128"/>
      <c r="AEN26" s="128"/>
      <c r="AEO26" s="128"/>
      <c r="AEP26" s="128"/>
      <c r="AEQ26" s="128"/>
      <c r="AER26" s="128"/>
      <c r="AES26" s="128"/>
      <c r="AET26" s="128"/>
      <c r="AEU26" s="128"/>
      <c r="AEV26" s="128"/>
      <c r="AEW26" s="128"/>
      <c r="AEX26" s="128"/>
      <c r="AEY26" s="128"/>
      <c r="AEZ26" s="128"/>
      <c r="AFA26" s="128"/>
      <c r="AFB26" s="128"/>
      <c r="AFC26" s="128"/>
      <c r="AFD26" s="128"/>
      <c r="AFE26" s="128"/>
      <c r="AFF26" s="128"/>
      <c r="AFG26" s="128"/>
      <c r="AFH26" s="128"/>
      <c r="AFI26" s="128"/>
      <c r="AFJ26" s="128"/>
      <c r="AFK26" s="128"/>
      <c r="AFL26" s="128"/>
      <c r="AFM26" s="128"/>
      <c r="AFN26" s="128"/>
      <c r="AFO26" s="128"/>
      <c r="AFP26" s="128"/>
      <c r="AFQ26" s="128"/>
      <c r="AFR26" s="128"/>
      <c r="AFS26" s="128"/>
      <c r="AFT26" s="128"/>
      <c r="AFU26" s="128"/>
      <c r="AFV26" s="128"/>
      <c r="AFW26" s="128"/>
      <c r="AFX26" s="128"/>
      <c r="AFY26" s="128"/>
      <c r="AFZ26" s="128"/>
      <c r="AGA26" s="128"/>
      <c r="AGB26" s="128"/>
      <c r="AGC26" s="128"/>
      <c r="AGD26" s="128"/>
      <c r="AGE26" s="128"/>
      <c r="AGF26" s="128"/>
      <c r="AGG26" s="128"/>
      <c r="AGH26" s="128"/>
      <c r="AGI26" s="128"/>
      <c r="AGJ26" s="128"/>
      <c r="AGK26" s="128"/>
      <c r="AGL26" s="128"/>
      <c r="AGM26" s="128"/>
      <c r="AGN26" s="128"/>
      <c r="AGO26" s="128"/>
      <c r="AGP26" s="128"/>
      <c r="AGQ26" s="128"/>
      <c r="AGR26" s="128"/>
      <c r="AGS26" s="128"/>
      <c r="AGT26" s="128"/>
      <c r="AGU26" s="128"/>
      <c r="AGV26" s="128"/>
      <c r="AGW26" s="128"/>
      <c r="AGX26" s="128"/>
      <c r="AGY26" s="128"/>
      <c r="AGZ26" s="128"/>
      <c r="AHA26" s="128"/>
      <c r="AHB26" s="128"/>
      <c r="AHC26" s="128"/>
      <c r="AHD26" s="128"/>
      <c r="AHE26" s="128"/>
      <c r="AHF26" s="128"/>
      <c r="AHG26" s="128"/>
      <c r="AHH26" s="128"/>
      <c r="AHI26" s="128"/>
      <c r="AHJ26" s="128"/>
      <c r="AHK26" s="128"/>
      <c r="AHL26" s="128"/>
      <c r="AHM26" s="128"/>
      <c r="AHN26" s="128"/>
      <c r="AHO26" s="128"/>
      <c r="AHP26" s="128"/>
      <c r="AHQ26" s="128"/>
      <c r="AHR26" s="128"/>
      <c r="AHS26" s="128"/>
      <c r="AHT26" s="128"/>
      <c r="AHU26" s="128"/>
      <c r="AHV26" s="128"/>
      <c r="AHW26" s="128"/>
      <c r="AHX26" s="128"/>
      <c r="AHY26" s="128"/>
      <c r="AHZ26" s="128"/>
      <c r="AIA26" s="128"/>
      <c r="AIB26" s="128"/>
      <c r="AIC26" s="128"/>
      <c r="AID26" s="128"/>
      <c r="AIE26" s="128"/>
      <c r="AIF26" s="128"/>
      <c r="AIG26" s="128"/>
      <c r="AIH26" s="128"/>
      <c r="AII26" s="128"/>
      <c r="AIJ26" s="128"/>
      <c r="AIK26" s="128"/>
      <c r="AIL26" s="128"/>
      <c r="AIM26" s="128"/>
      <c r="AIN26" s="128"/>
      <c r="AIO26" s="128"/>
      <c r="AIP26" s="128"/>
      <c r="AIQ26" s="128"/>
      <c r="AIR26" s="128"/>
      <c r="AIS26" s="128"/>
      <c r="AIT26" s="128"/>
      <c r="AIU26" s="128"/>
      <c r="AIV26" s="128"/>
      <c r="AIW26" s="128"/>
      <c r="AIX26" s="128"/>
      <c r="AIY26" s="128"/>
      <c r="AIZ26" s="128"/>
      <c r="AJA26" s="128"/>
      <c r="AJB26" s="128"/>
      <c r="AJC26" s="128"/>
      <c r="AJD26" s="128"/>
      <c r="AJE26" s="128"/>
      <c r="AJF26" s="128"/>
      <c r="AJG26" s="128"/>
      <c r="AJH26" s="128"/>
      <c r="AJI26" s="128"/>
      <c r="AJJ26" s="128"/>
      <c r="AJK26" s="128"/>
      <c r="AJL26" s="128"/>
      <c r="AJM26" s="128"/>
      <c r="AJN26" s="128"/>
      <c r="AJO26" s="128"/>
      <c r="AJP26" s="128"/>
      <c r="AJQ26" s="128"/>
      <c r="AJR26" s="128"/>
      <c r="AJS26" s="128"/>
      <c r="AJT26" s="128"/>
      <c r="AJU26" s="128"/>
      <c r="AJV26" s="128"/>
      <c r="AJW26" s="128"/>
      <c r="AJX26" s="128"/>
      <c r="AJY26" s="128"/>
      <c r="AJZ26" s="128"/>
      <c r="AKA26" s="128"/>
      <c r="AKB26" s="128"/>
      <c r="AKC26" s="128"/>
      <c r="AKD26" s="128"/>
      <c r="AKE26" s="128"/>
      <c r="AKF26" s="128"/>
      <c r="AKG26" s="128"/>
      <c r="AKH26" s="128"/>
      <c r="AKI26" s="128"/>
      <c r="AKJ26" s="128"/>
      <c r="AKK26" s="128"/>
      <c r="AKL26" s="128"/>
      <c r="AKM26" s="128"/>
      <c r="AKN26" s="128"/>
      <c r="AKO26" s="128"/>
      <c r="AKP26" s="128"/>
      <c r="AKQ26" s="128"/>
      <c r="AKR26" s="128"/>
      <c r="AKS26" s="128"/>
      <c r="AKT26" s="128"/>
      <c r="AKU26" s="128"/>
      <c r="AKV26" s="128"/>
      <c r="AKW26" s="128"/>
      <c r="AKX26" s="128"/>
      <c r="AKY26" s="128"/>
      <c r="AKZ26" s="128"/>
      <c r="ALA26" s="128"/>
      <c r="ALB26" s="128"/>
      <c r="ALC26" s="128"/>
      <c r="ALD26" s="128"/>
      <c r="ALE26" s="128"/>
      <c r="ALF26" s="128"/>
      <c r="ALG26" s="128"/>
      <c r="ALH26" s="128"/>
      <c r="ALI26" s="128"/>
      <c r="ALJ26" s="128"/>
      <c r="ALK26" s="128"/>
      <c r="ALL26" s="128"/>
      <c r="ALM26" s="128"/>
      <c r="ALN26" s="128"/>
      <c r="ALO26" s="128"/>
      <c r="ALP26" s="128"/>
      <c r="ALQ26" s="128"/>
      <c r="ALR26" s="128"/>
      <c r="ALS26" s="128"/>
      <c r="ALT26" s="128"/>
      <c r="ALU26" s="128"/>
      <c r="ALV26" s="128"/>
      <c r="ALW26" s="128"/>
      <c r="ALX26" s="128"/>
      <c r="ALY26" s="128"/>
      <c r="ALZ26" s="128"/>
      <c r="AMA26" s="128"/>
      <c r="AMB26" s="128"/>
      <c r="AMC26" s="128"/>
      <c r="AMD26" s="128"/>
      <c r="AME26" s="128"/>
      <c r="AMF26" s="128"/>
      <c r="AMG26" s="128"/>
      <c r="AMH26" s="128"/>
      <c r="AMI26" s="128"/>
      <c r="AMJ26" s="128"/>
      <c r="AMK26" s="128"/>
      <c r="AML26" s="128"/>
      <c r="AMM26" s="128"/>
      <c r="AMN26" s="128"/>
      <c r="AMO26" s="128"/>
      <c r="AMP26" s="128"/>
      <c r="AMQ26" s="128"/>
      <c r="AMR26" s="128"/>
      <c r="AMS26" s="128"/>
      <c r="AMT26" s="128"/>
      <c r="AMU26" s="128"/>
      <c r="AMV26" s="128"/>
      <c r="AMW26" s="128"/>
      <c r="AMX26" s="128"/>
      <c r="AMY26" s="128"/>
      <c r="AMZ26" s="128"/>
      <c r="ANA26" s="128"/>
      <c r="ANB26" s="128"/>
      <c r="ANC26" s="128"/>
      <c r="AND26" s="128"/>
      <c r="ANE26" s="128"/>
      <c r="ANF26" s="128"/>
      <c r="ANG26" s="128"/>
      <c r="ANH26" s="128"/>
      <c r="ANI26" s="128"/>
      <c r="ANJ26" s="128"/>
      <c r="ANK26" s="128"/>
      <c r="ANL26" s="128"/>
      <c r="ANM26" s="128"/>
      <c r="ANN26" s="128"/>
      <c r="ANO26" s="128"/>
      <c r="ANP26" s="128"/>
      <c r="ANQ26" s="128"/>
      <c r="ANR26" s="128"/>
      <c r="ANS26" s="128"/>
      <c r="ANT26" s="128"/>
      <c r="ANU26" s="128"/>
      <c r="ANV26" s="128"/>
      <c r="ANW26" s="128"/>
      <c r="ANX26" s="128"/>
      <c r="ANY26" s="128"/>
      <c r="ANZ26" s="128"/>
      <c r="AOA26" s="128"/>
      <c r="AOB26" s="128"/>
      <c r="AOC26" s="128"/>
      <c r="AOD26" s="128"/>
      <c r="AOE26" s="128"/>
      <c r="AOF26" s="128"/>
      <c r="AOG26" s="128"/>
      <c r="AOH26" s="128"/>
      <c r="AOI26" s="128"/>
      <c r="AOJ26" s="128"/>
      <c r="AOK26" s="128"/>
      <c r="AOL26" s="128"/>
      <c r="AOM26" s="128"/>
      <c r="AON26" s="128"/>
      <c r="AOO26" s="128"/>
      <c r="AOP26" s="128"/>
      <c r="AOQ26" s="128"/>
      <c r="AOR26" s="128"/>
      <c r="AOS26" s="128"/>
      <c r="AOT26" s="128"/>
      <c r="AOU26" s="128"/>
      <c r="AOV26" s="128"/>
      <c r="AOW26" s="128"/>
      <c r="AOX26" s="128"/>
      <c r="AOY26" s="128"/>
      <c r="AOZ26" s="128"/>
      <c r="APA26" s="128"/>
      <c r="APB26" s="128"/>
      <c r="APC26" s="128"/>
      <c r="APD26" s="128"/>
      <c r="APE26" s="128"/>
      <c r="APF26" s="128"/>
      <c r="APG26" s="128"/>
      <c r="APH26" s="128"/>
      <c r="API26" s="128"/>
      <c r="APJ26" s="128"/>
      <c r="APK26" s="128"/>
      <c r="APL26" s="128"/>
      <c r="APM26" s="128"/>
      <c r="APN26" s="128"/>
      <c r="APO26" s="128"/>
      <c r="APP26" s="128"/>
      <c r="APQ26" s="128"/>
      <c r="APR26" s="128"/>
      <c r="APS26" s="128"/>
      <c r="APT26" s="128"/>
      <c r="APU26" s="128"/>
      <c r="APV26" s="128"/>
      <c r="APW26" s="128"/>
      <c r="APX26" s="128"/>
      <c r="APY26" s="128"/>
      <c r="APZ26" s="128"/>
      <c r="AQA26" s="128"/>
      <c r="AQB26" s="128"/>
      <c r="AQC26" s="128"/>
      <c r="AQD26" s="128"/>
      <c r="AQE26" s="128"/>
      <c r="AQF26" s="128"/>
      <c r="AQG26" s="128"/>
      <c r="AQH26" s="128"/>
      <c r="AQI26" s="128"/>
      <c r="AQJ26" s="128"/>
      <c r="AQK26" s="128"/>
      <c r="AQL26" s="128"/>
      <c r="AQM26" s="128"/>
      <c r="AQN26" s="128"/>
      <c r="AQO26" s="128"/>
      <c r="AQP26" s="128"/>
      <c r="AQQ26" s="128"/>
      <c r="AQR26" s="128"/>
      <c r="AQS26" s="128"/>
      <c r="AQT26" s="128"/>
      <c r="AQU26" s="128"/>
      <c r="AQV26" s="128"/>
      <c r="AQW26" s="128"/>
      <c r="AQX26" s="128"/>
      <c r="AQY26" s="128"/>
      <c r="AQZ26" s="128"/>
      <c r="ARA26" s="128"/>
      <c r="ARB26" s="128"/>
      <c r="ARC26" s="128"/>
      <c r="ARD26" s="128"/>
      <c r="ARE26" s="128"/>
      <c r="ARF26" s="128"/>
      <c r="ARG26" s="128"/>
      <c r="ARH26" s="128"/>
      <c r="ARI26" s="128"/>
      <c r="ARJ26" s="128"/>
      <c r="ARK26" s="128"/>
      <c r="ARL26" s="128"/>
      <c r="ARM26" s="128"/>
      <c r="ARN26" s="128"/>
      <c r="ARO26" s="128"/>
      <c r="ARP26" s="128"/>
      <c r="ARQ26" s="128"/>
      <c r="ARR26" s="128"/>
      <c r="ARS26" s="128"/>
      <c r="ART26" s="128"/>
      <c r="ARU26" s="128"/>
      <c r="ARV26" s="128"/>
      <c r="ARW26" s="128"/>
      <c r="ARX26" s="128"/>
      <c r="ARY26" s="128"/>
      <c r="ARZ26" s="128"/>
      <c r="ASA26" s="128"/>
      <c r="ASB26" s="128"/>
      <c r="ASC26" s="128"/>
      <c r="ASD26" s="128"/>
      <c r="ASE26" s="128"/>
      <c r="ASF26" s="128"/>
      <c r="ASG26" s="128"/>
      <c r="ASH26" s="128"/>
      <c r="ASI26" s="128"/>
      <c r="ASJ26" s="128"/>
      <c r="ASK26" s="128"/>
      <c r="ASL26" s="128"/>
      <c r="ASM26" s="128"/>
      <c r="ASN26" s="128"/>
      <c r="ASO26" s="128"/>
      <c r="ASP26" s="128"/>
      <c r="ASQ26" s="128"/>
      <c r="ASR26" s="128"/>
      <c r="ASS26" s="128"/>
      <c r="AST26" s="128"/>
      <c r="ASU26" s="128"/>
      <c r="ASV26" s="128"/>
      <c r="ASW26" s="128"/>
      <c r="ASX26" s="128"/>
      <c r="ASY26" s="128"/>
      <c r="ASZ26" s="128"/>
      <c r="ATA26" s="128"/>
      <c r="ATB26" s="128"/>
      <c r="ATC26" s="128"/>
      <c r="ATD26" s="128"/>
      <c r="ATE26" s="128"/>
      <c r="ATF26" s="128"/>
      <c r="ATG26" s="128"/>
      <c r="ATH26" s="128"/>
      <c r="ATI26" s="128"/>
      <c r="ATJ26" s="128"/>
      <c r="ATK26" s="128"/>
      <c r="ATL26" s="128"/>
      <c r="ATM26" s="128"/>
      <c r="ATN26" s="128"/>
      <c r="ATO26" s="128"/>
      <c r="ATP26" s="128"/>
      <c r="ATQ26" s="128"/>
      <c r="ATR26" s="128"/>
      <c r="ATS26" s="128"/>
      <c r="ATT26" s="128"/>
      <c r="ATU26" s="128"/>
      <c r="ATV26" s="128"/>
      <c r="ATW26" s="128"/>
      <c r="ATX26" s="128"/>
      <c r="ATY26" s="128"/>
      <c r="ATZ26" s="128"/>
      <c r="AUA26" s="128"/>
      <c r="AUB26" s="128"/>
      <c r="AUC26" s="128"/>
      <c r="AUD26" s="128"/>
      <c r="AUE26" s="128"/>
      <c r="AUF26" s="128"/>
      <c r="AUG26" s="128"/>
      <c r="AUH26" s="128"/>
      <c r="AUI26" s="128"/>
      <c r="AUJ26" s="128"/>
      <c r="AUK26" s="128"/>
      <c r="AUL26" s="128"/>
      <c r="AUM26" s="128"/>
      <c r="AUN26" s="128"/>
      <c r="AUO26" s="128"/>
      <c r="AUP26" s="128"/>
      <c r="AUQ26" s="128"/>
      <c r="AUR26" s="128"/>
      <c r="AUS26" s="128"/>
      <c r="AUT26" s="128"/>
      <c r="AUU26" s="128"/>
      <c r="AUV26" s="128"/>
      <c r="AUW26" s="128"/>
      <c r="AUX26" s="128"/>
      <c r="AUY26" s="128"/>
      <c r="AUZ26" s="128"/>
      <c r="AVA26" s="128"/>
      <c r="AVB26" s="128"/>
      <c r="AVC26" s="128"/>
      <c r="AVD26" s="128"/>
      <c r="AVE26" s="128"/>
      <c r="AVF26" s="128"/>
      <c r="AVG26" s="128"/>
      <c r="AVH26" s="128"/>
      <c r="AVI26" s="128"/>
      <c r="AVJ26" s="128"/>
      <c r="AVK26" s="128"/>
      <c r="AVL26" s="128"/>
      <c r="AVM26" s="128"/>
      <c r="AVN26" s="128"/>
      <c r="AVO26" s="128"/>
      <c r="AVP26" s="128"/>
      <c r="AVQ26" s="128"/>
      <c r="AVR26" s="128"/>
      <c r="AVS26" s="128"/>
      <c r="AVT26" s="128"/>
      <c r="AVU26" s="128"/>
      <c r="AVV26" s="128"/>
      <c r="AVW26" s="128"/>
      <c r="AVX26" s="128"/>
      <c r="AVY26" s="128"/>
      <c r="AVZ26" s="128"/>
      <c r="AWA26" s="128"/>
      <c r="AWB26" s="128"/>
      <c r="AWC26" s="128"/>
      <c r="AWD26" s="128"/>
      <c r="AWE26" s="128"/>
      <c r="AWF26" s="128"/>
      <c r="AWG26" s="128"/>
      <c r="AWH26" s="128"/>
      <c r="AWI26" s="128"/>
      <c r="AWJ26" s="128"/>
      <c r="AWK26" s="128"/>
      <c r="AWL26" s="128"/>
      <c r="AWM26" s="128"/>
      <c r="AWN26" s="128"/>
      <c r="AWO26" s="128"/>
      <c r="AWP26" s="128"/>
      <c r="AWQ26" s="128"/>
      <c r="AWR26" s="128"/>
      <c r="AWS26" s="128"/>
      <c r="AWT26" s="128"/>
      <c r="AWU26" s="128"/>
      <c r="AWV26" s="128"/>
      <c r="AWW26" s="128"/>
      <c r="AWX26" s="128"/>
      <c r="AWY26" s="128"/>
      <c r="AWZ26" s="128"/>
      <c r="AXA26" s="128"/>
      <c r="AXB26" s="128"/>
      <c r="AXC26" s="128"/>
      <c r="AXD26" s="128"/>
      <c r="AXE26" s="128"/>
      <c r="AXF26" s="128"/>
      <c r="AXG26" s="128"/>
      <c r="AXH26" s="128"/>
      <c r="AXI26" s="128"/>
      <c r="AXJ26" s="128"/>
      <c r="AXK26" s="128"/>
      <c r="AXL26" s="128"/>
      <c r="AXM26" s="128"/>
      <c r="AXN26" s="128"/>
      <c r="AXO26" s="128"/>
      <c r="AXP26" s="128"/>
      <c r="AXQ26" s="128"/>
      <c r="AXR26" s="128"/>
      <c r="AXS26" s="128"/>
      <c r="AXT26" s="128"/>
      <c r="AXU26" s="128"/>
      <c r="AXV26" s="128"/>
      <c r="AXW26" s="128"/>
      <c r="AXX26" s="128"/>
      <c r="AXY26" s="128"/>
      <c r="AXZ26" s="128"/>
      <c r="AYA26" s="128"/>
      <c r="AYB26" s="128"/>
      <c r="AYC26" s="128"/>
      <c r="AYD26" s="128"/>
      <c r="AYE26" s="128"/>
      <c r="AYF26" s="128"/>
      <c r="AYG26" s="128"/>
      <c r="AYH26" s="128"/>
      <c r="AYI26" s="128"/>
      <c r="AYJ26" s="128"/>
      <c r="AYK26" s="128"/>
      <c r="AYL26" s="128"/>
      <c r="AYM26" s="128"/>
      <c r="AYN26" s="128"/>
      <c r="AYO26" s="128"/>
      <c r="AYP26" s="128"/>
      <c r="AYQ26" s="128"/>
      <c r="AYR26" s="128"/>
      <c r="AYS26" s="128"/>
      <c r="AYT26" s="128"/>
      <c r="AYU26" s="128"/>
      <c r="AYV26" s="128"/>
      <c r="AYW26" s="128"/>
      <c r="AYX26" s="128"/>
      <c r="AYY26" s="128"/>
      <c r="AYZ26" s="128"/>
      <c r="AZA26" s="128"/>
      <c r="AZB26" s="128"/>
      <c r="AZC26" s="128"/>
      <c r="AZD26" s="128"/>
      <c r="AZE26" s="128"/>
      <c r="AZF26" s="128"/>
      <c r="AZG26" s="128"/>
      <c r="AZH26" s="128"/>
      <c r="AZI26" s="128"/>
      <c r="AZJ26" s="128"/>
      <c r="AZK26" s="128"/>
      <c r="AZL26" s="128"/>
      <c r="AZM26" s="128"/>
      <c r="AZN26" s="128"/>
      <c r="AZO26" s="128"/>
      <c r="AZP26" s="128"/>
      <c r="AZQ26" s="128"/>
      <c r="AZR26" s="128"/>
      <c r="AZS26" s="128"/>
      <c r="AZT26" s="128"/>
      <c r="AZU26" s="128"/>
      <c r="AZV26" s="128"/>
      <c r="AZW26" s="128"/>
      <c r="AZX26" s="128"/>
      <c r="AZY26" s="128"/>
      <c r="AZZ26" s="128"/>
      <c r="BAA26" s="128"/>
      <c r="BAB26" s="128"/>
      <c r="BAC26" s="128"/>
      <c r="BAD26" s="128"/>
      <c r="BAE26" s="128"/>
      <c r="BAF26" s="128"/>
      <c r="BAG26" s="128"/>
      <c r="BAH26" s="128"/>
      <c r="BAI26" s="128"/>
      <c r="BAJ26" s="128"/>
      <c r="BAK26" s="128"/>
      <c r="BAL26" s="128"/>
      <c r="BAM26" s="128"/>
      <c r="BAN26" s="128"/>
      <c r="BAO26" s="128"/>
      <c r="BAP26" s="128"/>
      <c r="BAQ26" s="128"/>
      <c r="BAR26" s="128"/>
      <c r="BAS26" s="128"/>
      <c r="BAT26" s="128"/>
      <c r="BAU26" s="128"/>
      <c r="BAV26" s="128"/>
      <c r="BAW26" s="128"/>
      <c r="BAX26" s="128"/>
      <c r="BAY26" s="128"/>
      <c r="BAZ26" s="128"/>
      <c r="BBA26" s="128"/>
      <c r="BBB26" s="128"/>
      <c r="BBC26" s="128"/>
      <c r="BBD26" s="128"/>
      <c r="BBE26" s="128"/>
      <c r="BBF26" s="128"/>
      <c r="BBG26" s="128"/>
      <c r="BBH26" s="128"/>
      <c r="BBI26" s="128"/>
      <c r="BBJ26" s="128"/>
      <c r="BBK26" s="128"/>
      <c r="BBL26" s="128"/>
      <c r="BBM26" s="128"/>
      <c r="BBN26" s="128"/>
      <c r="BBO26" s="128"/>
      <c r="BBP26" s="128"/>
      <c r="BBQ26" s="128"/>
      <c r="BBR26" s="128"/>
      <c r="BBS26" s="128"/>
      <c r="BBT26" s="128"/>
      <c r="BBU26" s="128"/>
      <c r="BBV26" s="128"/>
      <c r="BBW26" s="128"/>
      <c r="BBX26" s="128"/>
      <c r="BBY26" s="128"/>
      <c r="BBZ26" s="128"/>
      <c r="BCA26" s="128"/>
      <c r="BCB26" s="128"/>
      <c r="BCC26" s="128"/>
      <c r="BCD26" s="128"/>
      <c r="BCE26" s="128"/>
      <c r="BCF26" s="128"/>
      <c r="BCG26" s="128"/>
      <c r="BCH26" s="128"/>
      <c r="BCI26" s="128"/>
      <c r="BCJ26" s="128"/>
      <c r="BCK26" s="128"/>
      <c r="BCL26" s="128"/>
      <c r="BCM26" s="128"/>
      <c r="BCN26" s="128"/>
      <c r="BCO26" s="128"/>
      <c r="BCP26" s="128"/>
      <c r="BCQ26" s="128"/>
      <c r="BCR26" s="128"/>
      <c r="BCS26" s="128"/>
      <c r="BCT26" s="128"/>
      <c r="BCU26" s="128"/>
      <c r="BCV26" s="128"/>
      <c r="BCW26" s="128"/>
      <c r="BCX26" s="128"/>
      <c r="BCY26" s="128"/>
      <c r="BCZ26" s="128"/>
      <c r="BDA26" s="128"/>
      <c r="BDB26" s="128"/>
      <c r="BDC26" s="128"/>
      <c r="BDD26" s="128"/>
      <c r="BDE26" s="128"/>
      <c r="BDF26" s="128"/>
      <c r="BDG26" s="128"/>
      <c r="BDH26" s="128"/>
      <c r="BDI26" s="128"/>
      <c r="BDJ26" s="128"/>
      <c r="BDK26" s="128"/>
      <c r="BDL26" s="128"/>
      <c r="BDM26" s="128"/>
      <c r="BDN26" s="128"/>
      <c r="BDO26" s="128"/>
      <c r="BDP26" s="128"/>
      <c r="BDQ26" s="128"/>
      <c r="BDR26" s="128"/>
      <c r="BDS26" s="128"/>
      <c r="BDT26" s="128"/>
      <c r="BDU26" s="128"/>
      <c r="BDV26" s="128"/>
      <c r="BDW26" s="128"/>
      <c r="BDX26" s="128"/>
      <c r="BDY26" s="128"/>
      <c r="BDZ26" s="128"/>
      <c r="BEA26" s="128"/>
      <c r="BEB26" s="128"/>
      <c r="BEC26" s="128"/>
      <c r="BED26" s="128"/>
      <c r="BEE26" s="128"/>
      <c r="BEF26" s="128"/>
      <c r="BEG26" s="128"/>
      <c r="BEH26" s="128"/>
      <c r="BEI26" s="128"/>
      <c r="BEJ26" s="128"/>
      <c r="BEK26" s="128"/>
      <c r="BEL26" s="128"/>
      <c r="BEM26" s="128"/>
      <c r="BEN26" s="128"/>
      <c r="BEO26" s="128"/>
      <c r="BEP26" s="128"/>
      <c r="BEQ26" s="128"/>
      <c r="BER26" s="128"/>
      <c r="BES26" s="128"/>
      <c r="BET26" s="128"/>
      <c r="BEU26" s="128"/>
      <c r="BEV26" s="128"/>
      <c r="BEW26" s="128"/>
      <c r="BEX26" s="128"/>
      <c r="BEY26" s="128"/>
      <c r="BEZ26" s="128"/>
      <c r="BFA26" s="128"/>
      <c r="BFB26" s="128"/>
      <c r="BFC26" s="128"/>
      <c r="BFD26" s="128"/>
      <c r="BFE26" s="128"/>
      <c r="BFF26" s="128"/>
      <c r="BFG26" s="128"/>
      <c r="BFH26" s="128"/>
      <c r="BFI26" s="128"/>
      <c r="BFJ26" s="128"/>
      <c r="BFK26" s="128"/>
      <c r="BFL26" s="128"/>
      <c r="BFM26" s="128"/>
      <c r="BFN26" s="128"/>
      <c r="BFO26" s="128"/>
      <c r="BFP26" s="128"/>
      <c r="BFQ26" s="128"/>
      <c r="BFR26" s="128"/>
      <c r="BFS26" s="128"/>
      <c r="BFT26" s="128"/>
      <c r="BFU26" s="128"/>
      <c r="BFV26" s="128"/>
      <c r="BFW26" s="128"/>
      <c r="BFX26" s="128"/>
      <c r="BFY26" s="128"/>
      <c r="BFZ26" s="128"/>
      <c r="BGA26" s="128"/>
      <c r="BGB26" s="128"/>
      <c r="BGC26" s="128"/>
      <c r="BGD26" s="128"/>
      <c r="BGE26" s="128"/>
      <c r="BGF26" s="128"/>
      <c r="BGG26" s="128"/>
      <c r="BGH26" s="128"/>
      <c r="BGI26" s="128"/>
      <c r="BGJ26" s="128"/>
      <c r="BGK26" s="128"/>
      <c r="BGL26" s="128"/>
      <c r="BGM26" s="128"/>
      <c r="BGN26" s="128"/>
      <c r="BGO26" s="128"/>
      <c r="BGP26" s="128"/>
      <c r="BGQ26" s="128"/>
      <c r="BGR26" s="128"/>
      <c r="BGS26" s="128"/>
      <c r="BGT26" s="128"/>
      <c r="BGU26" s="128"/>
      <c r="BGV26" s="128"/>
      <c r="BGW26" s="128"/>
      <c r="BGX26" s="128"/>
      <c r="BGY26" s="128"/>
      <c r="BGZ26" s="128"/>
      <c r="BHA26" s="128"/>
      <c r="BHB26" s="128"/>
      <c r="BHC26" s="128"/>
      <c r="BHD26" s="128"/>
      <c r="BHE26" s="128"/>
      <c r="BHF26" s="128"/>
      <c r="BHG26" s="128"/>
      <c r="BHH26" s="128"/>
      <c r="BHI26" s="128"/>
      <c r="BHJ26" s="128"/>
      <c r="BHK26" s="128"/>
      <c r="BHL26" s="128"/>
      <c r="BHM26" s="128"/>
      <c r="BHN26" s="128"/>
      <c r="BHO26" s="128"/>
      <c r="BHP26" s="128"/>
      <c r="BHQ26" s="128"/>
      <c r="BHR26" s="128"/>
      <c r="BHS26" s="128"/>
      <c r="BHT26" s="128"/>
      <c r="BHU26" s="128"/>
      <c r="BHV26" s="128"/>
      <c r="BHW26" s="128"/>
      <c r="BHX26" s="128"/>
      <c r="BHY26" s="128"/>
      <c r="BHZ26" s="128"/>
      <c r="BIA26" s="128"/>
      <c r="BIB26" s="128"/>
      <c r="BIC26" s="128"/>
      <c r="BID26" s="128"/>
      <c r="BIE26" s="128"/>
      <c r="BIF26" s="128"/>
      <c r="BIG26" s="128"/>
      <c r="BIH26" s="128"/>
      <c r="BII26" s="128"/>
      <c r="BIJ26" s="128"/>
      <c r="BIK26" s="128"/>
      <c r="BIL26" s="128"/>
      <c r="BIM26" s="128"/>
      <c r="BIN26" s="128"/>
      <c r="BIO26" s="128"/>
      <c r="BIP26" s="128"/>
      <c r="BIQ26" s="128"/>
      <c r="BIR26" s="128"/>
      <c r="BIS26" s="128"/>
      <c r="BIT26" s="128"/>
      <c r="BIU26" s="128"/>
      <c r="BIV26" s="128"/>
      <c r="BIW26" s="128"/>
      <c r="BIX26" s="128"/>
      <c r="BIY26" s="128"/>
      <c r="BIZ26" s="128"/>
      <c r="BJA26" s="128"/>
      <c r="BJB26" s="128"/>
      <c r="BJC26" s="128"/>
      <c r="BJD26" s="128"/>
      <c r="BJE26" s="128"/>
      <c r="BJF26" s="128"/>
      <c r="BJG26" s="128"/>
      <c r="BJH26" s="128"/>
      <c r="BJI26" s="128"/>
      <c r="BJJ26" s="128"/>
      <c r="BJK26" s="128"/>
      <c r="BJL26" s="128"/>
      <c r="BJM26" s="128"/>
      <c r="BJN26" s="128"/>
      <c r="BJO26" s="128"/>
      <c r="BJP26" s="128"/>
      <c r="BJQ26" s="128"/>
      <c r="BJR26" s="128"/>
      <c r="BJS26" s="128"/>
      <c r="BJT26" s="128"/>
      <c r="BJU26" s="128"/>
      <c r="BJV26" s="128"/>
      <c r="BJW26" s="128"/>
      <c r="BJX26" s="128"/>
      <c r="BJY26" s="128"/>
      <c r="BJZ26" s="128"/>
      <c r="BKA26" s="128"/>
      <c r="BKB26" s="128"/>
      <c r="BKC26" s="128"/>
      <c r="BKD26" s="128"/>
      <c r="BKE26" s="128"/>
      <c r="BKF26" s="128"/>
      <c r="BKG26" s="128"/>
      <c r="BKH26" s="128"/>
      <c r="BKI26" s="128"/>
      <c r="BKJ26" s="128"/>
      <c r="BKK26" s="128"/>
      <c r="BKL26" s="128"/>
      <c r="BKM26" s="128"/>
      <c r="BKN26" s="128"/>
      <c r="BKO26" s="128"/>
      <c r="BKP26" s="128"/>
      <c r="BKQ26" s="128"/>
      <c r="BKR26" s="128"/>
      <c r="BKS26" s="128"/>
      <c r="BKT26" s="128"/>
      <c r="BKU26" s="128"/>
      <c r="BKV26" s="128"/>
      <c r="BKW26" s="128"/>
      <c r="BKX26" s="128"/>
      <c r="BKY26" s="128"/>
      <c r="BKZ26" s="128"/>
      <c r="BLA26" s="128"/>
      <c r="BLB26" s="128"/>
      <c r="BLC26" s="128"/>
      <c r="BLD26" s="128"/>
      <c r="BLE26" s="128"/>
      <c r="BLF26" s="128"/>
      <c r="BLG26" s="128"/>
      <c r="BLH26" s="128"/>
      <c r="BLI26" s="128"/>
      <c r="BLJ26" s="128"/>
      <c r="BLK26" s="128"/>
      <c r="BLL26" s="128"/>
      <c r="BLM26" s="128"/>
      <c r="BLN26" s="128"/>
      <c r="BLO26" s="128"/>
      <c r="BLP26" s="128"/>
      <c r="BLQ26" s="128"/>
      <c r="BLR26" s="128"/>
      <c r="BLS26" s="128"/>
      <c r="BLT26" s="128"/>
      <c r="BLU26" s="128"/>
      <c r="BLV26" s="128"/>
      <c r="BLW26" s="128"/>
      <c r="BLX26" s="128"/>
      <c r="BLY26" s="128"/>
      <c r="BLZ26" s="128"/>
      <c r="BMA26" s="128"/>
      <c r="BMB26" s="128"/>
      <c r="BMC26" s="128"/>
      <c r="BMD26" s="128"/>
      <c r="BME26" s="128"/>
      <c r="BMF26" s="128"/>
      <c r="BMG26" s="128"/>
      <c r="BMH26" s="128"/>
      <c r="BMI26" s="128"/>
      <c r="BMJ26" s="128"/>
      <c r="BMK26" s="128"/>
      <c r="BML26" s="128"/>
      <c r="BMM26" s="128"/>
      <c r="BMN26" s="128"/>
      <c r="BMO26" s="128"/>
      <c r="BMP26" s="128"/>
      <c r="BMQ26" s="128"/>
      <c r="BMR26" s="128"/>
      <c r="BMS26" s="128"/>
      <c r="BMT26" s="128"/>
      <c r="BMU26" s="128"/>
      <c r="BMV26" s="128"/>
      <c r="BMW26" s="128"/>
      <c r="BMX26" s="128"/>
      <c r="BMY26" s="128"/>
      <c r="BMZ26" s="128"/>
      <c r="BNA26" s="128"/>
      <c r="BNB26" s="128"/>
      <c r="BNC26" s="128"/>
      <c r="BND26" s="128"/>
      <c r="BNE26" s="128"/>
      <c r="BNF26" s="128"/>
      <c r="BNG26" s="128"/>
      <c r="BNH26" s="128"/>
      <c r="BNI26" s="128"/>
      <c r="BNJ26" s="128"/>
      <c r="BNK26" s="128"/>
      <c r="BNL26" s="128"/>
      <c r="BNM26" s="128"/>
      <c r="BNN26" s="128"/>
      <c r="BNO26" s="128"/>
      <c r="BNP26" s="128"/>
      <c r="BNQ26" s="128"/>
      <c r="BNR26" s="128"/>
      <c r="BNS26" s="128"/>
      <c r="BNT26" s="128"/>
      <c r="BNU26" s="128"/>
      <c r="BNV26" s="128"/>
      <c r="BNW26" s="128"/>
      <c r="BNX26" s="128"/>
      <c r="BNY26" s="128"/>
      <c r="BNZ26" s="128"/>
      <c r="BOA26" s="128"/>
      <c r="BOB26" s="128"/>
      <c r="BOC26" s="128"/>
      <c r="BOD26" s="128"/>
      <c r="BOE26" s="128"/>
      <c r="BOF26" s="128"/>
      <c r="BOG26" s="128"/>
      <c r="BOH26" s="128"/>
      <c r="BOI26" s="128"/>
      <c r="BOJ26" s="128"/>
      <c r="BOK26" s="128"/>
      <c r="BOL26" s="128"/>
      <c r="BOM26" s="128"/>
      <c r="BON26" s="128"/>
      <c r="BOO26" s="128"/>
      <c r="BOP26" s="128"/>
      <c r="BOQ26" s="128"/>
      <c r="BOR26" s="128"/>
      <c r="BOS26" s="128"/>
      <c r="BOT26" s="128"/>
      <c r="BOU26" s="128"/>
      <c r="BOV26" s="128"/>
      <c r="BOW26" s="128"/>
      <c r="BOX26" s="128"/>
      <c r="BOY26" s="128"/>
      <c r="BOZ26" s="128"/>
      <c r="BPA26" s="128"/>
      <c r="BPB26" s="128"/>
      <c r="BPC26" s="128"/>
      <c r="BPD26" s="128"/>
      <c r="BPE26" s="128"/>
      <c r="BPF26" s="128"/>
      <c r="BPG26" s="128"/>
      <c r="BPH26" s="128"/>
      <c r="BPI26" s="128"/>
      <c r="BPJ26" s="128"/>
      <c r="BPK26" s="128"/>
      <c r="BPL26" s="128"/>
      <c r="BPM26" s="128"/>
      <c r="BPN26" s="128"/>
      <c r="BPO26" s="128"/>
      <c r="BPP26" s="128"/>
      <c r="BPQ26" s="128"/>
      <c r="BPR26" s="128"/>
      <c r="BPS26" s="128"/>
      <c r="BPT26" s="128"/>
      <c r="BPU26" s="128"/>
      <c r="BPV26" s="128"/>
      <c r="BPW26" s="128"/>
      <c r="BPX26" s="128"/>
      <c r="BPY26" s="128"/>
      <c r="BPZ26" s="128"/>
      <c r="BQA26" s="128"/>
      <c r="BQB26" s="128"/>
      <c r="BQC26" s="128"/>
      <c r="BQD26" s="128"/>
      <c r="BQE26" s="128"/>
      <c r="BQF26" s="128"/>
      <c r="BQG26" s="128"/>
      <c r="BQH26" s="128"/>
      <c r="BQI26" s="128"/>
      <c r="BQJ26" s="128"/>
      <c r="BQK26" s="128"/>
      <c r="BQL26" s="128"/>
      <c r="BQM26" s="128"/>
      <c r="BQN26" s="128"/>
      <c r="BQO26" s="128"/>
      <c r="BQP26" s="128"/>
      <c r="BQQ26" s="128"/>
      <c r="BQR26" s="128"/>
      <c r="BQS26" s="128"/>
      <c r="BQT26" s="128"/>
      <c r="BQU26" s="128"/>
      <c r="BQV26" s="128"/>
      <c r="BQW26" s="128"/>
      <c r="BQX26" s="128"/>
      <c r="BQY26" s="128"/>
      <c r="BQZ26" s="128"/>
      <c r="BRA26" s="128"/>
      <c r="BRB26" s="128"/>
      <c r="BRC26" s="128"/>
      <c r="BRD26" s="128"/>
      <c r="BRE26" s="128"/>
      <c r="BRF26" s="128"/>
      <c r="BRG26" s="128"/>
      <c r="BRH26" s="128"/>
      <c r="BRI26" s="128"/>
      <c r="BRJ26" s="128"/>
      <c r="BRK26" s="128"/>
      <c r="BRL26" s="128"/>
      <c r="BRM26" s="128"/>
      <c r="BRN26" s="128"/>
      <c r="BRO26" s="128"/>
      <c r="BRP26" s="128"/>
      <c r="BRQ26" s="128"/>
      <c r="BRR26" s="128"/>
      <c r="BRS26" s="128"/>
      <c r="BRT26" s="128"/>
      <c r="BRU26" s="128"/>
      <c r="BRV26" s="128"/>
      <c r="BRW26" s="128"/>
      <c r="BRX26" s="128"/>
      <c r="BRY26" s="128"/>
      <c r="BRZ26" s="128"/>
      <c r="BSA26" s="128"/>
      <c r="BSB26" s="128"/>
      <c r="BSC26" s="128"/>
      <c r="BSD26" s="128"/>
      <c r="BSE26" s="128"/>
      <c r="BSF26" s="128"/>
      <c r="BSG26" s="128"/>
      <c r="BSH26" s="128"/>
      <c r="BSI26" s="128"/>
      <c r="BSJ26" s="128"/>
      <c r="BSK26" s="128"/>
      <c r="BSL26" s="128"/>
      <c r="BSM26" s="128"/>
      <c r="BSN26" s="128"/>
      <c r="BSO26" s="128"/>
      <c r="BSP26" s="128"/>
      <c r="BSQ26" s="128"/>
      <c r="BSR26" s="128"/>
      <c r="BSS26" s="128"/>
      <c r="BST26" s="128"/>
      <c r="BSU26" s="128"/>
      <c r="BSV26" s="128"/>
      <c r="BSW26" s="128"/>
      <c r="BSX26" s="128"/>
      <c r="BSY26" s="128"/>
      <c r="BSZ26" s="128"/>
      <c r="BTA26" s="128"/>
      <c r="BTB26" s="128"/>
      <c r="BTC26" s="128"/>
      <c r="BTD26" s="128"/>
      <c r="BTE26" s="128"/>
      <c r="BTF26" s="128"/>
      <c r="BTG26" s="128"/>
      <c r="BTH26" s="128"/>
      <c r="BTI26" s="128"/>
      <c r="BTJ26" s="128"/>
      <c r="BTK26" s="128"/>
      <c r="BTL26" s="128"/>
      <c r="BTM26" s="128"/>
      <c r="BTN26" s="128"/>
      <c r="BTO26" s="128"/>
      <c r="BTP26" s="128"/>
      <c r="BTQ26" s="128"/>
      <c r="BTR26" s="128"/>
      <c r="BTS26" s="128"/>
      <c r="BTT26" s="128"/>
      <c r="BTU26" s="128"/>
      <c r="BTV26" s="128"/>
      <c r="BTW26" s="128"/>
      <c r="BTX26" s="128"/>
      <c r="BTY26" s="128"/>
      <c r="BTZ26" s="128"/>
      <c r="BUA26" s="128"/>
      <c r="BUB26" s="128"/>
      <c r="BUC26" s="128"/>
      <c r="BUD26" s="128"/>
      <c r="BUE26" s="128"/>
      <c r="BUF26" s="128"/>
      <c r="BUG26" s="128"/>
      <c r="BUH26" s="128"/>
      <c r="BUI26" s="128"/>
      <c r="BUJ26" s="128"/>
      <c r="BUK26" s="128"/>
      <c r="BUL26" s="128"/>
      <c r="BUM26" s="128"/>
      <c r="BUN26" s="128"/>
      <c r="BUO26" s="128"/>
      <c r="BUP26" s="128"/>
      <c r="BUQ26" s="128"/>
      <c r="BUR26" s="128"/>
      <c r="BUS26" s="128"/>
      <c r="BUT26" s="128"/>
      <c r="BUU26" s="128"/>
      <c r="BUV26" s="128"/>
      <c r="BUW26" s="128"/>
      <c r="BUX26" s="128"/>
      <c r="BUY26" s="128"/>
      <c r="BUZ26" s="128"/>
      <c r="BVA26" s="128"/>
      <c r="BVB26" s="128"/>
      <c r="BVC26" s="128"/>
      <c r="BVD26" s="128"/>
      <c r="BVE26" s="128"/>
      <c r="BVF26" s="128"/>
      <c r="BVG26" s="128"/>
      <c r="BVH26" s="128"/>
      <c r="BVI26" s="128"/>
      <c r="BVJ26" s="128"/>
      <c r="BVK26" s="128"/>
      <c r="BVL26" s="128"/>
      <c r="BVM26" s="128"/>
      <c r="BVN26" s="128"/>
      <c r="BVO26" s="128"/>
      <c r="BVP26" s="128"/>
      <c r="BVQ26" s="128"/>
      <c r="BVR26" s="128"/>
      <c r="BVS26" s="128"/>
      <c r="BVT26" s="128"/>
      <c r="BVU26" s="128"/>
      <c r="BVV26" s="128"/>
      <c r="BVW26" s="128"/>
      <c r="BVX26" s="128"/>
      <c r="BVY26" s="128"/>
      <c r="BVZ26" s="128"/>
      <c r="BWA26" s="128"/>
      <c r="BWB26" s="128"/>
      <c r="BWC26" s="128"/>
      <c r="BWD26" s="128"/>
      <c r="BWE26" s="128"/>
      <c r="BWF26" s="128"/>
      <c r="BWG26" s="128"/>
      <c r="BWH26" s="128"/>
      <c r="BWI26" s="128"/>
      <c r="BWJ26" s="128"/>
      <c r="BWK26" s="128"/>
      <c r="BWL26" s="128"/>
      <c r="BWM26" s="128"/>
      <c r="BWN26" s="128"/>
      <c r="BWO26" s="128"/>
      <c r="BWP26" s="128"/>
      <c r="BWQ26" s="128"/>
      <c r="BWR26" s="128"/>
      <c r="BWS26" s="128"/>
      <c r="BWT26" s="128"/>
      <c r="BWU26" s="128"/>
      <c r="BWV26" s="128"/>
      <c r="BWW26" s="128"/>
      <c r="BWX26" s="128"/>
      <c r="BWY26" s="128"/>
      <c r="BWZ26" s="128"/>
      <c r="BXA26" s="128"/>
      <c r="BXB26" s="128"/>
      <c r="BXC26" s="128"/>
      <c r="BXD26" s="128"/>
      <c r="BXE26" s="128"/>
      <c r="BXF26" s="128"/>
      <c r="BXG26" s="128"/>
      <c r="BXH26" s="128"/>
      <c r="BXI26" s="128"/>
      <c r="BXJ26" s="128"/>
      <c r="BXK26" s="128"/>
      <c r="BXL26" s="128"/>
      <c r="BXM26" s="128"/>
      <c r="BXN26" s="128"/>
      <c r="BXO26" s="128"/>
      <c r="BXP26" s="128"/>
      <c r="BXQ26" s="128"/>
      <c r="BXR26" s="128"/>
      <c r="BXS26" s="128"/>
      <c r="BXT26" s="128"/>
      <c r="BXU26" s="128"/>
      <c r="BXV26" s="128"/>
      <c r="BXW26" s="128"/>
      <c r="BXX26" s="128"/>
      <c r="BXY26" s="128"/>
      <c r="BXZ26" s="128"/>
      <c r="BYA26" s="128"/>
      <c r="BYB26" s="128"/>
      <c r="BYC26" s="128"/>
      <c r="BYD26" s="128"/>
      <c r="BYE26" s="128"/>
      <c r="BYF26" s="128"/>
      <c r="BYG26" s="128"/>
      <c r="BYH26" s="128"/>
      <c r="BYI26" s="128"/>
      <c r="BYJ26" s="128"/>
      <c r="BYK26" s="128"/>
      <c r="BYL26" s="128"/>
      <c r="BYM26" s="128"/>
      <c r="BYN26" s="128"/>
      <c r="BYO26" s="128"/>
      <c r="BYP26" s="128"/>
      <c r="BYQ26" s="128"/>
      <c r="BYR26" s="128"/>
      <c r="BYS26" s="128"/>
      <c r="BYT26" s="128"/>
      <c r="BYU26" s="128"/>
      <c r="BYV26" s="128"/>
      <c r="BYW26" s="128"/>
      <c r="BYX26" s="128"/>
      <c r="BYY26" s="128"/>
      <c r="BYZ26" s="128"/>
      <c r="BZA26" s="128"/>
      <c r="BZB26" s="128"/>
      <c r="BZC26" s="128"/>
      <c r="BZD26" s="128"/>
      <c r="BZE26" s="128"/>
      <c r="BZF26" s="128"/>
      <c r="BZG26" s="128"/>
      <c r="BZH26" s="128"/>
      <c r="BZI26" s="128"/>
      <c r="BZJ26" s="128"/>
      <c r="BZK26" s="128"/>
      <c r="BZL26" s="128"/>
      <c r="BZM26" s="128"/>
      <c r="BZN26" s="128"/>
      <c r="BZO26" s="128"/>
      <c r="BZP26" s="128"/>
      <c r="BZQ26" s="128"/>
      <c r="BZR26" s="128"/>
      <c r="BZS26" s="128"/>
      <c r="BZT26" s="128"/>
      <c r="BZU26" s="128"/>
      <c r="BZV26" s="128"/>
      <c r="BZW26" s="128"/>
      <c r="BZX26" s="128"/>
      <c r="BZY26" s="128"/>
      <c r="BZZ26" s="128"/>
      <c r="CAA26" s="128"/>
      <c r="CAB26" s="128"/>
      <c r="CAC26" s="128"/>
      <c r="CAD26" s="128"/>
      <c r="CAE26" s="128"/>
      <c r="CAF26" s="128"/>
      <c r="CAG26" s="128"/>
      <c r="CAH26" s="128"/>
      <c r="CAI26" s="128"/>
      <c r="CAJ26" s="128"/>
      <c r="CAK26" s="128"/>
      <c r="CAL26" s="128"/>
      <c r="CAM26" s="128"/>
      <c r="CAN26" s="128"/>
      <c r="CAO26" s="128"/>
      <c r="CAP26" s="128"/>
      <c r="CAQ26" s="128"/>
      <c r="CAR26" s="128"/>
      <c r="CAS26" s="128"/>
      <c r="CAT26" s="128"/>
      <c r="CAU26" s="128"/>
      <c r="CAV26" s="128"/>
      <c r="CAW26" s="128"/>
      <c r="CAX26" s="128"/>
      <c r="CAY26" s="128"/>
      <c r="CAZ26" s="128"/>
      <c r="CBA26" s="128"/>
      <c r="CBB26" s="128"/>
      <c r="CBC26" s="128"/>
      <c r="CBD26" s="128"/>
      <c r="CBE26" s="128"/>
      <c r="CBF26" s="128"/>
      <c r="CBG26" s="128"/>
      <c r="CBH26" s="128"/>
      <c r="CBI26" s="128"/>
      <c r="CBJ26" s="128"/>
      <c r="CBK26" s="128"/>
      <c r="CBL26" s="128"/>
      <c r="CBM26" s="128"/>
      <c r="CBN26" s="128"/>
      <c r="CBO26" s="128"/>
      <c r="CBP26" s="128"/>
      <c r="CBQ26" s="128"/>
      <c r="CBR26" s="128"/>
      <c r="CBS26" s="128"/>
      <c r="CBT26" s="128"/>
      <c r="CBU26" s="128"/>
      <c r="CBV26" s="128"/>
      <c r="CBW26" s="128"/>
      <c r="CBX26" s="128"/>
      <c r="CBY26" s="128"/>
      <c r="CBZ26" s="128"/>
      <c r="CCA26" s="128"/>
      <c r="CCB26" s="128"/>
      <c r="CCC26" s="128"/>
      <c r="CCD26" s="128"/>
      <c r="CCE26" s="128"/>
      <c r="CCF26" s="128"/>
      <c r="CCG26" s="128"/>
      <c r="CCH26" s="128"/>
      <c r="CCI26" s="128"/>
      <c r="CCJ26" s="128"/>
      <c r="CCK26" s="128"/>
      <c r="CCL26" s="128"/>
      <c r="CCM26" s="128"/>
      <c r="CCN26" s="128"/>
      <c r="CCO26" s="128"/>
      <c r="CCP26" s="128"/>
      <c r="CCQ26" s="128"/>
      <c r="CCR26" s="128"/>
      <c r="CCS26" s="128"/>
      <c r="CCT26" s="128"/>
      <c r="CCU26" s="128"/>
      <c r="CCV26" s="128"/>
      <c r="CCW26" s="128"/>
      <c r="CCX26" s="128"/>
      <c r="CCY26" s="128"/>
      <c r="CCZ26" s="128"/>
      <c r="CDA26" s="128"/>
      <c r="CDB26" s="128"/>
      <c r="CDC26" s="128"/>
      <c r="CDD26" s="128"/>
      <c r="CDE26" s="128"/>
      <c r="CDF26" s="128"/>
      <c r="CDG26" s="128"/>
      <c r="CDH26" s="128"/>
      <c r="CDI26" s="128"/>
      <c r="CDJ26" s="128"/>
      <c r="CDK26" s="128"/>
      <c r="CDL26" s="128"/>
      <c r="CDM26" s="128"/>
      <c r="CDN26" s="128"/>
      <c r="CDO26" s="128"/>
      <c r="CDP26" s="128"/>
      <c r="CDQ26" s="128"/>
      <c r="CDR26" s="128"/>
      <c r="CDS26" s="128"/>
      <c r="CDT26" s="128"/>
      <c r="CDU26" s="128"/>
      <c r="CDV26" s="128"/>
      <c r="CDW26" s="128"/>
      <c r="CDX26" s="128"/>
      <c r="CDY26" s="128"/>
      <c r="CDZ26" s="128"/>
      <c r="CEA26" s="128"/>
      <c r="CEB26" s="128"/>
      <c r="CEC26" s="128"/>
      <c r="CED26" s="128"/>
      <c r="CEE26" s="128"/>
      <c r="CEF26" s="128"/>
      <c r="CEG26" s="128"/>
      <c r="CEH26" s="128"/>
      <c r="CEI26" s="128"/>
      <c r="CEJ26" s="128"/>
      <c r="CEK26" s="128"/>
      <c r="CEL26" s="128"/>
      <c r="CEM26" s="128"/>
      <c r="CEN26" s="128"/>
      <c r="CEO26" s="128"/>
      <c r="CEP26" s="128"/>
      <c r="CEQ26" s="128"/>
      <c r="CER26" s="128"/>
      <c r="CES26" s="128"/>
      <c r="CET26" s="128"/>
      <c r="CEU26" s="128"/>
      <c r="CEV26" s="128"/>
      <c r="CEW26" s="128"/>
      <c r="CEX26" s="128"/>
      <c r="CEY26" s="128"/>
      <c r="CEZ26" s="128"/>
      <c r="CFA26" s="128"/>
      <c r="CFB26" s="128"/>
      <c r="CFC26" s="128"/>
      <c r="CFD26" s="128"/>
      <c r="CFE26" s="128"/>
      <c r="CFF26" s="128"/>
      <c r="CFG26" s="128"/>
      <c r="CFH26" s="128"/>
      <c r="CFI26" s="128"/>
      <c r="CFJ26" s="128"/>
      <c r="CFK26" s="128"/>
      <c r="CFL26" s="128"/>
      <c r="CFM26" s="128"/>
      <c r="CFN26" s="128"/>
      <c r="CFO26" s="128"/>
      <c r="CFP26" s="128"/>
      <c r="CFQ26" s="128"/>
      <c r="CFR26" s="128"/>
      <c r="CFS26" s="128"/>
      <c r="CFT26" s="128"/>
      <c r="CFU26" s="128"/>
      <c r="CFV26" s="128"/>
      <c r="CFW26" s="128"/>
      <c r="CFX26" s="128"/>
      <c r="CFY26" s="128"/>
      <c r="CFZ26" s="128"/>
      <c r="CGA26" s="128"/>
      <c r="CGB26" s="128"/>
      <c r="CGC26" s="128"/>
      <c r="CGD26" s="128"/>
      <c r="CGE26" s="128"/>
      <c r="CGF26" s="128"/>
      <c r="CGG26" s="128"/>
      <c r="CGH26" s="128"/>
      <c r="CGI26" s="128"/>
      <c r="CGJ26" s="128"/>
      <c r="CGK26" s="128"/>
      <c r="CGL26" s="128"/>
      <c r="CGM26" s="128"/>
      <c r="CGN26" s="128"/>
      <c r="CGO26" s="128"/>
      <c r="CGP26" s="128"/>
      <c r="CGQ26" s="128"/>
      <c r="CGR26" s="128"/>
      <c r="CGS26" s="128"/>
      <c r="CGT26" s="128"/>
      <c r="CGU26" s="128"/>
      <c r="CGV26" s="128"/>
      <c r="CGW26" s="128"/>
      <c r="CGX26" s="128"/>
      <c r="CGY26" s="128"/>
      <c r="CGZ26" s="128"/>
      <c r="CHA26" s="128"/>
      <c r="CHB26" s="128"/>
      <c r="CHC26" s="128"/>
      <c r="CHD26" s="128"/>
      <c r="CHE26" s="128"/>
      <c r="CHF26" s="128"/>
      <c r="CHG26" s="128"/>
      <c r="CHH26" s="128"/>
      <c r="CHI26" s="128"/>
      <c r="CHJ26" s="128"/>
      <c r="CHK26" s="128"/>
      <c r="CHL26" s="128"/>
      <c r="CHM26" s="128"/>
      <c r="CHN26" s="128"/>
      <c r="CHO26" s="128"/>
      <c r="CHP26" s="128"/>
      <c r="CHQ26" s="128"/>
      <c r="CHR26" s="128"/>
      <c r="CHS26" s="128"/>
      <c r="CHT26" s="128"/>
      <c r="CHU26" s="128"/>
      <c r="CHV26" s="128"/>
      <c r="CHW26" s="128"/>
      <c r="CHX26" s="128"/>
      <c r="CHY26" s="128"/>
      <c r="CHZ26" s="128"/>
      <c r="CIA26" s="128"/>
      <c r="CIB26" s="128"/>
      <c r="CIC26" s="128"/>
      <c r="CID26" s="128"/>
      <c r="CIE26" s="128"/>
      <c r="CIF26" s="128"/>
      <c r="CIG26" s="128"/>
      <c r="CIH26" s="128"/>
      <c r="CII26" s="128"/>
      <c r="CIJ26" s="128"/>
      <c r="CIK26" s="128"/>
      <c r="CIL26" s="128"/>
      <c r="CIM26" s="128"/>
      <c r="CIN26" s="128"/>
      <c r="CIO26" s="128"/>
      <c r="CIP26" s="128"/>
      <c r="CIQ26" s="128"/>
      <c r="CIR26" s="128"/>
      <c r="CIS26" s="128"/>
      <c r="CIT26" s="128"/>
      <c r="CIU26" s="128"/>
      <c r="CIV26" s="128"/>
      <c r="CIW26" s="128"/>
      <c r="CIX26" s="128"/>
      <c r="CIY26" s="128"/>
      <c r="CIZ26" s="128"/>
      <c r="CJA26" s="128"/>
      <c r="CJB26" s="128"/>
      <c r="CJC26" s="128"/>
      <c r="CJD26" s="128"/>
      <c r="CJE26" s="128"/>
      <c r="CJF26" s="128"/>
      <c r="CJG26" s="128"/>
      <c r="CJH26" s="128"/>
      <c r="CJI26" s="128"/>
      <c r="CJJ26" s="128"/>
      <c r="CJK26" s="128"/>
      <c r="CJL26" s="128"/>
      <c r="CJM26" s="128"/>
      <c r="CJN26" s="128"/>
      <c r="CJO26" s="128"/>
      <c r="CJP26" s="128"/>
      <c r="CJQ26" s="128"/>
      <c r="CJR26" s="128"/>
      <c r="CJS26" s="128"/>
      <c r="CJT26" s="128"/>
      <c r="CJU26" s="128"/>
      <c r="CJV26" s="128"/>
      <c r="CJW26" s="128"/>
      <c r="CJX26" s="128"/>
      <c r="CJY26" s="128"/>
      <c r="CJZ26" s="128"/>
      <c r="CKA26" s="128"/>
      <c r="CKB26" s="128"/>
      <c r="CKC26" s="128"/>
      <c r="CKD26" s="128"/>
      <c r="CKE26" s="128"/>
      <c r="CKF26" s="128"/>
      <c r="CKG26" s="128"/>
      <c r="CKH26" s="128"/>
      <c r="CKI26" s="128"/>
      <c r="CKJ26" s="128"/>
      <c r="CKK26" s="128"/>
      <c r="CKL26" s="128"/>
      <c r="CKM26" s="128"/>
      <c r="CKN26" s="128"/>
      <c r="CKO26" s="128"/>
      <c r="CKP26" s="128"/>
      <c r="CKQ26" s="128"/>
      <c r="CKR26" s="128"/>
      <c r="CKS26" s="128"/>
      <c r="CKT26" s="128"/>
      <c r="CKU26" s="128"/>
      <c r="CKV26" s="128"/>
      <c r="CKW26" s="128"/>
      <c r="CKX26" s="128"/>
      <c r="CKY26" s="128"/>
      <c r="CKZ26" s="128"/>
      <c r="CLA26" s="128"/>
      <c r="CLB26" s="128"/>
      <c r="CLC26" s="128"/>
      <c r="CLD26" s="128"/>
      <c r="CLE26" s="128"/>
      <c r="CLF26" s="128"/>
      <c r="CLG26" s="128"/>
      <c r="CLH26" s="128"/>
      <c r="CLI26" s="128"/>
      <c r="CLJ26" s="128"/>
      <c r="CLK26" s="128"/>
      <c r="CLL26" s="128"/>
      <c r="CLM26" s="128"/>
      <c r="CLN26" s="128"/>
      <c r="CLO26" s="128"/>
      <c r="CLP26" s="128"/>
      <c r="CLQ26" s="128"/>
      <c r="CLR26" s="128"/>
      <c r="CLS26" s="128"/>
      <c r="CLT26" s="128"/>
      <c r="CLU26" s="128"/>
      <c r="CLV26" s="128"/>
      <c r="CLW26" s="128"/>
      <c r="CLX26" s="128"/>
      <c r="CLY26" s="128"/>
      <c r="CLZ26" s="128"/>
      <c r="CMA26" s="128"/>
      <c r="CMB26" s="128"/>
      <c r="CMC26" s="128"/>
      <c r="CMD26" s="128"/>
      <c r="CME26" s="128"/>
      <c r="CMF26" s="128"/>
      <c r="CMG26" s="128"/>
      <c r="CMH26" s="128"/>
      <c r="CMI26" s="128"/>
      <c r="CMJ26" s="128"/>
      <c r="CMK26" s="128"/>
      <c r="CML26" s="128"/>
      <c r="CMM26" s="128"/>
      <c r="CMN26" s="128"/>
      <c r="CMO26" s="128"/>
      <c r="CMP26" s="128"/>
      <c r="CMQ26" s="128"/>
      <c r="CMR26" s="128"/>
      <c r="CMS26" s="128"/>
      <c r="CMT26" s="128"/>
      <c r="CMU26" s="128"/>
      <c r="CMV26" s="128"/>
      <c r="CMW26" s="128"/>
      <c r="CMX26" s="128"/>
      <c r="CMY26" s="128"/>
      <c r="CMZ26" s="128"/>
      <c r="CNA26" s="128"/>
      <c r="CNB26" s="128"/>
      <c r="CNC26" s="128"/>
      <c r="CND26" s="128"/>
      <c r="CNE26" s="128"/>
      <c r="CNF26" s="128"/>
      <c r="CNG26" s="128"/>
      <c r="CNH26" s="128"/>
      <c r="CNI26" s="128"/>
      <c r="CNJ26" s="128"/>
      <c r="CNK26" s="128"/>
      <c r="CNL26" s="128"/>
      <c r="CNM26" s="128"/>
      <c r="CNN26" s="128"/>
      <c r="CNO26" s="128"/>
      <c r="CNP26" s="128"/>
      <c r="CNQ26" s="128"/>
      <c r="CNR26" s="128"/>
      <c r="CNS26" s="128"/>
      <c r="CNT26" s="128"/>
      <c r="CNU26" s="128"/>
      <c r="CNV26" s="128"/>
      <c r="CNW26" s="128"/>
      <c r="CNX26" s="128"/>
      <c r="CNY26" s="128"/>
      <c r="CNZ26" s="128"/>
      <c r="COA26" s="128"/>
      <c r="COB26" s="128"/>
      <c r="COC26" s="128"/>
      <c r="COD26" s="128"/>
      <c r="COE26" s="128"/>
      <c r="COF26" s="128"/>
      <c r="COG26" s="128"/>
      <c r="COH26" s="128"/>
      <c r="COI26" s="128"/>
      <c r="COJ26" s="128"/>
      <c r="COK26" s="128"/>
      <c r="COL26" s="128"/>
      <c r="COM26" s="128"/>
      <c r="CON26" s="128"/>
      <c r="COO26" s="128"/>
      <c r="COP26" s="128"/>
      <c r="COQ26" s="128"/>
      <c r="COR26" s="128"/>
      <c r="COS26" s="128"/>
      <c r="COT26" s="128"/>
      <c r="COU26" s="128"/>
      <c r="COV26" s="128"/>
      <c r="COW26" s="128"/>
      <c r="COX26" s="128"/>
      <c r="COY26" s="128"/>
      <c r="COZ26" s="128"/>
      <c r="CPA26" s="128"/>
      <c r="CPB26" s="128"/>
      <c r="CPC26" s="128"/>
      <c r="CPD26" s="128"/>
      <c r="CPE26" s="128"/>
      <c r="CPF26" s="128"/>
      <c r="CPG26" s="128"/>
      <c r="CPH26" s="128"/>
      <c r="CPI26" s="128"/>
      <c r="CPJ26" s="128"/>
      <c r="CPK26" s="128"/>
      <c r="CPL26" s="128"/>
      <c r="CPM26" s="128"/>
      <c r="CPN26" s="128"/>
      <c r="CPO26" s="128"/>
      <c r="CPP26" s="128"/>
      <c r="CPQ26" s="128"/>
      <c r="CPR26" s="128"/>
      <c r="CPS26" s="128"/>
      <c r="CPT26" s="128"/>
      <c r="CPU26" s="128"/>
      <c r="CPV26" s="128"/>
      <c r="CPW26" s="128"/>
      <c r="CPX26" s="128"/>
      <c r="CPY26" s="128"/>
      <c r="CPZ26" s="128"/>
      <c r="CQA26" s="128"/>
      <c r="CQB26" s="128"/>
      <c r="CQC26" s="128"/>
      <c r="CQD26" s="128"/>
      <c r="CQE26" s="128"/>
      <c r="CQF26" s="128"/>
      <c r="CQG26" s="128"/>
      <c r="CQH26" s="128"/>
      <c r="CQI26" s="128"/>
      <c r="CQJ26" s="128"/>
      <c r="CQK26" s="128"/>
      <c r="CQL26" s="128"/>
      <c r="CQM26" s="128"/>
      <c r="CQN26" s="128"/>
      <c r="CQO26" s="128"/>
      <c r="CQP26" s="128"/>
      <c r="CQQ26" s="128"/>
      <c r="CQR26" s="128"/>
      <c r="CQS26" s="128"/>
      <c r="CQT26" s="128"/>
      <c r="CQU26" s="128"/>
      <c r="CQV26" s="128"/>
      <c r="CQW26" s="128"/>
      <c r="CQX26" s="128"/>
      <c r="CQY26" s="128"/>
      <c r="CQZ26" s="128"/>
      <c r="CRA26" s="128"/>
      <c r="CRB26" s="128"/>
      <c r="CRC26" s="128"/>
      <c r="CRD26" s="128"/>
      <c r="CRE26" s="128"/>
      <c r="CRF26" s="128"/>
      <c r="CRG26" s="128"/>
      <c r="CRH26" s="128"/>
      <c r="CRI26" s="128"/>
      <c r="CRJ26" s="128"/>
      <c r="CRK26" s="128"/>
      <c r="CRL26" s="128"/>
      <c r="CRM26" s="128"/>
      <c r="CRN26" s="128"/>
      <c r="CRO26" s="128"/>
      <c r="CRP26" s="128"/>
      <c r="CRQ26" s="128"/>
      <c r="CRR26" s="128"/>
      <c r="CRS26" s="128"/>
      <c r="CRT26" s="128"/>
      <c r="CRU26" s="128"/>
      <c r="CRV26" s="128"/>
      <c r="CRW26" s="128"/>
      <c r="CRX26" s="128"/>
      <c r="CRY26" s="128"/>
      <c r="CRZ26" s="128"/>
      <c r="CSA26" s="128"/>
      <c r="CSB26" s="128"/>
      <c r="CSC26" s="128"/>
      <c r="CSD26" s="128"/>
      <c r="CSE26" s="128"/>
      <c r="CSF26" s="128"/>
      <c r="CSG26" s="128"/>
      <c r="CSH26" s="128"/>
      <c r="CSI26" s="128"/>
      <c r="CSJ26" s="128"/>
      <c r="CSK26" s="128"/>
      <c r="CSL26" s="128"/>
      <c r="CSM26" s="128"/>
      <c r="CSN26" s="128"/>
      <c r="CSO26" s="128"/>
      <c r="CSP26" s="128"/>
      <c r="CSQ26" s="128"/>
      <c r="CSR26" s="128"/>
      <c r="CSS26" s="128"/>
      <c r="CST26" s="128"/>
      <c r="CSU26" s="128"/>
      <c r="CSV26" s="128"/>
      <c r="CSW26" s="128"/>
      <c r="CSX26" s="128"/>
      <c r="CSY26" s="128"/>
      <c r="CSZ26" s="128"/>
      <c r="CTA26" s="128"/>
      <c r="CTB26" s="128"/>
      <c r="CTC26" s="128"/>
      <c r="CTD26" s="128"/>
      <c r="CTE26" s="128"/>
      <c r="CTF26" s="128"/>
      <c r="CTG26" s="128"/>
      <c r="CTH26" s="128"/>
      <c r="CTI26" s="128"/>
      <c r="CTJ26" s="128"/>
      <c r="CTK26" s="128"/>
      <c r="CTL26" s="128"/>
      <c r="CTM26" s="128"/>
      <c r="CTN26" s="128"/>
      <c r="CTO26" s="128"/>
      <c r="CTP26" s="128"/>
      <c r="CTQ26" s="128"/>
      <c r="CTR26" s="128"/>
      <c r="CTS26" s="128"/>
      <c r="CTT26" s="128"/>
      <c r="CTU26" s="128"/>
      <c r="CTV26" s="128"/>
      <c r="CTW26" s="128"/>
      <c r="CTX26" s="128"/>
      <c r="CTY26" s="128"/>
      <c r="CTZ26" s="128"/>
      <c r="CUA26" s="128"/>
      <c r="CUB26" s="128"/>
      <c r="CUC26" s="128"/>
      <c r="CUD26" s="128"/>
      <c r="CUE26" s="128"/>
      <c r="CUF26" s="128"/>
      <c r="CUG26" s="128"/>
      <c r="CUH26" s="128"/>
      <c r="CUI26" s="128"/>
      <c r="CUJ26" s="128"/>
      <c r="CUK26" s="128"/>
      <c r="CUL26" s="128"/>
      <c r="CUM26" s="128"/>
      <c r="CUN26" s="128"/>
      <c r="CUO26" s="128"/>
      <c r="CUP26" s="128"/>
      <c r="CUQ26" s="128"/>
      <c r="CUR26" s="128"/>
      <c r="CUS26" s="128"/>
      <c r="CUT26" s="128"/>
      <c r="CUU26" s="128"/>
      <c r="CUV26" s="128"/>
      <c r="CUW26" s="128"/>
      <c r="CUX26" s="128"/>
      <c r="CUY26" s="128"/>
      <c r="CUZ26" s="128"/>
      <c r="CVA26" s="128"/>
      <c r="CVB26" s="128"/>
      <c r="CVC26" s="128"/>
      <c r="CVD26" s="128"/>
      <c r="CVE26" s="128"/>
      <c r="CVF26" s="128"/>
      <c r="CVG26" s="128"/>
      <c r="CVH26" s="128"/>
      <c r="CVI26" s="128"/>
      <c r="CVJ26" s="128"/>
      <c r="CVK26" s="128"/>
      <c r="CVL26" s="128"/>
      <c r="CVM26" s="128"/>
      <c r="CVN26" s="128"/>
      <c r="CVO26" s="128"/>
      <c r="CVP26" s="128"/>
      <c r="CVQ26" s="128"/>
      <c r="CVR26" s="128"/>
      <c r="CVS26" s="128"/>
      <c r="CVT26" s="128"/>
      <c r="CVU26" s="128"/>
      <c r="CVV26" s="128"/>
      <c r="CVW26" s="128"/>
      <c r="CVX26" s="128"/>
      <c r="CVY26" s="128"/>
      <c r="CVZ26" s="128"/>
      <c r="CWA26" s="128"/>
      <c r="CWB26" s="128"/>
      <c r="CWC26" s="128"/>
      <c r="CWD26" s="128"/>
      <c r="CWE26" s="128"/>
      <c r="CWF26" s="128"/>
      <c r="CWG26" s="128"/>
      <c r="CWH26" s="128"/>
      <c r="CWI26" s="128"/>
      <c r="CWJ26" s="128"/>
      <c r="CWK26" s="128"/>
      <c r="CWL26" s="128"/>
      <c r="CWM26" s="128"/>
      <c r="CWN26" s="128"/>
      <c r="CWO26" s="128"/>
      <c r="CWP26" s="128"/>
      <c r="CWQ26" s="128"/>
      <c r="CWR26" s="128"/>
      <c r="CWS26" s="128"/>
      <c r="CWT26" s="128"/>
      <c r="CWU26" s="128"/>
      <c r="CWV26" s="128"/>
      <c r="CWW26" s="128"/>
      <c r="CWX26" s="128"/>
      <c r="CWY26" s="128"/>
      <c r="CWZ26" s="128"/>
      <c r="CXA26" s="128"/>
      <c r="CXB26" s="128"/>
      <c r="CXC26" s="128"/>
      <c r="CXD26" s="128"/>
      <c r="CXE26" s="128"/>
      <c r="CXF26" s="128"/>
      <c r="CXG26" s="128"/>
      <c r="CXH26" s="128"/>
      <c r="CXI26" s="128"/>
      <c r="CXJ26" s="128"/>
      <c r="CXK26" s="128"/>
      <c r="CXL26" s="128"/>
      <c r="CXM26" s="128"/>
      <c r="CXN26" s="128"/>
      <c r="CXO26" s="128"/>
      <c r="CXP26" s="128"/>
      <c r="CXQ26" s="128"/>
      <c r="CXR26" s="128"/>
      <c r="CXS26" s="128"/>
      <c r="CXT26" s="128"/>
      <c r="CXU26" s="128"/>
      <c r="CXV26" s="128"/>
      <c r="CXW26" s="128"/>
      <c r="CXX26" s="128"/>
      <c r="CXY26" s="128"/>
      <c r="CXZ26" s="128"/>
      <c r="CYA26" s="128"/>
      <c r="CYB26" s="128"/>
      <c r="CYC26" s="128"/>
      <c r="CYD26" s="128"/>
      <c r="CYE26" s="128"/>
      <c r="CYF26" s="128"/>
      <c r="CYG26" s="128"/>
      <c r="CYH26" s="128"/>
      <c r="CYI26" s="128"/>
      <c r="CYJ26" s="128"/>
      <c r="CYK26" s="128"/>
      <c r="CYL26" s="128"/>
      <c r="CYM26" s="128"/>
      <c r="CYN26" s="128"/>
      <c r="CYO26" s="128"/>
      <c r="CYP26" s="128"/>
      <c r="CYQ26" s="128"/>
      <c r="CYR26" s="128"/>
      <c r="CYS26" s="128"/>
      <c r="CYT26" s="128"/>
      <c r="CYU26" s="128"/>
      <c r="CYV26" s="128"/>
      <c r="CYW26" s="128"/>
      <c r="CYX26" s="128"/>
      <c r="CYY26" s="128"/>
      <c r="CYZ26" s="128"/>
      <c r="CZA26" s="128"/>
      <c r="CZB26" s="128"/>
      <c r="CZC26" s="128"/>
      <c r="CZD26" s="128"/>
      <c r="CZE26" s="128"/>
      <c r="CZF26" s="128"/>
      <c r="CZG26" s="128"/>
      <c r="CZH26" s="128"/>
      <c r="CZI26" s="128"/>
      <c r="CZJ26" s="128"/>
      <c r="CZK26" s="128"/>
      <c r="CZL26" s="128"/>
      <c r="CZM26" s="128"/>
      <c r="CZN26" s="128"/>
      <c r="CZO26" s="128"/>
      <c r="CZP26" s="128"/>
      <c r="CZQ26" s="128"/>
      <c r="CZR26" s="128"/>
      <c r="CZS26" s="128"/>
      <c r="CZT26" s="128"/>
      <c r="CZU26" s="128"/>
      <c r="CZV26" s="128"/>
      <c r="CZW26" s="128"/>
      <c r="CZX26" s="128"/>
      <c r="CZY26" s="128"/>
      <c r="CZZ26" s="128"/>
      <c r="DAA26" s="128"/>
      <c r="DAB26" s="128"/>
      <c r="DAC26" s="128"/>
      <c r="DAD26" s="128"/>
      <c r="DAE26" s="128"/>
      <c r="DAF26" s="128"/>
      <c r="DAG26" s="128"/>
      <c r="DAH26" s="128"/>
      <c r="DAI26" s="128"/>
      <c r="DAJ26" s="128"/>
      <c r="DAK26" s="128"/>
      <c r="DAL26" s="128"/>
      <c r="DAM26" s="128"/>
      <c r="DAN26" s="128"/>
      <c r="DAO26" s="128"/>
      <c r="DAP26" s="128"/>
      <c r="DAQ26" s="128"/>
      <c r="DAR26" s="128"/>
      <c r="DAS26" s="128"/>
      <c r="DAT26" s="128"/>
      <c r="DAU26" s="128"/>
      <c r="DAV26" s="128"/>
      <c r="DAW26" s="128"/>
      <c r="DAX26" s="128"/>
      <c r="DAY26" s="128"/>
      <c r="DAZ26" s="128"/>
      <c r="DBA26" s="128"/>
      <c r="DBB26" s="128"/>
      <c r="DBC26" s="128"/>
      <c r="DBD26" s="128"/>
      <c r="DBE26" s="128"/>
      <c r="DBF26" s="128"/>
      <c r="DBG26" s="128"/>
      <c r="DBH26" s="128"/>
      <c r="DBI26" s="128"/>
      <c r="DBJ26" s="128"/>
      <c r="DBK26" s="128"/>
      <c r="DBL26" s="128"/>
      <c r="DBM26" s="128"/>
      <c r="DBN26" s="128"/>
      <c r="DBO26" s="128"/>
      <c r="DBP26" s="128"/>
      <c r="DBQ26" s="128"/>
      <c r="DBR26" s="128"/>
      <c r="DBS26" s="128"/>
      <c r="DBT26" s="128"/>
      <c r="DBU26" s="128"/>
      <c r="DBV26" s="128"/>
      <c r="DBW26" s="128"/>
      <c r="DBX26" s="128"/>
      <c r="DBY26" s="128"/>
      <c r="DBZ26" s="128"/>
      <c r="DCA26" s="128"/>
      <c r="DCB26" s="128"/>
      <c r="DCC26" s="128"/>
      <c r="DCD26" s="128"/>
      <c r="DCE26" s="128"/>
      <c r="DCF26" s="128"/>
      <c r="DCG26" s="128"/>
      <c r="DCH26" s="128"/>
      <c r="DCI26" s="128"/>
      <c r="DCJ26" s="128"/>
      <c r="DCK26" s="128"/>
      <c r="DCL26" s="128"/>
      <c r="DCM26" s="128"/>
      <c r="DCN26" s="128"/>
      <c r="DCO26" s="128"/>
      <c r="DCP26" s="128"/>
      <c r="DCQ26" s="128"/>
      <c r="DCR26" s="128"/>
      <c r="DCS26" s="128"/>
      <c r="DCT26" s="128"/>
      <c r="DCU26" s="128"/>
      <c r="DCV26" s="128"/>
      <c r="DCW26" s="128"/>
      <c r="DCX26" s="128"/>
      <c r="DCY26" s="128"/>
      <c r="DCZ26" s="128"/>
      <c r="DDA26" s="128"/>
      <c r="DDB26" s="128"/>
      <c r="DDC26" s="128"/>
      <c r="DDD26" s="128"/>
      <c r="DDE26" s="128"/>
      <c r="DDF26" s="128"/>
      <c r="DDG26" s="128"/>
      <c r="DDH26" s="128"/>
      <c r="DDI26" s="128"/>
      <c r="DDJ26" s="128"/>
      <c r="DDK26" s="128"/>
      <c r="DDL26" s="128"/>
      <c r="DDM26" s="128"/>
      <c r="DDN26" s="128"/>
      <c r="DDO26" s="128"/>
      <c r="DDP26" s="128"/>
      <c r="DDQ26" s="128"/>
      <c r="DDR26" s="128"/>
      <c r="DDS26" s="128"/>
      <c r="DDT26" s="128"/>
      <c r="DDU26" s="128"/>
      <c r="DDV26" s="128"/>
      <c r="DDW26" s="128"/>
      <c r="DDX26" s="128"/>
      <c r="DDY26" s="128"/>
      <c r="DDZ26" s="128"/>
      <c r="DEA26" s="128"/>
      <c r="DEB26" s="128"/>
      <c r="DEC26" s="128"/>
      <c r="DED26" s="128"/>
      <c r="DEE26" s="128"/>
      <c r="DEF26" s="128"/>
      <c r="DEG26" s="128"/>
      <c r="DEH26" s="128"/>
      <c r="DEI26" s="128"/>
      <c r="DEJ26" s="128"/>
      <c r="DEK26" s="128"/>
      <c r="DEL26" s="128"/>
      <c r="DEM26" s="128"/>
      <c r="DEN26" s="128"/>
      <c r="DEO26" s="128"/>
      <c r="DEP26" s="128"/>
      <c r="DEQ26" s="128"/>
      <c r="DER26" s="128"/>
      <c r="DES26" s="128"/>
      <c r="DET26" s="128"/>
      <c r="DEU26" s="128"/>
      <c r="DEV26" s="128"/>
      <c r="DEW26" s="128"/>
      <c r="DEX26" s="128"/>
      <c r="DEY26" s="128"/>
      <c r="DEZ26" s="128"/>
      <c r="DFA26" s="128"/>
      <c r="DFB26" s="128"/>
      <c r="DFC26" s="128"/>
      <c r="DFD26" s="128"/>
      <c r="DFE26" s="128"/>
      <c r="DFF26" s="128"/>
      <c r="DFG26" s="128"/>
      <c r="DFH26" s="128"/>
      <c r="DFI26" s="128"/>
      <c r="DFJ26" s="128"/>
      <c r="DFK26" s="128"/>
      <c r="DFL26" s="128"/>
      <c r="DFM26" s="128"/>
      <c r="DFN26" s="128"/>
      <c r="DFO26" s="128"/>
      <c r="DFP26" s="128"/>
      <c r="DFQ26" s="128"/>
      <c r="DFR26" s="128"/>
      <c r="DFS26" s="128"/>
      <c r="DFT26" s="128"/>
      <c r="DFU26" s="128"/>
      <c r="DFV26" s="128"/>
      <c r="DFW26" s="128"/>
      <c r="DFX26" s="128"/>
      <c r="DFY26" s="128"/>
      <c r="DFZ26" s="128"/>
      <c r="DGA26" s="128"/>
      <c r="DGB26" s="128"/>
      <c r="DGC26" s="128"/>
      <c r="DGD26" s="128"/>
      <c r="DGE26" s="128"/>
      <c r="DGF26" s="128"/>
      <c r="DGG26" s="128"/>
      <c r="DGH26" s="128"/>
      <c r="DGI26" s="128"/>
      <c r="DGJ26" s="128"/>
      <c r="DGK26" s="128"/>
      <c r="DGL26" s="128"/>
      <c r="DGM26" s="128"/>
      <c r="DGN26" s="128"/>
      <c r="DGO26" s="128"/>
      <c r="DGP26" s="128"/>
      <c r="DGQ26" s="128"/>
      <c r="DGR26" s="128"/>
      <c r="DGS26" s="128"/>
      <c r="DGT26" s="128"/>
      <c r="DGU26" s="128"/>
      <c r="DGV26" s="128"/>
      <c r="DGW26" s="128"/>
      <c r="DGX26" s="128"/>
      <c r="DGY26" s="128"/>
      <c r="DGZ26" s="128"/>
      <c r="DHA26" s="128"/>
      <c r="DHB26" s="128"/>
      <c r="DHC26" s="128"/>
      <c r="DHD26" s="128"/>
      <c r="DHE26" s="128"/>
      <c r="DHF26" s="128"/>
      <c r="DHG26" s="128"/>
      <c r="DHH26" s="128"/>
      <c r="DHI26" s="128"/>
      <c r="DHJ26" s="128"/>
      <c r="DHK26" s="128"/>
      <c r="DHL26" s="128"/>
      <c r="DHM26" s="128"/>
      <c r="DHN26" s="128"/>
      <c r="DHO26" s="128"/>
      <c r="DHP26" s="128"/>
      <c r="DHQ26" s="128"/>
      <c r="DHR26" s="128"/>
      <c r="DHS26" s="128"/>
      <c r="DHT26" s="128"/>
      <c r="DHU26" s="128"/>
      <c r="DHV26" s="128"/>
      <c r="DHW26" s="128"/>
      <c r="DHX26" s="128"/>
      <c r="DHY26" s="128"/>
      <c r="DHZ26" s="128"/>
      <c r="DIA26" s="128"/>
      <c r="DIB26" s="128"/>
      <c r="DIC26" s="128"/>
    </row>
    <row r="27" spans="1:2941" s="154" customFormat="1" ht="12" x14ac:dyDescent="0.2">
      <c r="A27" s="155"/>
      <c r="B27" s="142"/>
      <c r="C27" s="142"/>
      <c r="D27" s="142"/>
      <c r="E27" s="142"/>
      <c r="F27" s="142"/>
      <c r="G27" s="142"/>
      <c r="H27" s="236"/>
      <c r="I27" s="151"/>
      <c r="J27" s="151"/>
      <c r="K27" s="151"/>
      <c r="L27" s="151"/>
      <c r="M27" s="151"/>
      <c r="N27" s="151"/>
      <c r="O27" s="199"/>
      <c r="P27" s="206"/>
      <c r="Q27" s="206"/>
      <c r="R27" s="206"/>
      <c r="S27" s="206"/>
      <c r="T27" s="206"/>
      <c r="U27" s="206"/>
      <c r="V27" s="206"/>
      <c r="W27" s="206"/>
      <c r="X27" s="206"/>
      <c r="Y27" s="206"/>
      <c r="Z27" s="206"/>
      <c r="AA27" s="206"/>
      <c r="AB27" s="206"/>
      <c r="AC27" s="206"/>
      <c r="AD27" s="206"/>
      <c r="AE27" s="206"/>
      <c r="AF27" s="206"/>
      <c r="AG27" s="206"/>
      <c r="AH27" s="206"/>
      <c r="AI27" s="206"/>
      <c r="AJ27" s="187"/>
      <c r="AK27" s="206"/>
      <c r="AL27" s="206"/>
      <c r="AM27" s="206"/>
      <c r="AN27" s="206"/>
      <c r="AO27" s="206"/>
      <c r="AP27" s="206"/>
      <c r="AQ27" s="206"/>
      <c r="AR27" s="206"/>
      <c r="AS27" s="206"/>
      <c r="AT27" s="206"/>
      <c r="AU27" s="206"/>
      <c r="AV27" s="206"/>
      <c r="AW27" s="206"/>
      <c r="AX27" s="206"/>
      <c r="AY27" s="206"/>
      <c r="AZ27" s="206"/>
      <c r="BA27" s="206"/>
      <c r="BB27" s="206"/>
      <c r="BC27" s="206"/>
      <c r="BD27" s="206"/>
      <c r="BE27" s="206"/>
      <c r="BF27" s="206"/>
      <c r="BG27" s="206"/>
      <c r="BH27" s="174"/>
      <c r="BI27" s="174"/>
      <c r="BJ27" s="174"/>
      <c r="BK27" s="174"/>
      <c r="BL27" s="174"/>
      <c r="BM27" s="174"/>
      <c r="BN27" s="174"/>
      <c r="BO27" s="174"/>
      <c r="BP27" s="174"/>
      <c r="BQ27" s="206"/>
      <c r="BR27" s="206"/>
      <c r="BS27" s="206"/>
      <c r="BT27" s="206"/>
      <c r="BU27" s="206"/>
      <c r="BV27" s="206"/>
      <c r="BW27" s="206"/>
      <c r="BX27" s="206"/>
      <c r="BY27" s="206"/>
      <c r="BZ27" s="206"/>
      <c r="CA27" s="206"/>
      <c r="CB27" s="206"/>
      <c r="CC27" s="206"/>
      <c r="CD27" s="206"/>
      <c r="CE27" s="206"/>
      <c r="CF27" s="206"/>
      <c r="CG27" s="206"/>
      <c r="CH27" s="206"/>
      <c r="CI27" s="206"/>
      <c r="CJ27" s="206"/>
      <c r="CK27" s="206"/>
      <c r="CL27" s="206"/>
      <c r="CM27" s="206"/>
      <c r="CN27" s="206"/>
      <c r="CO27" s="206"/>
      <c r="CP27" s="206"/>
      <c r="CQ27" s="206"/>
      <c r="CR27" s="206"/>
      <c r="CS27" s="206"/>
      <c r="CT27" s="206"/>
      <c r="CU27" s="206"/>
      <c r="CV27" s="206"/>
      <c r="CW27" s="206"/>
      <c r="CX27" s="206"/>
      <c r="CY27" s="206"/>
      <c r="CZ27" s="206"/>
      <c r="DA27" s="206"/>
      <c r="DB27" s="206"/>
      <c r="DC27" s="206"/>
      <c r="DD27" s="206"/>
      <c r="DE27" s="206"/>
      <c r="DF27" s="206"/>
      <c r="DG27" s="241"/>
      <c r="DH27" s="241"/>
      <c r="DI27" s="242"/>
      <c r="DJ27" s="242"/>
      <c r="DK27" s="128"/>
      <c r="DL27" s="128"/>
      <c r="DM27" s="128"/>
      <c r="DN27" s="128"/>
      <c r="DO27" s="128"/>
      <c r="DP27" s="128"/>
      <c r="DQ27" s="128"/>
      <c r="DR27" s="128"/>
      <c r="DS27" s="128"/>
      <c r="DT27" s="128"/>
      <c r="DU27" s="128"/>
      <c r="DV27" s="128"/>
      <c r="DW27" s="128"/>
      <c r="DX27" s="128"/>
      <c r="DY27" s="128"/>
      <c r="DZ27" s="128"/>
      <c r="EA27" s="128"/>
      <c r="EB27" s="128"/>
      <c r="EC27" s="128"/>
      <c r="ED27" s="128"/>
      <c r="EE27" s="128"/>
      <c r="EF27" s="128"/>
      <c r="EG27" s="128"/>
      <c r="EH27" s="128"/>
      <c r="EI27" s="128"/>
      <c r="EJ27" s="128"/>
      <c r="EK27" s="128"/>
      <c r="EL27" s="128"/>
      <c r="EM27" s="128"/>
      <c r="EN27" s="128"/>
      <c r="EO27" s="128"/>
      <c r="EP27" s="128"/>
      <c r="EQ27" s="128"/>
      <c r="ER27" s="128"/>
      <c r="ES27" s="128"/>
      <c r="ET27" s="128"/>
      <c r="EU27" s="128"/>
      <c r="EV27" s="128"/>
      <c r="EW27" s="128"/>
      <c r="EX27" s="128"/>
      <c r="EY27" s="128"/>
      <c r="EZ27" s="128"/>
      <c r="FA27" s="128"/>
      <c r="FB27" s="128"/>
      <c r="FC27" s="128"/>
      <c r="FD27" s="128"/>
      <c r="FE27" s="128"/>
      <c r="FF27" s="128"/>
      <c r="FG27" s="128"/>
      <c r="FH27" s="128"/>
      <c r="FI27" s="128"/>
      <c r="FJ27" s="128"/>
      <c r="FK27" s="128"/>
      <c r="FL27" s="128"/>
      <c r="FM27" s="128"/>
      <c r="FN27" s="128"/>
      <c r="FO27" s="128"/>
      <c r="FP27" s="128"/>
      <c r="FQ27" s="128"/>
      <c r="FR27" s="128"/>
      <c r="FS27" s="128"/>
      <c r="FT27" s="128"/>
      <c r="FU27" s="128"/>
      <c r="FV27" s="128"/>
      <c r="FW27" s="128"/>
      <c r="FX27" s="128"/>
      <c r="FY27" s="128"/>
      <c r="FZ27" s="128"/>
      <c r="GA27" s="128"/>
      <c r="GB27" s="128"/>
      <c r="GC27" s="128"/>
      <c r="GD27" s="128"/>
      <c r="GE27" s="128"/>
      <c r="GF27" s="128"/>
      <c r="GG27" s="128"/>
      <c r="GH27" s="128"/>
      <c r="GI27" s="128"/>
      <c r="GJ27" s="128"/>
      <c r="GK27" s="128"/>
      <c r="GL27" s="128"/>
      <c r="GM27" s="128"/>
      <c r="GN27" s="128"/>
      <c r="GO27" s="128"/>
      <c r="GP27" s="128"/>
      <c r="GQ27" s="128"/>
      <c r="GR27" s="128"/>
      <c r="GS27" s="128"/>
      <c r="GT27" s="128"/>
      <c r="GU27" s="128"/>
      <c r="GV27" s="128"/>
      <c r="GW27" s="128"/>
      <c r="GX27" s="128"/>
      <c r="GY27" s="128"/>
      <c r="GZ27" s="128"/>
      <c r="HA27" s="128"/>
      <c r="HB27" s="128"/>
      <c r="HC27" s="128"/>
      <c r="HD27" s="128"/>
      <c r="HE27" s="128"/>
      <c r="HF27" s="128"/>
      <c r="HG27" s="128"/>
      <c r="HH27" s="128"/>
      <c r="HI27" s="128"/>
      <c r="HJ27" s="128"/>
      <c r="HK27" s="128"/>
      <c r="HL27" s="128"/>
      <c r="HM27" s="128"/>
      <c r="HN27" s="128"/>
      <c r="HO27" s="128"/>
      <c r="HP27" s="128"/>
      <c r="HQ27" s="128"/>
      <c r="HR27" s="128"/>
      <c r="HS27" s="128"/>
      <c r="HT27" s="128"/>
      <c r="HU27" s="128"/>
      <c r="HV27" s="128"/>
      <c r="HW27" s="128"/>
      <c r="HX27" s="128"/>
      <c r="HY27" s="128"/>
      <c r="HZ27" s="128"/>
      <c r="IA27" s="128"/>
      <c r="IB27" s="128"/>
      <c r="IC27" s="128"/>
      <c r="ID27" s="128"/>
      <c r="IE27" s="128"/>
      <c r="IF27" s="128"/>
      <c r="IG27" s="128"/>
      <c r="IH27" s="128"/>
      <c r="II27" s="128"/>
      <c r="IJ27" s="128"/>
      <c r="IK27" s="128"/>
      <c r="IL27" s="128"/>
      <c r="IM27" s="128"/>
      <c r="IN27" s="128"/>
      <c r="IO27" s="128"/>
      <c r="IP27" s="128"/>
      <c r="IQ27" s="128"/>
      <c r="IR27" s="128"/>
      <c r="IS27" s="128"/>
      <c r="IT27" s="128"/>
      <c r="IU27" s="128"/>
      <c r="IV27" s="128"/>
      <c r="IW27" s="128"/>
      <c r="IX27" s="128"/>
      <c r="IY27" s="128"/>
      <c r="IZ27" s="128"/>
      <c r="JA27" s="128"/>
      <c r="JB27" s="128"/>
      <c r="JC27" s="128"/>
      <c r="JD27" s="128"/>
      <c r="JE27" s="128"/>
      <c r="JF27" s="128"/>
      <c r="JG27" s="128"/>
      <c r="JH27" s="128"/>
      <c r="JI27" s="128"/>
      <c r="JJ27" s="128"/>
      <c r="JK27" s="128"/>
      <c r="JL27" s="128"/>
      <c r="JM27" s="128"/>
      <c r="JN27" s="128"/>
      <c r="JO27" s="128"/>
      <c r="JP27" s="128"/>
      <c r="JQ27" s="128"/>
      <c r="JR27" s="128"/>
      <c r="JS27" s="128"/>
      <c r="JT27" s="128"/>
      <c r="JU27" s="128"/>
      <c r="JV27" s="128"/>
      <c r="JW27" s="128"/>
      <c r="JX27" s="128"/>
      <c r="JY27" s="128"/>
      <c r="JZ27" s="128"/>
      <c r="KA27" s="128"/>
      <c r="KB27" s="128"/>
      <c r="KC27" s="128"/>
      <c r="KD27" s="128"/>
      <c r="KE27" s="128"/>
      <c r="KF27" s="128"/>
      <c r="KG27" s="128"/>
      <c r="KH27" s="128"/>
      <c r="KI27" s="128"/>
      <c r="KJ27" s="128"/>
      <c r="KK27" s="128"/>
      <c r="KL27" s="128"/>
      <c r="KM27" s="128"/>
      <c r="KN27" s="128"/>
      <c r="KO27" s="128"/>
      <c r="KP27" s="128"/>
      <c r="KQ27" s="128"/>
      <c r="KR27" s="128"/>
      <c r="KS27" s="128"/>
      <c r="KT27" s="128"/>
      <c r="KU27" s="128"/>
      <c r="KV27" s="128"/>
      <c r="KW27" s="128"/>
      <c r="KX27" s="128"/>
      <c r="KY27" s="128"/>
      <c r="KZ27" s="128"/>
      <c r="LA27" s="128"/>
      <c r="LB27" s="128"/>
      <c r="LC27" s="128"/>
      <c r="LD27" s="128"/>
      <c r="LE27" s="128"/>
      <c r="LF27" s="128"/>
      <c r="LG27" s="128"/>
      <c r="LH27" s="128"/>
      <c r="LI27" s="128"/>
      <c r="LJ27" s="128"/>
      <c r="LK27" s="128"/>
      <c r="LL27" s="128"/>
      <c r="LM27" s="128"/>
      <c r="LN27" s="128"/>
      <c r="LO27" s="128"/>
      <c r="LP27" s="128"/>
      <c r="LQ27" s="128"/>
      <c r="LR27" s="128"/>
      <c r="LS27" s="128"/>
      <c r="LT27" s="128"/>
      <c r="LU27" s="128"/>
      <c r="LV27" s="128"/>
      <c r="LW27" s="128"/>
      <c r="LX27" s="128"/>
      <c r="LY27" s="128"/>
      <c r="LZ27" s="128"/>
      <c r="MA27" s="128"/>
      <c r="MB27" s="128"/>
      <c r="MC27" s="128"/>
      <c r="MD27" s="128"/>
      <c r="ME27" s="128"/>
      <c r="MF27" s="128"/>
      <c r="MG27" s="128"/>
      <c r="MH27" s="128"/>
      <c r="MI27" s="128"/>
      <c r="MJ27" s="128"/>
      <c r="MK27" s="128"/>
      <c r="ML27" s="128"/>
      <c r="MM27" s="128"/>
      <c r="MN27" s="128"/>
      <c r="MO27" s="128"/>
      <c r="MP27" s="128"/>
      <c r="MQ27" s="128"/>
      <c r="MR27" s="128"/>
      <c r="MS27" s="128"/>
      <c r="MT27" s="128"/>
      <c r="MU27" s="128"/>
      <c r="MV27" s="128"/>
      <c r="MW27" s="128"/>
      <c r="MX27" s="128"/>
      <c r="MY27" s="128"/>
      <c r="MZ27" s="128"/>
      <c r="NA27" s="128"/>
      <c r="NB27" s="128"/>
      <c r="NC27" s="128"/>
      <c r="ND27" s="128"/>
      <c r="NE27" s="128"/>
      <c r="NF27" s="128"/>
      <c r="NG27" s="128"/>
      <c r="NH27" s="128"/>
      <c r="NI27" s="128"/>
      <c r="NJ27" s="128"/>
      <c r="NK27" s="128"/>
      <c r="NL27" s="128"/>
      <c r="NM27" s="128"/>
      <c r="NN27" s="128"/>
      <c r="NO27" s="128"/>
      <c r="NP27" s="128"/>
      <c r="NQ27" s="128"/>
      <c r="NR27" s="128"/>
      <c r="NS27" s="128"/>
      <c r="NT27" s="128"/>
      <c r="NU27" s="128"/>
      <c r="NV27" s="128"/>
      <c r="NW27" s="128"/>
      <c r="NX27" s="128"/>
      <c r="NY27" s="128"/>
      <c r="NZ27" s="128"/>
      <c r="OA27" s="128"/>
      <c r="OB27" s="128"/>
      <c r="OC27" s="128"/>
      <c r="OD27" s="128"/>
      <c r="OE27" s="128"/>
      <c r="OF27" s="128"/>
      <c r="OG27" s="128"/>
      <c r="OH27" s="128"/>
      <c r="OI27" s="128"/>
      <c r="OJ27" s="128"/>
      <c r="OK27" s="128"/>
      <c r="OL27" s="128"/>
      <c r="OM27" s="128"/>
      <c r="ON27" s="128"/>
      <c r="OO27" s="128"/>
      <c r="OP27" s="128"/>
      <c r="OQ27" s="128"/>
      <c r="OR27" s="128"/>
      <c r="OS27" s="128"/>
      <c r="OT27" s="128"/>
      <c r="OU27" s="128"/>
      <c r="OV27" s="128"/>
      <c r="OW27" s="128"/>
      <c r="OX27" s="128"/>
      <c r="OY27" s="128"/>
      <c r="OZ27" s="128"/>
      <c r="PA27" s="128"/>
      <c r="PB27" s="128"/>
      <c r="PC27" s="128"/>
      <c r="PD27" s="128"/>
      <c r="PE27" s="128"/>
      <c r="PF27" s="128"/>
      <c r="PG27" s="128"/>
      <c r="PH27" s="128"/>
      <c r="PI27" s="128"/>
      <c r="PJ27" s="128"/>
      <c r="PK27" s="128"/>
      <c r="PL27" s="128"/>
      <c r="PM27" s="128"/>
      <c r="PN27" s="128"/>
      <c r="PO27" s="128"/>
      <c r="PP27" s="128"/>
      <c r="PQ27" s="128"/>
      <c r="PR27" s="128"/>
      <c r="PS27" s="128"/>
      <c r="PT27" s="128"/>
      <c r="PU27" s="128"/>
      <c r="PV27" s="128"/>
      <c r="PW27" s="128"/>
      <c r="PX27" s="128"/>
      <c r="PY27" s="128"/>
      <c r="PZ27" s="128"/>
      <c r="QA27" s="128"/>
      <c r="QB27" s="128"/>
      <c r="QC27" s="128"/>
      <c r="QD27" s="128"/>
      <c r="QE27" s="128"/>
      <c r="QF27" s="128"/>
      <c r="QG27" s="128"/>
      <c r="QH27" s="128"/>
      <c r="QI27" s="128"/>
      <c r="QJ27" s="128"/>
      <c r="QK27" s="128"/>
      <c r="QL27" s="128"/>
      <c r="QM27" s="128"/>
      <c r="QN27" s="128"/>
      <c r="QO27" s="128"/>
      <c r="QP27" s="128"/>
      <c r="QQ27" s="128"/>
      <c r="QR27" s="128"/>
      <c r="QS27" s="128"/>
      <c r="QT27" s="128"/>
      <c r="QU27" s="128"/>
      <c r="QV27" s="128"/>
      <c r="QW27" s="128"/>
      <c r="QX27" s="128"/>
      <c r="QY27" s="128"/>
      <c r="QZ27" s="128"/>
      <c r="RA27" s="128"/>
      <c r="RB27" s="128"/>
      <c r="RC27" s="128"/>
      <c r="RD27" s="128"/>
      <c r="RE27" s="128"/>
      <c r="RF27" s="128"/>
      <c r="RG27" s="128"/>
      <c r="RH27" s="128"/>
      <c r="RI27" s="128"/>
      <c r="RJ27" s="128"/>
      <c r="RK27" s="128"/>
      <c r="RL27" s="128"/>
      <c r="RM27" s="128"/>
      <c r="RN27" s="128"/>
      <c r="RO27" s="128"/>
      <c r="RP27" s="128"/>
      <c r="RQ27" s="128"/>
      <c r="RR27" s="128"/>
      <c r="RS27" s="128"/>
      <c r="RT27" s="128"/>
      <c r="RU27" s="128"/>
      <c r="RV27" s="128"/>
      <c r="RW27" s="128"/>
      <c r="RX27" s="128"/>
      <c r="RY27" s="128"/>
      <c r="RZ27" s="128"/>
      <c r="SA27" s="128"/>
      <c r="SB27" s="128"/>
      <c r="SC27" s="128"/>
      <c r="SD27" s="128"/>
      <c r="SE27" s="128"/>
      <c r="SF27" s="128"/>
      <c r="SG27" s="128"/>
      <c r="SH27" s="128"/>
      <c r="SI27" s="128"/>
      <c r="SJ27" s="128"/>
      <c r="SK27" s="128"/>
      <c r="SL27" s="128"/>
      <c r="SM27" s="128"/>
      <c r="SN27" s="128"/>
      <c r="SO27" s="128"/>
      <c r="SP27" s="128"/>
      <c r="SQ27" s="128"/>
      <c r="SR27" s="128"/>
      <c r="SS27" s="128"/>
      <c r="ST27" s="128"/>
      <c r="SU27" s="128"/>
      <c r="SV27" s="128"/>
      <c r="SW27" s="128"/>
      <c r="SX27" s="128"/>
      <c r="SY27" s="128"/>
      <c r="SZ27" s="128"/>
      <c r="TA27" s="128"/>
      <c r="TB27" s="128"/>
      <c r="TC27" s="128"/>
      <c r="TD27" s="128"/>
      <c r="TE27" s="128"/>
      <c r="TF27" s="128"/>
      <c r="TG27" s="128"/>
      <c r="TH27" s="128"/>
      <c r="TI27" s="128"/>
      <c r="TJ27" s="128"/>
      <c r="TK27" s="128"/>
      <c r="TL27" s="128"/>
      <c r="TM27" s="128"/>
      <c r="TN27" s="128"/>
      <c r="TO27" s="128"/>
      <c r="TP27" s="128"/>
      <c r="TQ27" s="128"/>
      <c r="TR27" s="128"/>
      <c r="TS27" s="128"/>
      <c r="TT27" s="128"/>
      <c r="TU27" s="128"/>
      <c r="TV27" s="128"/>
      <c r="TW27" s="128"/>
      <c r="TX27" s="128"/>
      <c r="TY27" s="128"/>
      <c r="TZ27" s="128"/>
      <c r="UA27" s="128"/>
      <c r="UB27" s="128"/>
      <c r="UC27" s="128"/>
      <c r="UD27" s="128"/>
      <c r="UE27" s="128"/>
      <c r="UF27" s="128"/>
      <c r="UG27" s="128"/>
      <c r="UH27" s="128"/>
      <c r="UI27" s="128"/>
      <c r="UJ27" s="128"/>
      <c r="UK27" s="128"/>
      <c r="UL27" s="128"/>
      <c r="UM27" s="128"/>
      <c r="UN27" s="128"/>
      <c r="UO27" s="128"/>
      <c r="UP27" s="128"/>
      <c r="UQ27" s="128"/>
      <c r="UR27" s="128"/>
      <c r="US27" s="128"/>
      <c r="UT27" s="128"/>
      <c r="UU27" s="128"/>
      <c r="UV27" s="128"/>
      <c r="UW27" s="128"/>
      <c r="UX27" s="128"/>
      <c r="UY27" s="128"/>
      <c r="UZ27" s="128"/>
      <c r="VA27" s="128"/>
      <c r="VB27" s="128"/>
      <c r="VC27" s="128"/>
      <c r="VD27" s="128"/>
      <c r="VE27" s="128"/>
      <c r="VF27" s="128"/>
      <c r="VG27" s="128"/>
      <c r="VH27" s="128"/>
      <c r="VI27" s="128"/>
      <c r="VJ27" s="128"/>
      <c r="VK27" s="128"/>
      <c r="VL27" s="128"/>
      <c r="VM27" s="128"/>
      <c r="VN27" s="128"/>
      <c r="VO27" s="128"/>
      <c r="VP27" s="128"/>
      <c r="VQ27" s="128"/>
      <c r="VR27" s="128"/>
      <c r="VS27" s="128"/>
      <c r="VT27" s="128"/>
      <c r="VU27" s="128"/>
      <c r="VV27" s="128"/>
      <c r="VW27" s="128"/>
      <c r="VX27" s="128"/>
      <c r="VY27" s="128"/>
      <c r="VZ27" s="128"/>
      <c r="WA27" s="128"/>
      <c r="WB27" s="128"/>
      <c r="WC27" s="128"/>
      <c r="WD27" s="128"/>
      <c r="WE27" s="128"/>
      <c r="WF27" s="128"/>
      <c r="WG27" s="128"/>
      <c r="WH27" s="128"/>
      <c r="WI27" s="128"/>
      <c r="WJ27" s="128"/>
      <c r="WK27" s="128"/>
      <c r="WL27" s="128"/>
      <c r="WM27" s="128"/>
      <c r="WN27" s="128"/>
      <c r="WO27" s="128"/>
      <c r="WP27" s="128"/>
      <c r="WQ27" s="128"/>
      <c r="WR27" s="128"/>
      <c r="WS27" s="128"/>
      <c r="WT27" s="128"/>
      <c r="WU27" s="128"/>
      <c r="WV27" s="128"/>
      <c r="WW27" s="128"/>
      <c r="WX27" s="128"/>
      <c r="WY27" s="128"/>
      <c r="WZ27" s="128"/>
      <c r="XA27" s="128"/>
      <c r="XB27" s="128"/>
      <c r="XC27" s="128"/>
      <c r="XD27" s="128"/>
      <c r="XE27" s="128"/>
      <c r="XF27" s="128"/>
      <c r="XG27" s="128"/>
      <c r="XH27" s="128"/>
      <c r="XI27" s="128"/>
      <c r="XJ27" s="128"/>
      <c r="XK27" s="128"/>
      <c r="XL27" s="128"/>
      <c r="XM27" s="128"/>
      <c r="XN27" s="128"/>
      <c r="XO27" s="128"/>
      <c r="XP27" s="128"/>
      <c r="XQ27" s="128"/>
      <c r="XR27" s="128"/>
      <c r="XS27" s="128"/>
      <c r="XT27" s="128"/>
      <c r="XU27" s="128"/>
      <c r="XV27" s="128"/>
      <c r="XW27" s="128"/>
      <c r="XX27" s="128"/>
      <c r="XY27" s="128"/>
      <c r="XZ27" s="128"/>
      <c r="YA27" s="128"/>
      <c r="YB27" s="128"/>
      <c r="YC27" s="128"/>
      <c r="YD27" s="128"/>
      <c r="YE27" s="128"/>
      <c r="YF27" s="128"/>
      <c r="YG27" s="128"/>
      <c r="YH27" s="128"/>
      <c r="YI27" s="128"/>
      <c r="YJ27" s="128"/>
      <c r="YK27" s="128"/>
      <c r="YL27" s="128"/>
      <c r="YM27" s="128"/>
      <c r="YN27" s="128"/>
      <c r="YO27" s="128"/>
      <c r="YP27" s="128"/>
      <c r="YQ27" s="128"/>
      <c r="YR27" s="128"/>
      <c r="YS27" s="128"/>
      <c r="YT27" s="128"/>
      <c r="YU27" s="128"/>
      <c r="YV27" s="128"/>
      <c r="YW27" s="128"/>
      <c r="YX27" s="128"/>
      <c r="YY27" s="128"/>
      <c r="YZ27" s="128"/>
      <c r="ZA27" s="128"/>
      <c r="ZB27" s="128"/>
      <c r="ZC27" s="128"/>
      <c r="ZD27" s="128"/>
      <c r="ZE27" s="128"/>
      <c r="ZF27" s="128"/>
      <c r="ZG27" s="128"/>
      <c r="ZH27" s="128"/>
      <c r="ZI27" s="128"/>
      <c r="ZJ27" s="128"/>
      <c r="ZK27" s="128"/>
      <c r="ZL27" s="128"/>
      <c r="ZM27" s="128"/>
      <c r="ZN27" s="128"/>
      <c r="ZO27" s="128"/>
      <c r="ZP27" s="128"/>
      <c r="ZQ27" s="128"/>
      <c r="ZR27" s="128"/>
      <c r="ZS27" s="128"/>
      <c r="ZT27" s="128"/>
      <c r="ZU27" s="128"/>
      <c r="ZV27" s="128"/>
      <c r="ZW27" s="128"/>
      <c r="ZX27" s="128"/>
      <c r="ZY27" s="128"/>
      <c r="ZZ27" s="128"/>
      <c r="AAA27" s="128"/>
      <c r="AAB27" s="128"/>
      <c r="AAC27" s="128"/>
      <c r="AAD27" s="128"/>
      <c r="AAE27" s="128"/>
      <c r="AAF27" s="128"/>
      <c r="AAG27" s="128"/>
      <c r="AAH27" s="128"/>
      <c r="AAI27" s="128"/>
      <c r="AAJ27" s="128"/>
      <c r="AAK27" s="128"/>
      <c r="AAL27" s="128"/>
      <c r="AAM27" s="128"/>
      <c r="AAN27" s="128"/>
      <c r="AAO27" s="128"/>
      <c r="AAP27" s="128"/>
      <c r="AAQ27" s="128"/>
      <c r="AAR27" s="128"/>
      <c r="AAS27" s="128"/>
      <c r="AAT27" s="128"/>
      <c r="AAU27" s="128"/>
      <c r="AAV27" s="128"/>
      <c r="AAW27" s="128"/>
      <c r="AAX27" s="128"/>
      <c r="AAY27" s="128"/>
      <c r="AAZ27" s="128"/>
      <c r="ABA27" s="128"/>
      <c r="ABB27" s="128"/>
      <c r="ABC27" s="128"/>
      <c r="ABD27" s="128"/>
      <c r="ABE27" s="128"/>
      <c r="ABF27" s="128"/>
      <c r="ABG27" s="128"/>
      <c r="ABH27" s="128"/>
      <c r="ABI27" s="128"/>
      <c r="ABJ27" s="128"/>
      <c r="ABK27" s="128"/>
      <c r="ABL27" s="128"/>
      <c r="ABM27" s="128"/>
      <c r="ABN27" s="128"/>
      <c r="ABO27" s="128"/>
      <c r="ABP27" s="128"/>
      <c r="ABQ27" s="128"/>
      <c r="ABR27" s="128"/>
      <c r="ABS27" s="128"/>
      <c r="ABT27" s="128"/>
      <c r="ABU27" s="128"/>
      <c r="ABV27" s="128"/>
      <c r="ABW27" s="128"/>
      <c r="ABX27" s="128"/>
      <c r="ABY27" s="128"/>
      <c r="ABZ27" s="128"/>
      <c r="ACA27" s="128"/>
      <c r="ACB27" s="128"/>
      <c r="ACC27" s="128"/>
      <c r="ACD27" s="128"/>
      <c r="ACE27" s="128"/>
      <c r="ACF27" s="128"/>
      <c r="ACG27" s="128"/>
      <c r="ACH27" s="128"/>
      <c r="ACI27" s="128"/>
      <c r="ACJ27" s="128"/>
      <c r="ACK27" s="128"/>
      <c r="ACL27" s="128"/>
      <c r="ACM27" s="128"/>
      <c r="ACN27" s="128"/>
      <c r="ACO27" s="128"/>
      <c r="ACP27" s="128"/>
      <c r="ACQ27" s="128"/>
      <c r="ACR27" s="128"/>
      <c r="ACS27" s="128"/>
      <c r="ACT27" s="128"/>
      <c r="ACU27" s="128"/>
      <c r="ACV27" s="128"/>
      <c r="ACW27" s="128"/>
      <c r="ACX27" s="128"/>
      <c r="ACY27" s="128"/>
      <c r="ACZ27" s="128"/>
      <c r="ADA27" s="128"/>
      <c r="ADB27" s="128"/>
      <c r="ADC27" s="128"/>
      <c r="ADD27" s="128"/>
      <c r="ADE27" s="128"/>
      <c r="ADF27" s="128"/>
      <c r="ADG27" s="128"/>
      <c r="ADH27" s="128"/>
      <c r="ADI27" s="128"/>
      <c r="ADJ27" s="128"/>
      <c r="ADK27" s="128"/>
      <c r="ADL27" s="128"/>
      <c r="ADM27" s="128"/>
      <c r="ADN27" s="128"/>
      <c r="ADO27" s="128"/>
      <c r="ADP27" s="128"/>
      <c r="ADQ27" s="128"/>
      <c r="ADR27" s="128"/>
      <c r="ADS27" s="128"/>
      <c r="ADT27" s="128"/>
      <c r="ADU27" s="128"/>
      <c r="ADV27" s="128"/>
      <c r="ADW27" s="128"/>
      <c r="ADX27" s="128"/>
      <c r="ADY27" s="128"/>
      <c r="ADZ27" s="128"/>
      <c r="AEA27" s="128"/>
      <c r="AEB27" s="128"/>
      <c r="AEC27" s="128"/>
      <c r="AED27" s="128"/>
      <c r="AEE27" s="128"/>
      <c r="AEF27" s="128"/>
      <c r="AEG27" s="128"/>
      <c r="AEH27" s="128"/>
      <c r="AEI27" s="128"/>
      <c r="AEJ27" s="128"/>
      <c r="AEK27" s="128"/>
      <c r="AEL27" s="128"/>
      <c r="AEM27" s="128"/>
      <c r="AEN27" s="128"/>
      <c r="AEO27" s="128"/>
      <c r="AEP27" s="128"/>
      <c r="AEQ27" s="128"/>
      <c r="AER27" s="128"/>
      <c r="AES27" s="128"/>
      <c r="AET27" s="128"/>
      <c r="AEU27" s="128"/>
      <c r="AEV27" s="128"/>
      <c r="AEW27" s="128"/>
      <c r="AEX27" s="128"/>
      <c r="AEY27" s="128"/>
      <c r="AEZ27" s="128"/>
      <c r="AFA27" s="128"/>
      <c r="AFB27" s="128"/>
      <c r="AFC27" s="128"/>
      <c r="AFD27" s="128"/>
      <c r="AFE27" s="128"/>
      <c r="AFF27" s="128"/>
      <c r="AFG27" s="128"/>
      <c r="AFH27" s="128"/>
      <c r="AFI27" s="128"/>
      <c r="AFJ27" s="128"/>
      <c r="AFK27" s="128"/>
      <c r="AFL27" s="128"/>
      <c r="AFM27" s="128"/>
      <c r="AFN27" s="128"/>
      <c r="AFO27" s="128"/>
      <c r="AFP27" s="128"/>
      <c r="AFQ27" s="128"/>
      <c r="AFR27" s="128"/>
      <c r="AFS27" s="128"/>
      <c r="AFT27" s="128"/>
      <c r="AFU27" s="128"/>
      <c r="AFV27" s="128"/>
      <c r="AFW27" s="128"/>
      <c r="AFX27" s="128"/>
      <c r="AFY27" s="128"/>
      <c r="AFZ27" s="128"/>
      <c r="AGA27" s="128"/>
      <c r="AGB27" s="128"/>
      <c r="AGC27" s="128"/>
      <c r="AGD27" s="128"/>
      <c r="AGE27" s="128"/>
      <c r="AGF27" s="128"/>
      <c r="AGG27" s="128"/>
      <c r="AGH27" s="128"/>
      <c r="AGI27" s="128"/>
      <c r="AGJ27" s="128"/>
      <c r="AGK27" s="128"/>
      <c r="AGL27" s="128"/>
      <c r="AGM27" s="128"/>
      <c r="AGN27" s="128"/>
      <c r="AGO27" s="128"/>
      <c r="AGP27" s="128"/>
      <c r="AGQ27" s="128"/>
      <c r="AGR27" s="128"/>
      <c r="AGS27" s="128"/>
      <c r="AGT27" s="128"/>
      <c r="AGU27" s="128"/>
      <c r="AGV27" s="128"/>
      <c r="AGW27" s="128"/>
      <c r="AGX27" s="128"/>
      <c r="AGY27" s="128"/>
      <c r="AGZ27" s="128"/>
      <c r="AHA27" s="128"/>
      <c r="AHB27" s="128"/>
      <c r="AHC27" s="128"/>
      <c r="AHD27" s="128"/>
      <c r="AHE27" s="128"/>
      <c r="AHF27" s="128"/>
      <c r="AHG27" s="128"/>
      <c r="AHH27" s="128"/>
      <c r="AHI27" s="128"/>
      <c r="AHJ27" s="128"/>
      <c r="AHK27" s="128"/>
      <c r="AHL27" s="128"/>
      <c r="AHM27" s="128"/>
      <c r="AHN27" s="128"/>
      <c r="AHO27" s="128"/>
      <c r="AHP27" s="128"/>
      <c r="AHQ27" s="128"/>
      <c r="AHR27" s="128"/>
      <c r="AHS27" s="128"/>
      <c r="AHT27" s="128"/>
      <c r="AHU27" s="128"/>
      <c r="AHV27" s="128"/>
      <c r="AHW27" s="128"/>
      <c r="AHX27" s="128"/>
      <c r="AHY27" s="128"/>
      <c r="AHZ27" s="128"/>
      <c r="AIA27" s="128"/>
      <c r="AIB27" s="128"/>
      <c r="AIC27" s="128"/>
      <c r="AID27" s="128"/>
      <c r="AIE27" s="128"/>
      <c r="AIF27" s="128"/>
      <c r="AIG27" s="128"/>
      <c r="AIH27" s="128"/>
      <c r="AII27" s="128"/>
      <c r="AIJ27" s="128"/>
      <c r="AIK27" s="128"/>
      <c r="AIL27" s="128"/>
      <c r="AIM27" s="128"/>
      <c r="AIN27" s="128"/>
      <c r="AIO27" s="128"/>
      <c r="AIP27" s="128"/>
      <c r="AIQ27" s="128"/>
      <c r="AIR27" s="128"/>
      <c r="AIS27" s="128"/>
      <c r="AIT27" s="128"/>
      <c r="AIU27" s="128"/>
      <c r="AIV27" s="128"/>
      <c r="AIW27" s="128"/>
      <c r="AIX27" s="128"/>
      <c r="AIY27" s="128"/>
      <c r="AIZ27" s="128"/>
      <c r="AJA27" s="128"/>
      <c r="AJB27" s="128"/>
      <c r="AJC27" s="128"/>
      <c r="AJD27" s="128"/>
      <c r="AJE27" s="128"/>
      <c r="AJF27" s="128"/>
      <c r="AJG27" s="128"/>
      <c r="AJH27" s="128"/>
      <c r="AJI27" s="128"/>
      <c r="AJJ27" s="128"/>
      <c r="AJK27" s="128"/>
      <c r="AJL27" s="128"/>
      <c r="AJM27" s="128"/>
      <c r="AJN27" s="128"/>
      <c r="AJO27" s="128"/>
      <c r="AJP27" s="128"/>
      <c r="AJQ27" s="128"/>
      <c r="AJR27" s="128"/>
      <c r="AJS27" s="128"/>
      <c r="AJT27" s="128"/>
      <c r="AJU27" s="128"/>
      <c r="AJV27" s="128"/>
      <c r="AJW27" s="128"/>
      <c r="AJX27" s="128"/>
      <c r="AJY27" s="128"/>
      <c r="AJZ27" s="128"/>
      <c r="AKA27" s="128"/>
      <c r="AKB27" s="128"/>
      <c r="AKC27" s="128"/>
      <c r="AKD27" s="128"/>
      <c r="AKE27" s="128"/>
      <c r="AKF27" s="128"/>
      <c r="AKG27" s="128"/>
      <c r="AKH27" s="128"/>
      <c r="AKI27" s="128"/>
      <c r="AKJ27" s="128"/>
      <c r="AKK27" s="128"/>
      <c r="AKL27" s="128"/>
      <c r="AKM27" s="128"/>
      <c r="AKN27" s="128"/>
      <c r="AKO27" s="128"/>
      <c r="AKP27" s="128"/>
      <c r="AKQ27" s="128"/>
      <c r="AKR27" s="128"/>
      <c r="AKS27" s="128"/>
      <c r="AKT27" s="128"/>
      <c r="AKU27" s="128"/>
      <c r="AKV27" s="128"/>
      <c r="AKW27" s="128"/>
      <c r="AKX27" s="128"/>
      <c r="AKY27" s="128"/>
      <c r="AKZ27" s="128"/>
      <c r="ALA27" s="128"/>
      <c r="ALB27" s="128"/>
      <c r="ALC27" s="128"/>
      <c r="ALD27" s="128"/>
      <c r="ALE27" s="128"/>
      <c r="ALF27" s="128"/>
      <c r="ALG27" s="128"/>
      <c r="ALH27" s="128"/>
      <c r="ALI27" s="128"/>
      <c r="ALJ27" s="128"/>
      <c r="ALK27" s="128"/>
      <c r="ALL27" s="128"/>
      <c r="ALM27" s="128"/>
      <c r="ALN27" s="128"/>
      <c r="ALO27" s="128"/>
      <c r="ALP27" s="128"/>
      <c r="ALQ27" s="128"/>
      <c r="ALR27" s="128"/>
      <c r="ALS27" s="128"/>
      <c r="ALT27" s="128"/>
      <c r="ALU27" s="128"/>
      <c r="ALV27" s="128"/>
      <c r="ALW27" s="128"/>
      <c r="ALX27" s="128"/>
      <c r="ALY27" s="128"/>
      <c r="ALZ27" s="128"/>
      <c r="AMA27" s="128"/>
      <c r="AMB27" s="128"/>
      <c r="AMC27" s="128"/>
      <c r="AMD27" s="128"/>
      <c r="AME27" s="128"/>
      <c r="AMF27" s="128"/>
      <c r="AMG27" s="128"/>
      <c r="AMH27" s="128"/>
      <c r="AMI27" s="128"/>
      <c r="AMJ27" s="128"/>
      <c r="AMK27" s="128"/>
      <c r="AML27" s="128"/>
      <c r="AMM27" s="128"/>
      <c r="AMN27" s="128"/>
      <c r="AMO27" s="128"/>
      <c r="AMP27" s="128"/>
      <c r="AMQ27" s="128"/>
      <c r="AMR27" s="128"/>
      <c r="AMS27" s="128"/>
      <c r="AMT27" s="128"/>
      <c r="AMU27" s="128"/>
      <c r="AMV27" s="128"/>
      <c r="AMW27" s="128"/>
      <c r="AMX27" s="128"/>
      <c r="AMY27" s="128"/>
      <c r="AMZ27" s="128"/>
      <c r="ANA27" s="128"/>
      <c r="ANB27" s="128"/>
      <c r="ANC27" s="128"/>
      <c r="AND27" s="128"/>
      <c r="ANE27" s="128"/>
      <c r="ANF27" s="128"/>
      <c r="ANG27" s="128"/>
      <c r="ANH27" s="128"/>
      <c r="ANI27" s="128"/>
      <c r="ANJ27" s="128"/>
      <c r="ANK27" s="128"/>
      <c r="ANL27" s="128"/>
      <c r="ANM27" s="128"/>
      <c r="ANN27" s="128"/>
      <c r="ANO27" s="128"/>
      <c r="ANP27" s="128"/>
      <c r="ANQ27" s="128"/>
      <c r="ANR27" s="128"/>
      <c r="ANS27" s="128"/>
      <c r="ANT27" s="128"/>
      <c r="ANU27" s="128"/>
      <c r="ANV27" s="128"/>
      <c r="ANW27" s="128"/>
      <c r="ANX27" s="128"/>
      <c r="ANY27" s="128"/>
      <c r="ANZ27" s="128"/>
      <c r="AOA27" s="128"/>
      <c r="AOB27" s="128"/>
      <c r="AOC27" s="128"/>
      <c r="AOD27" s="128"/>
      <c r="AOE27" s="128"/>
      <c r="AOF27" s="128"/>
      <c r="AOG27" s="128"/>
      <c r="AOH27" s="128"/>
      <c r="AOI27" s="128"/>
      <c r="AOJ27" s="128"/>
      <c r="AOK27" s="128"/>
      <c r="AOL27" s="128"/>
      <c r="AOM27" s="128"/>
      <c r="AON27" s="128"/>
      <c r="AOO27" s="128"/>
      <c r="AOP27" s="128"/>
      <c r="AOQ27" s="128"/>
      <c r="AOR27" s="128"/>
      <c r="AOS27" s="128"/>
      <c r="AOT27" s="128"/>
      <c r="AOU27" s="128"/>
      <c r="AOV27" s="128"/>
      <c r="AOW27" s="128"/>
      <c r="AOX27" s="128"/>
      <c r="AOY27" s="128"/>
      <c r="AOZ27" s="128"/>
      <c r="APA27" s="128"/>
      <c r="APB27" s="128"/>
      <c r="APC27" s="128"/>
      <c r="APD27" s="128"/>
      <c r="APE27" s="128"/>
      <c r="APF27" s="128"/>
      <c r="APG27" s="128"/>
      <c r="APH27" s="128"/>
      <c r="API27" s="128"/>
      <c r="APJ27" s="128"/>
      <c r="APK27" s="128"/>
      <c r="APL27" s="128"/>
      <c r="APM27" s="128"/>
      <c r="APN27" s="128"/>
      <c r="APO27" s="128"/>
      <c r="APP27" s="128"/>
      <c r="APQ27" s="128"/>
      <c r="APR27" s="128"/>
      <c r="APS27" s="128"/>
      <c r="APT27" s="128"/>
      <c r="APU27" s="128"/>
      <c r="APV27" s="128"/>
      <c r="APW27" s="128"/>
      <c r="APX27" s="128"/>
      <c r="APY27" s="128"/>
      <c r="APZ27" s="128"/>
      <c r="AQA27" s="128"/>
      <c r="AQB27" s="128"/>
      <c r="AQC27" s="128"/>
      <c r="AQD27" s="128"/>
      <c r="AQE27" s="128"/>
      <c r="AQF27" s="128"/>
      <c r="AQG27" s="128"/>
      <c r="AQH27" s="128"/>
      <c r="AQI27" s="128"/>
      <c r="AQJ27" s="128"/>
      <c r="AQK27" s="128"/>
      <c r="AQL27" s="128"/>
      <c r="AQM27" s="128"/>
      <c r="AQN27" s="128"/>
      <c r="AQO27" s="128"/>
      <c r="AQP27" s="128"/>
      <c r="AQQ27" s="128"/>
      <c r="AQR27" s="128"/>
      <c r="AQS27" s="128"/>
      <c r="AQT27" s="128"/>
      <c r="AQU27" s="128"/>
      <c r="AQV27" s="128"/>
      <c r="AQW27" s="128"/>
      <c r="AQX27" s="128"/>
      <c r="AQY27" s="128"/>
      <c r="AQZ27" s="128"/>
      <c r="ARA27" s="128"/>
      <c r="ARB27" s="128"/>
      <c r="ARC27" s="128"/>
      <c r="ARD27" s="128"/>
      <c r="ARE27" s="128"/>
      <c r="ARF27" s="128"/>
      <c r="ARG27" s="128"/>
      <c r="ARH27" s="128"/>
      <c r="ARI27" s="128"/>
      <c r="ARJ27" s="128"/>
      <c r="ARK27" s="128"/>
      <c r="ARL27" s="128"/>
      <c r="ARM27" s="128"/>
      <c r="ARN27" s="128"/>
      <c r="ARO27" s="128"/>
      <c r="ARP27" s="128"/>
      <c r="ARQ27" s="128"/>
      <c r="ARR27" s="128"/>
      <c r="ARS27" s="128"/>
      <c r="ART27" s="128"/>
      <c r="ARU27" s="128"/>
      <c r="ARV27" s="128"/>
      <c r="ARW27" s="128"/>
      <c r="ARX27" s="128"/>
      <c r="ARY27" s="128"/>
      <c r="ARZ27" s="128"/>
      <c r="ASA27" s="128"/>
      <c r="ASB27" s="128"/>
      <c r="ASC27" s="128"/>
      <c r="ASD27" s="128"/>
      <c r="ASE27" s="128"/>
      <c r="ASF27" s="128"/>
      <c r="ASG27" s="128"/>
      <c r="ASH27" s="128"/>
      <c r="ASI27" s="128"/>
      <c r="ASJ27" s="128"/>
      <c r="ASK27" s="128"/>
      <c r="ASL27" s="128"/>
      <c r="ASM27" s="128"/>
      <c r="ASN27" s="128"/>
      <c r="ASO27" s="128"/>
      <c r="ASP27" s="128"/>
      <c r="ASQ27" s="128"/>
      <c r="ASR27" s="128"/>
      <c r="ASS27" s="128"/>
      <c r="AST27" s="128"/>
      <c r="ASU27" s="128"/>
      <c r="ASV27" s="128"/>
      <c r="ASW27" s="128"/>
      <c r="ASX27" s="128"/>
      <c r="ASY27" s="128"/>
      <c r="ASZ27" s="128"/>
      <c r="ATA27" s="128"/>
      <c r="ATB27" s="128"/>
      <c r="ATC27" s="128"/>
      <c r="ATD27" s="128"/>
      <c r="ATE27" s="128"/>
      <c r="ATF27" s="128"/>
      <c r="ATG27" s="128"/>
      <c r="ATH27" s="128"/>
      <c r="ATI27" s="128"/>
      <c r="ATJ27" s="128"/>
      <c r="ATK27" s="128"/>
      <c r="ATL27" s="128"/>
      <c r="ATM27" s="128"/>
      <c r="ATN27" s="128"/>
      <c r="ATO27" s="128"/>
      <c r="ATP27" s="128"/>
      <c r="ATQ27" s="128"/>
      <c r="ATR27" s="128"/>
      <c r="ATS27" s="128"/>
      <c r="ATT27" s="128"/>
      <c r="ATU27" s="128"/>
      <c r="ATV27" s="128"/>
      <c r="ATW27" s="128"/>
      <c r="ATX27" s="128"/>
      <c r="ATY27" s="128"/>
      <c r="ATZ27" s="128"/>
      <c r="AUA27" s="128"/>
      <c r="AUB27" s="128"/>
      <c r="AUC27" s="128"/>
      <c r="AUD27" s="128"/>
      <c r="AUE27" s="128"/>
      <c r="AUF27" s="128"/>
      <c r="AUG27" s="128"/>
      <c r="AUH27" s="128"/>
      <c r="AUI27" s="128"/>
      <c r="AUJ27" s="128"/>
      <c r="AUK27" s="128"/>
      <c r="AUL27" s="128"/>
      <c r="AUM27" s="128"/>
      <c r="AUN27" s="128"/>
      <c r="AUO27" s="128"/>
      <c r="AUP27" s="128"/>
      <c r="AUQ27" s="128"/>
      <c r="AUR27" s="128"/>
      <c r="AUS27" s="128"/>
      <c r="AUT27" s="128"/>
      <c r="AUU27" s="128"/>
      <c r="AUV27" s="128"/>
      <c r="AUW27" s="128"/>
      <c r="AUX27" s="128"/>
      <c r="AUY27" s="128"/>
      <c r="AUZ27" s="128"/>
      <c r="AVA27" s="128"/>
      <c r="AVB27" s="128"/>
      <c r="AVC27" s="128"/>
      <c r="AVD27" s="128"/>
      <c r="AVE27" s="128"/>
      <c r="AVF27" s="128"/>
      <c r="AVG27" s="128"/>
      <c r="AVH27" s="128"/>
      <c r="AVI27" s="128"/>
      <c r="AVJ27" s="128"/>
      <c r="AVK27" s="128"/>
      <c r="AVL27" s="128"/>
      <c r="AVM27" s="128"/>
      <c r="AVN27" s="128"/>
      <c r="AVO27" s="128"/>
      <c r="AVP27" s="128"/>
      <c r="AVQ27" s="128"/>
      <c r="AVR27" s="128"/>
      <c r="AVS27" s="128"/>
      <c r="AVT27" s="128"/>
      <c r="AVU27" s="128"/>
      <c r="AVV27" s="128"/>
      <c r="AVW27" s="128"/>
      <c r="AVX27" s="128"/>
      <c r="AVY27" s="128"/>
      <c r="AVZ27" s="128"/>
      <c r="AWA27" s="128"/>
      <c r="AWB27" s="128"/>
      <c r="AWC27" s="128"/>
      <c r="AWD27" s="128"/>
      <c r="AWE27" s="128"/>
      <c r="AWF27" s="128"/>
      <c r="AWG27" s="128"/>
      <c r="AWH27" s="128"/>
      <c r="AWI27" s="128"/>
      <c r="AWJ27" s="128"/>
      <c r="AWK27" s="128"/>
      <c r="AWL27" s="128"/>
      <c r="AWM27" s="128"/>
      <c r="AWN27" s="128"/>
      <c r="AWO27" s="128"/>
      <c r="AWP27" s="128"/>
      <c r="AWQ27" s="128"/>
      <c r="AWR27" s="128"/>
      <c r="AWS27" s="128"/>
      <c r="AWT27" s="128"/>
      <c r="AWU27" s="128"/>
      <c r="AWV27" s="128"/>
      <c r="AWW27" s="128"/>
      <c r="AWX27" s="128"/>
      <c r="AWY27" s="128"/>
      <c r="AWZ27" s="128"/>
      <c r="AXA27" s="128"/>
      <c r="AXB27" s="128"/>
      <c r="AXC27" s="128"/>
      <c r="AXD27" s="128"/>
      <c r="AXE27" s="128"/>
      <c r="AXF27" s="128"/>
      <c r="AXG27" s="128"/>
      <c r="AXH27" s="128"/>
      <c r="AXI27" s="128"/>
      <c r="AXJ27" s="128"/>
      <c r="AXK27" s="128"/>
      <c r="AXL27" s="128"/>
      <c r="AXM27" s="128"/>
      <c r="AXN27" s="128"/>
      <c r="AXO27" s="128"/>
      <c r="AXP27" s="128"/>
      <c r="AXQ27" s="128"/>
      <c r="AXR27" s="128"/>
      <c r="AXS27" s="128"/>
      <c r="AXT27" s="128"/>
      <c r="AXU27" s="128"/>
      <c r="AXV27" s="128"/>
      <c r="AXW27" s="128"/>
      <c r="AXX27" s="128"/>
      <c r="AXY27" s="128"/>
      <c r="AXZ27" s="128"/>
      <c r="AYA27" s="128"/>
      <c r="AYB27" s="128"/>
      <c r="AYC27" s="128"/>
      <c r="AYD27" s="128"/>
      <c r="AYE27" s="128"/>
      <c r="AYF27" s="128"/>
      <c r="AYG27" s="128"/>
      <c r="AYH27" s="128"/>
      <c r="AYI27" s="128"/>
      <c r="AYJ27" s="128"/>
      <c r="AYK27" s="128"/>
      <c r="AYL27" s="128"/>
      <c r="AYM27" s="128"/>
      <c r="AYN27" s="128"/>
      <c r="AYO27" s="128"/>
      <c r="AYP27" s="128"/>
      <c r="AYQ27" s="128"/>
      <c r="AYR27" s="128"/>
      <c r="AYS27" s="128"/>
      <c r="AYT27" s="128"/>
      <c r="AYU27" s="128"/>
      <c r="AYV27" s="128"/>
      <c r="AYW27" s="128"/>
      <c r="AYX27" s="128"/>
      <c r="AYY27" s="128"/>
      <c r="AYZ27" s="128"/>
      <c r="AZA27" s="128"/>
      <c r="AZB27" s="128"/>
      <c r="AZC27" s="128"/>
      <c r="AZD27" s="128"/>
      <c r="AZE27" s="128"/>
      <c r="AZF27" s="128"/>
      <c r="AZG27" s="128"/>
      <c r="AZH27" s="128"/>
      <c r="AZI27" s="128"/>
      <c r="AZJ27" s="128"/>
      <c r="AZK27" s="128"/>
      <c r="AZL27" s="128"/>
      <c r="AZM27" s="128"/>
      <c r="AZN27" s="128"/>
      <c r="AZO27" s="128"/>
      <c r="AZP27" s="128"/>
      <c r="AZQ27" s="128"/>
      <c r="AZR27" s="128"/>
      <c r="AZS27" s="128"/>
      <c r="AZT27" s="128"/>
      <c r="AZU27" s="128"/>
      <c r="AZV27" s="128"/>
      <c r="AZW27" s="128"/>
      <c r="AZX27" s="128"/>
      <c r="AZY27" s="128"/>
      <c r="AZZ27" s="128"/>
      <c r="BAA27" s="128"/>
      <c r="BAB27" s="128"/>
      <c r="BAC27" s="128"/>
      <c r="BAD27" s="128"/>
      <c r="BAE27" s="128"/>
      <c r="BAF27" s="128"/>
      <c r="BAG27" s="128"/>
      <c r="BAH27" s="128"/>
      <c r="BAI27" s="128"/>
      <c r="BAJ27" s="128"/>
      <c r="BAK27" s="128"/>
      <c r="BAL27" s="128"/>
      <c r="BAM27" s="128"/>
      <c r="BAN27" s="128"/>
      <c r="BAO27" s="128"/>
      <c r="BAP27" s="128"/>
      <c r="BAQ27" s="128"/>
      <c r="BAR27" s="128"/>
      <c r="BAS27" s="128"/>
      <c r="BAT27" s="128"/>
      <c r="BAU27" s="128"/>
      <c r="BAV27" s="128"/>
      <c r="BAW27" s="128"/>
      <c r="BAX27" s="128"/>
      <c r="BAY27" s="128"/>
      <c r="BAZ27" s="128"/>
      <c r="BBA27" s="128"/>
      <c r="BBB27" s="128"/>
      <c r="BBC27" s="128"/>
      <c r="BBD27" s="128"/>
      <c r="BBE27" s="128"/>
      <c r="BBF27" s="128"/>
      <c r="BBG27" s="128"/>
      <c r="BBH27" s="128"/>
      <c r="BBI27" s="128"/>
      <c r="BBJ27" s="128"/>
      <c r="BBK27" s="128"/>
      <c r="BBL27" s="128"/>
      <c r="BBM27" s="128"/>
      <c r="BBN27" s="128"/>
      <c r="BBO27" s="128"/>
      <c r="BBP27" s="128"/>
      <c r="BBQ27" s="128"/>
      <c r="BBR27" s="128"/>
      <c r="BBS27" s="128"/>
      <c r="BBT27" s="128"/>
      <c r="BBU27" s="128"/>
      <c r="BBV27" s="128"/>
      <c r="BBW27" s="128"/>
      <c r="BBX27" s="128"/>
      <c r="BBY27" s="128"/>
      <c r="BBZ27" s="128"/>
      <c r="BCA27" s="128"/>
      <c r="BCB27" s="128"/>
      <c r="BCC27" s="128"/>
      <c r="BCD27" s="128"/>
      <c r="BCE27" s="128"/>
      <c r="BCF27" s="128"/>
      <c r="BCG27" s="128"/>
      <c r="BCH27" s="128"/>
      <c r="BCI27" s="128"/>
      <c r="BCJ27" s="128"/>
      <c r="BCK27" s="128"/>
      <c r="BCL27" s="128"/>
      <c r="BCM27" s="128"/>
      <c r="BCN27" s="128"/>
      <c r="BCO27" s="128"/>
      <c r="BCP27" s="128"/>
      <c r="BCQ27" s="128"/>
      <c r="BCR27" s="128"/>
      <c r="BCS27" s="128"/>
      <c r="BCT27" s="128"/>
      <c r="BCU27" s="128"/>
      <c r="BCV27" s="128"/>
      <c r="BCW27" s="128"/>
      <c r="BCX27" s="128"/>
      <c r="BCY27" s="128"/>
      <c r="BCZ27" s="128"/>
      <c r="BDA27" s="128"/>
      <c r="BDB27" s="128"/>
      <c r="BDC27" s="128"/>
      <c r="BDD27" s="128"/>
      <c r="BDE27" s="128"/>
      <c r="BDF27" s="128"/>
      <c r="BDG27" s="128"/>
      <c r="BDH27" s="128"/>
      <c r="BDI27" s="128"/>
      <c r="BDJ27" s="128"/>
      <c r="BDK27" s="128"/>
      <c r="BDL27" s="128"/>
      <c r="BDM27" s="128"/>
      <c r="BDN27" s="128"/>
      <c r="BDO27" s="128"/>
      <c r="BDP27" s="128"/>
      <c r="BDQ27" s="128"/>
      <c r="BDR27" s="128"/>
      <c r="BDS27" s="128"/>
      <c r="BDT27" s="128"/>
      <c r="BDU27" s="128"/>
      <c r="BDV27" s="128"/>
      <c r="BDW27" s="128"/>
      <c r="BDX27" s="128"/>
      <c r="BDY27" s="128"/>
      <c r="BDZ27" s="128"/>
      <c r="BEA27" s="128"/>
      <c r="BEB27" s="128"/>
      <c r="BEC27" s="128"/>
      <c r="BED27" s="128"/>
      <c r="BEE27" s="128"/>
      <c r="BEF27" s="128"/>
      <c r="BEG27" s="128"/>
      <c r="BEH27" s="128"/>
      <c r="BEI27" s="128"/>
      <c r="BEJ27" s="128"/>
      <c r="BEK27" s="128"/>
      <c r="BEL27" s="128"/>
      <c r="BEM27" s="128"/>
      <c r="BEN27" s="128"/>
      <c r="BEO27" s="128"/>
      <c r="BEP27" s="128"/>
      <c r="BEQ27" s="128"/>
      <c r="BER27" s="128"/>
      <c r="BES27" s="128"/>
      <c r="BET27" s="128"/>
      <c r="BEU27" s="128"/>
      <c r="BEV27" s="128"/>
      <c r="BEW27" s="128"/>
      <c r="BEX27" s="128"/>
      <c r="BEY27" s="128"/>
      <c r="BEZ27" s="128"/>
      <c r="BFA27" s="128"/>
      <c r="BFB27" s="128"/>
      <c r="BFC27" s="128"/>
      <c r="BFD27" s="128"/>
      <c r="BFE27" s="128"/>
      <c r="BFF27" s="128"/>
      <c r="BFG27" s="128"/>
      <c r="BFH27" s="128"/>
      <c r="BFI27" s="128"/>
      <c r="BFJ27" s="128"/>
      <c r="BFK27" s="128"/>
      <c r="BFL27" s="128"/>
      <c r="BFM27" s="128"/>
      <c r="BFN27" s="128"/>
      <c r="BFO27" s="128"/>
      <c r="BFP27" s="128"/>
      <c r="BFQ27" s="128"/>
      <c r="BFR27" s="128"/>
      <c r="BFS27" s="128"/>
      <c r="BFT27" s="128"/>
      <c r="BFU27" s="128"/>
      <c r="BFV27" s="128"/>
      <c r="BFW27" s="128"/>
      <c r="BFX27" s="128"/>
      <c r="BFY27" s="128"/>
      <c r="BFZ27" s="128"/>
      <c r="BGA27" s="128"/>
      <c r="BGB27" s="128"/>
      <c r="BGC27" s="128"/>
      <c r="BGD27" s="128"/>
      <c r="BGE27" s="128"/>
      <c r="BGF27" s="128"/>
      <c r="BGG27" s="128"/>
      <c r="BGH27" s="128"/>
      <c r="BGI27" s="128"/>
      <c r="BGJ27" s="128"/>
      <c r="BGK27" s="128"/>
      <c r="BGL27" s="128"/>
      <c r="BGM27" s="128"/>
      <c r="BGN27" s="128"/>
      <c r="BGO27" s="128"/>
      <c r="BGP27" s="128"/>
      <c r="BGQ27" s="128"/>
      <c r="BGR27" s="128"/>
      <c r="BGS27" s="128"/>
      <c r="BGT27" s="128"/>
      <c r="BGU27" s="128"/>
      <c r="BGV27" s="128"/>
      <c r="BGW27" s="128"/>
      <c r="BGX27" s="128"/>
      <c r="BGY27" s="128"/>
      <c r="BGZ27" s="128"/>
      <c r="BHA27" s="128"/>
      <c r="BHB27" s="128"/>
      <c r="BHC27" s="128"/>
      <c r="BHD27" s="128"/>
      <c r="BHE27" s="128"/>
      <c r="BHF27" s="128"/>
      <c r="BHG27" s="128"/>
      <c r="BHH27" s="128"/>
      <c r="BHI27" s="128"/>
      <c r="BHJ27" s="128"/>
      <c r="BHK27" s="128"/>
      <c r="BHL27" s="128"/>
      <c r="BHM27" s="128"/>
      <c r="BHN27" s="128"/>
      <c r="BHO27" s="128"/>
      <c r="BHP27" s="128"/>
      <c r="BHQ27" s="128"/>
      <c r="BHR27" s="128"/>
      <c r="BHS27" s="128"/>
      <c r="BHT27" s="128"/>
      <c r="BHU27" s="128"/>
      <c r="BHV27" s="128"/>
      <c r="BHW27" s="128"/>
      <c r="BHX27" s="128"/>
      <c r="BHY27" s="128"/>
      <c r="BHZ27" s="128"/>
      <c r="BIA27" s="128"/>
      <c r="BIB27" s="128"/>
      <c r="BIC27" s="128"/>
      <c r="BID27" s="128"/>
      <c r="BIE27" s="128"/>
      <c r="BIF27" s="128"/>
      <c r="BIG27" s="128"/>
      <c r="BIH27" s="128"/>
      <c r="BII27" s="128"/>
      <c r="BIJ27" s="128"/>
      <c r="BIK27" s="128"/>
      <c r="BIL27" s="128"/>
      <c r="BIM27" s="128"/>
      <c r="BIN27" s="128"/>
      <c r="BIO27" s="128"/>
      <c r="BIP27" s="128"/>
      <c r="BIQ27" s="128"/>
      <c r="BIR27" s="128"/>
      <c r="BIS27" s="128"/>
      <c r="BIT27" s="128"/>
      <c r="BIU27" s="128"/>
      <c r="BIV27" s="128"/>
      <c r="BIW27" s="128"/>
      <c r="BIX27" s="128"/>
      <c r="BIY27" s="128"/>
      <c r="BIZ27" s="128"/>
      <c r="BJA27" s="128"/>
      <c r="BJB27" s="128"/>
      <c r="BJC27" s="128"/>
      <c r="BJD27" s="128"/>
      <c r="BJE27" s="128"/>
      <c r="BJF27" s="128"/>
      <c r="BJG27" s="128"/>
      <c r="BJH27" s="128"/>
      <c r="BJI27" s="128"/>
      <c r="BJJ27" s="128"/>
      <c r="BJK27" s="128"/>
      <c r="BJL27" s="128"/>
      <c r="BJM27" s="128"/>
      <c r="BJN27" s="128"/>
      <c r="BJO27" s="128"/>
      <c r="BJP27" s="128"/>
      <c r="BJQ27" s="128"/>
      <c r="BJR27" s="128"/>
      <c r="BJS27" s="128"/>
      <c r="BJT27" s="128"/>
      <c r="BJU27" s="128"/>
      <c r="BJV27" s="128"/>
      <c r="BJW27" s="128"/>
      <c r="BJX27" s="128"/>
      <c r="BJY27" s="128"/>
      <c r="BJZ27" s="128"/>
      <c r="BKA27" s="128"/>
      <c r="BKB27" s="128"/>
      <c r="BKC27" s="128"/>
      <c r="BKD27" s="128"/>
      <c r="BKE27" s="128"/>
      <c r="BKF27" s="128"/>
      <c r="BKG27" s="128"/>
      <c r="BKH27" s="128"/>
      <c r="BKI27" s="128"/>
      <c r="BKJ27" s="128"/>
      <c r="BKK27" s="128"/>
      <c r="BKL27" s="128"/>
      <c r="BKM27" s="128"/>
      <c r="BKN27" s="128"/>
      <c r="BKO27" s="128"/>
      <c r="BKP27" s="128"/>
      <c r="BKQ27" s="128"/>
      <c r="BKR27" s="128"/>
      <c r="BKS27" s="128"/>
      <c r="BKT27" s="128"/>
      <c r="BKU27" s="128"/>
      <c r="BKV27" s="128"/>
      <c r="BKW27" s="128"/>
      <c r="BKX27" s="128"/>
      <c r="BKY27" s="128"/>
      <c r="BKZ27" s="128"/>
      <c r="BLA27" s="128"/>
      <c r="BLB27" s="128"/>
      <c r="BLC27" s="128"/>
      <c r="BLD27" s="128"/>
      <c r="BLE27" s="128"/>
      <c r="BLF27" s="128"/>
      <c r="BLG27" s="128"/>
      <c r="BLH27" s="128"/>
      <c r="BLI27" s="128"/>
      <c r="BLJ27" s="128"/>
      <c r="BLK27" s="128"/>
      <c r="BLL27" s="128"/>
      <c r="BLM27" s="128"/>
      <c r="BLN27" s="128"/>
      <c r="BLO27" s="128"/>
      <c r="BLP27" s="128"/>
      <c r="BLQ27" s="128"/>
      <c r="BLR27" s="128"/>
      <c r="BLS27" s="128"/>
      <c r="BLT27" s="128"/>
      <c r="BLU27" s="128"/>
      <c r="BLV27" s="128"/>
      <c r="BLW27" s="128"/>
      <c r="BLX27" s="128"/>
      <c r="BLY27" s="128"/>
      <c r="BLZ27" s="128"/>
      <c r="BMA27" s="128"/>
      <c r="BMB27" s="128"/>
      <c r="BMC27" s="128"/>
      <c r="BMD27" s="128"/>
      <c r="BME27" s="128"/>
      <c r="BMF27" s="128"/>
      <c r="BMG27" s="128"/>
      <c r="BMH27" s="128"/>
      <c r="BMI27" s="128"/>
      <c r="BMJ27" s="128"/>
      <c r="BMK27" s="128"/>
      <c r="BML27" s="128"/>
      <c r="BMM27" s="128"/>
      <c r="BMN27" s="128"/>
      <c r="BMO27" s="128"/>
      <c r="BMP27" s="128"/>
      <c r="BMQ27" s="128"/>
      <c r="BMR27" s="128"/>
      <c r="BMS27" s="128"/>
      <c r="BMT27" s="128"/>
      <c r="BMU27" s="128"/>
      <c r="BMV27" s="128"/>
      <c r="BMW27" s="128"/>
      <c r="BMX27" s="128"/>
      <c r="BMY27" s="128"/>
      <c r="BMZ27" s="128"/>
      <c r="BNA27" s="128"/>
      <c r="BNB27" s="128"/>
      <c r="BNC27" s="128"/>
      <c r="BND27" s="128"/>
      <c r="BNE27" s="128"/>
      <c r="BNF27" s="128"/>
      <c r="BNG27" s="128"/>
      <c r="BNH27" s="128"/>
      <c r="BNI27" s="128"/>
      <c r="BNJ27" s="128"/>
      <c r="BNK27" s="128"/>
      <c r="BNL27" s="128"/>
      <c r="BNM27" s="128"/>
      <c r="BNN27" s="128"/>
      <c r="BNO27" s="128"/>
      <c r="BNP27" s="128"/>
      <c r="BNQ27" s="128"/>
      <c r="BNR27" s="128"/>
      <c r="BNS27" s="128"/>
      <c r="BNT27" s="128"/>
      <c r="BNU27" s="128"/>
      <c r="BNV27" s="128"/>
      <c r="BNW27" s="128"/>
      <c r="BNX27" s="128"/>
      <c r="BNY27" s="128"/>
      <c r="BNZ27" s="128"/>
      <c r="BOA27" s="128"/>
      <c r="BOB27" s="128"/>
      <c r="BOC27" s="128"/>
      <c r="BOD27" s="128"/>
      <c r="BOE27" s="128"/>
      <c r="BOF27" s="128"/>
      <c r="BOG27" s="128"/>
      <c r="BOH27" s="128"/>
      <c r="BOI27" s="128"/>
      <c r="BOJ27" s="128"/>
      <c r="BOK27" s="128"/>
      <c r="BOL27" s="128"/>
      <c r="BOM27" s="128"/>
      <c r="BON27" s="128"/>
      <c r="BOO27" s="128"/>
      <c r="BOP27" s="128"/>
      <c r="BOQ27" s="128"/>
      <c r="BOR27" s="128"/>
      <c r="BOS27" s="128"/>
      <c r="BOT27" s="128"/>
      <c r="BOU27" s="128"/>
      <c r="BOV27" s="128"/>
      <c r="BOW27" s="128"/>
      <c r="BOX27" s="128"/>
      <c r="BOY27" s="128"/>
      <c r="BOZ27" s="128"/>
      <c r="BPA27" s="128"/>
      <c r="BPB27" s="128"/>
      <c r="BPC27" s="128"/>
      <c r="BPD27" s="128"/>
      <c r="BPE27" s="128"/>
      <c r="BPF27" s="128"/>
      <c r="BPG27" s="128"/>
      <c r="BPH27" s="128"/>
      <c r="BPI27" s="128"/>
      <c r="BPJ27" s="128"/>
      <c r="BPK27" s="128"/>
      <c r="BPL27" s="128"/>
      <c r="BPM27" s="128"/>
      <c r="BPN27" s="128"/>
      <c r="BPO27" s="128"/>
      <c r="BPP27" s="128"/>
      <c r="BPQ27" s="128"/>
      <c r="BPR27" s="128"/>
      <c r="BPS27" s="128"/>
      <c r="BPT27" s="128"/>
      <c r="BPU27" s="128"/>
      <c r="BPV27" s="128"/>
      <c r="BPW27" s="128"/>
      <c r="BPX27" s="128"/>
      <c r="BPY27" s="128"/>
      <c r="BPZ27" s="128"/>
      <c r="BQA27" s="128"/>
      <c r="BQB27" s="128"/>
      <c r="BQC27" s="128"/>
      <c r="BQD27" s="128"/>
      <c r="BQE27" s="128"/>
      <c r="BQF27" s="128"/>
      <c r="BQG27" s="128"/>
      <c r="BQH27" s="128"/>
      <c r="BQI27" s="128"/>
      <c r="BQJ27" s="128"/>
      <c r="BQK27" s="128"/>
      <c r="BQL27" s="128"/>
      <c r="BQM27" s="128"/>
      <c r="BQN27" s="128"/>
      <c r="BQO27" s="128"/>
      <c r="BQP27" s="128"/>
      <c r="BQQ27" s="128"/>
      <c r="BQR27" s="128"/>
      <c r="BQS27" s="128"/>
      <c r="BQT27" s="128"/>
      <c r="BQU27" s="128"/>
      <c r="BQV27" s="128"/>
      <c r="BQW27" s="128"/>
      <c r="BQX27" s="128"/>
      <c r="BQY27" s="128"/>
      <c r="BQZ27" s="128"/>
      <c r="BRA27" s="128"/>
      <c r="BRB27" s="128"/>
      <c r="BRC27" s="128"/>
      <c r="BRD27" s="128"/>
      <c r="BRE27" s="128"/>
      <c r="BRF27" s="128"/>
      <c r="BRG27" s="128"/>
      <c r="BRH27" s="128"/>
      <c r="BRI27" s="128"/>
      <c r="BRJ27" s="128"/>
      <c r="BRK27" s="128"/>
      <c r="BRL27" s="128"/>
      <c r="BRM27" s="128"/>
      <c r="BRN27" s="128"/>
      <c r="BRO27" s="128"/>
      <c r="BRP27" s="128"/>
      <c r="BRQ27" s="128"/>
      <c r="BRR27" s="128"/>
      <c r="BRS27" s="128"/>
      <c r="BRT27" s="128"/>
      <c r="BRU27" s="128"/>
      <c r="BRV27" s="128"/>
      <c r="BRW27" s="128"/>
      <c r="BRX27" s="128"/>
      <c r="BRY27" s="128"/>
      <c r="BRZ27" s="128"/>
      <c r="BSA27" s="128"/>
      <c r="BSB27" s="128"/>
      <c r="BSC27" s="128"/>
      <c r="BSD27" s="128"/>
      <c r="BSE27" s="128"/>
      <c r="BSF27" s="128"/>
      <c r="BSG27" s="128"/>
      <c r="BSH27" s="128"/>
      <c r="BSI27" s="128"/>
      <c r="BSJ27" s="128"/>
      <c r="BSK27" s="128"/>
      <c r="BSL27" s="128"/>
      <c r="BSM27" s="128"/>
      <c r="BSN27" s="128"/>
      <c r="BSO27" s="128"/>
      <c r="BSP27" s="128"/>
      <c r="BSQ27" s="128"/>
      <c r="BSR27" s="128"/>
      <c r="BSS27" s="128"/>
      <c r="BST27" s="128"/>
      <c r="BSU27" s="128"/>
      <c r="BSV27" s="128"/>
      <c r="BSW27" s="128"/>
      <c r="BSX27" s="128"/>
      <c r="BSY27" s="128"/>
      <c r="BSZ27" s="128"/>
      <c r="BTA27" s="128"/>
      <c r="BTB27" s="128"/>
      <c r="BTC27" s="128"/>
      <c r="BTD27" s="128"/>
      <c r="BTE27" s="128"/>
      <c r="BTF27" s="128"/>
      <c r="BTG27" s="128"/>
      <c r="BTH27" s="128"/>
      <c r="BTI27" s="128"/>
      <c r="BTJ27" s="128"/>
      <c r="BTK27" s="128"/>
      <c r="BTL27" s="128"/>
      <c r="BTM27" s="128"/>
      <c r="BTN27" s="128"/>
      <c r="BTO27" s="128"/>
      <c r="BTP27" s="128"/>
      <c r="BTQ27" s="128"/>
      <c r="BTR27" s="128"/>
      <c r="BTS27" s="128"/>
      <c r="BTT27" s="128"/>
      <c r="BTU27" s="128"/>
      <c r="BTV27" s="128"/>
      <c r="BTW27" s="128"/>
      <c r="BTX27" s="128"/>
      <c r="BTY27" s="128"/>
      <c r="BTZ27" s="128"/>
      <c r="BUA27" s="128"/>
      <c r="BUB27" s="128"/>
      <c r="BUC27" s="128"/>
      <c r="BUD27" s="128"/>
      <c r="BUE27" s="128"/>
      <c r="BUF27" s="128"/>
      <c r="BUG27" s="128"/>
      <c r="BUH27" s="128"/>
      <c r="BUI27" s="128"/>
      <c r="BUJ27" s="128"/>
      <c r="BUK27" s="128"/>
      <c r="BUL27" s="128"/>
      <c r="BUM27" s="128"/>
      <c r="BUN27" s="128"/>
      <c r="BUO27" s="128"/>
      <c r="BUP27" s="128"/>
      <c r="BUQ27" s="128"/>
      <c r="BUR27" s="128"/>
      <c r="BUS27" s="128"/>
      <c r="BUT27" s="128"/>
      <c r="BUU27" s="128"/>
      <c r="BUV27" s="128"/>
      <c r="BUW27" s="128"/>
      <c r="BUX27" s="128"/>
      <c r="BUY27" s="128"/>
      <c r="BUZ27" s="128"/>
      <c r="BVA27" s="128"/>
      <c r="BVB27" s="128"/>
      <c r="BVC27" s="128"/>
      <c r="BVD27" s="128"/>
      <c r="BVE27" s="128"/>
      <c r="BVF27" s="128"/>
      <c r="BVG27" s="128"/>
      <c r="BVH27" s="128"/>
      <c r="BVI27" s="128"/>
      <c r="BVJ27" s="128"/>
      <c r="BVK27" s="128"/>
      <c r="BVL27" s="128"/>
      <c r="BVM27" s="128"/>
      <c r="BVN27" s="128"/>
      <c r="BVO27" s="128"/>
      <c r="BVP27" s="128"/>
      <c r="BVQ27" s="128"/>
      <c r="BVR27" s="128"/>
      <c r="BVS27" s="128"/>
      <c r="BVT27" s="128"/>
      <c r="BVU27" s="128"/>
      <c r="BVV27" s="128"/>
      <c r="BVW27" s="128"/>
      <c r="BVX27" s="128"/>
      <c r="BVY27" s="128"/>
      <c r="BVZ27" s="128"/>
      <c r="BWA27" s="128"/>
      <c r="BWB27" s="128"/>
      <c r="BWC27" s="128"/>
      <c r="BWD27" s="128"/>
      <c r="BWE27" s="128"/>
      <c r="BWF27" s="128"/>
      <c r="BWG27" s="128"/>
      <c r="BWH27" s="128"/>
      <c r="BWI27" s="128"/>
      <c r="BWJ27" s="128"/>
      <c r="BWK27" s="128"/>
      <c r="BWL27" s="128"/>
      <c r="BWM27" s="128"/>
      <c r="BWN27" s="128"/>
      <c r="BWO27" s="128"/>
      <c r="BWP27" s="128"/>
      <c r="BWQ27" s="128"/>
      <c r="BWR27" s="128"/>
      <c r="BWS27" s="128"/>
      <c r="BWT27" s="128"/>
      <c r="BWU27" s="128"/>
      <c r="BWV27" s="128"/>
      <c r="BWW27" s="128"/>
      <c r="BWX27" s="128"/>
      <c r="BWY27" s="128"/>
      <c r="BWZ27" s="128"/>
      <c r="BXA27" s="128"/>
      <c r="BXB27" s="128"/>
      <c r="BXC27" s="128"/>
      <c r="BXD27" s="128"/>
      <c r="BXE27" s="128"/>
      <c r="BXF27" s="128"/>
      <c r="BXG27" s="128"/>
      <c r="BXH27" s="128"/>
      <c r="BXI27" s="128"/>
      <c r="BXJ27" s="128"/>
      <c r="BXK27" s="128"/>
      <c r="BXL27" s="128"/>
      <c r="BXM27" s="128"/>
      <c r="BXN27" s="128"/>
      <c r="BXO27" s="128"/>
      <c r="BXP27" s="128"/>
      <c r="BXQ27" s="128"/>
      <c r="BXR27" s="128"/>
      <c r="BXS27" s="128"/>
      <c r="BXT27" s="128"/>
      <c r="BXU27" s="128"/>
      <c r="BXV27" s="128"/>
      <c r="BXW27" s="128"/>
      <c r="BXX27" s="128"/>
      <c r="BXY27" s="128"/>
      <c r="BXZ27" s="128"/>
      <c r="BYA27" s="128"/>
      <c r="BYB27" s="128"/>
      <c r="BYC27" s="128"/>
      <c r="BYD27" s="128"/>
      <c r="BYE27" s="128"/>
      <c r="BYF27" s="128"/>
      <c r="BYG27" s="128"/>
      <c r="BYH27" s="128"/>
      <c r="BYI27" s="128"/>
      <c r="BYJ27" s="128"/>
      <c r="BYK27" s="128"/>
      <c r="BYL27" s="128"/>
      <c r="BYM27" s="128"/>
      <c r="BYN27" s="128"/>
      <c r="BYO27" s="128"/>
      <c r="BYP27" s="128"/>
      <c r="BYQ27" s="128"/>
      <c r="BYR27" s="128"/>
      <c r="BYS27" s="128"/>
      <c r="BYT27" s="128"/>
      <c r="BYU27" s="128"/>
      <c r="BYV27" s="128"/>
      <c r="BYW27" s="128"/>
      <c r="BYX27" s="128"/>
      <c r="BYY27" s="128"/>
      <c r="BYZ27" s="128"/>
      <c r="BZA27" s="128"/>
      <c r="BZB27" s="128"/>
      <c r="BZC27" s="128"/>
      <c r="BZD27" s="128"/>
      <c r="BZE27" s="128"/>
      <c r="BZF27" s="128"/>
      <c r="BZG27" s="128"/>
      <c r="BZH27" s="128"/>
      <c r="BZI27" s="128"/>
      <c r="BZJ27" s="128"/>
      <c r="BZK27" s="128"/>
      <c r="BZL27" s="128"/>
      <c r="BZM27" s="128"/>
      <c r="BZN27" s="128"/>
      <c r="BZO27" s="128"/>
      <c r="BZP27" s="128"/>
      <c r="BZQ27" s="128"/>
      <c r="BZR27" s="128"/>
      <c r="BZS27" s="128"/>
      <c r="BZT27" s="128"/>
      <c r="BZU27" s="128"/>
      <c r="BZV27" s="128"/>
      <c r="BZW27" s="128"/>
      <c r="BZX27" s="128"/>
      <c r="BZY27" s="128"/>
      <c r="BZZ27" s="128"/>
      <c r="CAA27" s="128"/>
      <c r="CAB27" s="128"/>
      <c r="CAC27" s="128"/>
      <c r="CAD27" s="128"/>
      <c r="CAE27" s="128"/>
      <c r="CAF27" s="128"/>
      <c r="CAG27" s="128"/>
      <c r="CAH27" s="128"/>
      <c r="CAI27" s="128"/>
      <c r="CAJ27" s="128"/>
      <c r="CAK27" s="128"/>
      <c r="CAL27" s="128"/>
      <c r="CAM27" s="128"/>
      <c r="CAN27" s="128"/>
      <c r="CAO27" s="128"/>
      <c r="CAP27" s="128"/>
      <c r="CAQ27" s="128"/>
      <c r="CAR27" s="128"/>
      <c r="CAS27" s="128"/>
      <c r="CAT27" s="128"/>
      <c r="CAU27" s="128"/>
      <c r="CAV27" s="128"/>
      <c r="CAW27" s="128"/>
      <c r="CAX27" s="128"/>
      <c r="CAY27" s="128"/>
      <c r="CAZ27" s="128"/>
      <c r="CBA27" s="128"/>
      <c r="CBB27" s="128"/>
      <c r="CBC27" s="128"/>
      <c r="CBD27" s="128"/>
      <c r="CBE27" s="128"/>
      <c r="CBF27" s="128"/>
      <c r="CBG27" s="128"/>
      <c r="CBH27" s="128"/>
      <c r="CBI27" s="128"/>
      <c r="CBJ27" s="128"/>
      <c r="CBK27" s="128"/>
      <c r="CBL27" s="128"/>
      <c r="CBM27" s="128"/>
      <c r="CBN27" s="128"/>
      <c r="CBO27" s="128"/>
      <c r="CBP27" s="128"/>
      <c r="CBQ27" s="128"/>
      <c r="CBR27" s="128"/>
      <c r="CBS27" s="128"/>
      <c r="CBT27" s="128"/>
      <c r="CBU27" s="128"/>
      <c r="CBV27" s="128"/>
      <c r="CBW27" s="128"/>
      <c r="CBX27" s="128"/>
      <c r="CBY27" s="128"/>
      <c r="CBZ27" s="128"/>
      <c r="CCA27" s="128"/>
      <c r="CCB27" s="128"/>
      <c r="CCC27" s="128"/>
      <c r="CCD27" s="128"/>
      <c r="CCE27" s="128"/>
      <c r="CCF27" s="128"/>
      <c r="CCG27" s="128"/>
      <c r="CCH27" s="128"/>
      <c r="CCI27" s="128"/>
      <c r="CCJ27" s="128"/>
      <c r="CCK27" s="128"/>
      <c r="CCL27" s="128"/>
      <c r="CCM27" s="128"/>
      <c r="CCN27" s="128"/>
      <c r="CCO27" s="128"/>
      <c r="CCP27" s="128"/>
      <c r="CCQ27" s="128"/>
      <c r="CCR27" s="128"/>
      <c r="CCS27" s="128"/>
      <c r="CCT27" s="128"/>
      <c r="CCU27" s="128"/>
      <c r="CCV27" s="128"/>
      <c r="CCW27" s="128"/>
      <c r="CCX27" s="128"/>
      <c r="CCY27" s="128"/>
      <c r="CCZ27" s="128"/>
      <c r="CDA27" s="128"/>
      <c r="CDB27" s="128"/>
      <c r="CDC27" s="128"/>
      <c r="CDD27" s="128"/>
      <c r="CDE27" s="128"/>
      <c r="CDF27" s="128"/>
      <c r="CDG27" s="128"/>
      <c r="CDH27" s="128"/>
      <c r="CDI27" s="128"/>
      <c r="CDJ27" s="128"/>
      <c r="CDK27" s="128"/>
      <c r="CDL27" s="128"/>
      <c r="CDM27" s="128"/>
      <c r="CDN27" s="128"/>
      <c r="CDO27" s="128"/>
      <c r="CDP27" s="128"/>
      <c r="CDQ27" s="128"/>
      <c r="CDR27" s="128"/>
      <c r="CDS27" s="128"/>
      <c r="CDT27" s="128"/>
      <c r="CDU27" s="128"/>
      <c r="CDV27" s="128"/>
      <c r="CDW27" s="128"/>
      <c r="CDX27" s="128"/>
      <c r="CDY27" s="128"/>
      <c r="CDZ27" s="128"/>
      <c r="CEA27" s="128"/>
      <c r="CEB27" s="128"/>
      <c r="CEC27" s="128"/>
      <c r="CED27" s="128"/>
      <c r="CEE27" s="128"/>
      <c r="CEF27" s="128"/>
      <c r="CEG27" s="128"/>
      <c r="CEH27" s="128"/>
      <c r="CEI27" s="128"/>
      <c r="CEJ27" s="128"/>
      <c r="CEK27" s="128"/>
      <c r="CEL27" s="128"/>
      <c r="CEM27" s="128"/>
      <c r="CEN27" s="128"/>
      <c r="CEO27" s="128"/>
      <c r="CEP27" s="128"/>
      <c r="CEQ27" s="128"/>
      <c r="CER27" s="128"/>
      <c r="CES27" s="128"/>
      <c r="CET27" s="128"/>
      <c r="CEU27" s="128"/>
      <c r="CEV27" s="128"/>
      <c r="CEW27" s="128"/>
      <c r="CEX27" s="128"/>
      <c r="CEY27" s="128"/>
      <c r="CEZ27" s="128"/>
      <c r="CFA27" s="128"/>
      <c r="CFB27" s="128"/>
      <c r="CFC27" s="128"/>
      <c r="CFD27" s="128"/>
      <c r="CFE27" s="128"/>
      <c r="CFF27" s="128"/>
      <c r="CFG27" s="128"/>
      <c r="CFH27" s="128"/>
      <c r="CFI27" s="128"/>
      <c r="CFJ27" s="128"/>
      <c r="CFK27" s="128"/>
      <c r="CFL27" s="128"/>
      <c r="CFM27" s="128"/>
      <c r="CFN27" s="128"/>
      <c r="CFO27" s="128"/>
      <c r="CFP27" s="128"/>
      <c r="CFQ27" s="128"/>
      <c r="CFR27" s="128"/>
      <c r="CFS27" s="128"/>
      <c r="CFT27" s="128"/>
      <c r="CFU27" s="128"/>
      <c r="CFV27" s="128"/>
      <c r="CFW27" s="128"/>
      <c r="CFX27" s="128"/>
      <c r="CFY27" s="128"/>
      <c r="CFZ27" s="128"/>
      <c r="CGA27" s="128"/>
      <c r="CGB27" s="128"/>
      <c r="CGC27" s="128"/>
      <c r="CGD27" s="128"/>
      <c r="CGE27" s="128"/>
      <c r="CGF27" s="128"/>
      <c r="CGG27" s="128"/>
      <c r="CGH27" s="128"/>
      <c r="CGI27" s="128"/>
      <c r="CGJ27" s="128"/>
      <c r="CGK27" s="128"/>
      <c r="CGL27" s="128"/>
      <c r="CGM27" s="128"/>
      <c r="CGN27" s="128"/>
      <c r="CGO27" s="128"/>
      <c r="CGP27" s="128"/>
      <c r="CGQ27" s="128"/>
      <c r="CGR27" s="128"/>
      <c r="CGS27" s="128"/>
      <c r="CGT27" s="128"/>
      <c r="CGU27" s="128"/>
      <c r="CGV27" s="128"/>
      <c r="CGW27" s="128"/>
      <c r="CGX27" s="128"/>
      <c r="CGY27" s="128"/>
      <c r="CGZ27" s="128"/>
      <c r="CHA27" s="128"/>
      <c r="CHB27" s="128"/>
      <c r="CHC27" s="128"/>
      <c r="CHD27" s="128"/>
      <c r="CHE27" s="128"/>
      <c r="CHF27" s="128"/>
      <c r="CHG27" s="128"/>
      <c r="CHH27" s="128"/>
      <c r="CHI27" s="128"/>
      <c r="CHJ27" s="128"/>
      <c r="CHK27" s="128"/>
      <c r="CHL27" s="128"/>
      <c r="CHM27" s="128"/>
      <c r="CHN27" s="128"/>
      <c r="CHO27" s="128"/>
      <c r="CHP27" s="128"/>
      <c r="CHQ27" s="128"/>
      <c r="CHR27" s="128"/>
      <c r="CHS27" s="128"/>
      <c r="CHT27" s="128"/>
      <c r="CHU27" s="128"/>
      <c r="CHV27" s="128"/>
      <c r="CHW27" s="128"/>
      <c r="CHX27" s="128"/>
      <c r="CHY27" s="128"/>
      <c r="CHZ27" s="128"/>
      <c r="CIA27" s="128"/>
      <c r="CIB27" s="128"/>
      <c r="CIC27" s="128"/>
      <c r="CID27" s="128"/>
      <c r="CIE27" s="128"/>
      <c r="CIF27" s="128"/>
      <c r="CIG27" s="128"/>
      <c r="CIH27" s="128"/>
      <c r="CII27" s="128"/>
      <c r="CIJ27" s="128"/>
      <c r="CIK27" s="128"/>
      <c r="CIL27" s="128"/>
      <c r="CIM27" s="128"/>
      <c r="CIN27" s="128"/>
      <c r="CIO27" s="128"/>
      <c r="CIP27" s="128"/>
      <c r="CIQ27" s="128"/>
      <c r="CIR27" s="128"/>
      <c r="CIS27" s="128"/>
      <c r="CIT27" s="128"/>
      <c r="CIU27" s="128"/>
      <c r="CIV27" s="128"/>
      <c r="CIW27" s="128"/>
      <c r="CIX27" s="128"/>
      <c r="CIY27" s="128"/>
      <c r="CIZ27" s="128"/>
      <c r="CJA27" s="128"/>
      <c r="CJB27" s="128"/>
      <c r="CJC27" s="128"/>
      <c r="CJD27" s="128"/>
      <c r="CJE27" s="128"/>
      <c r="CJF27" s="128"/>
      <c r="CJG27" s="128"/>
      <c r="CJH27" s="128"/>
      <c r="CJI27" s="128"/>
      <c r="CJJ27" s="128"/>
      <c r="CJK27" s="128"/>
      <c r="CJL27" s="128"/>
      <c r="CJM27" s="128"/>
      <c r="CJN27" s="128"/>
      <c r="CJO27" s="128"/>
      <c r="CJP27" s="128"/>
      <c r="CJQ27" s="128"/>
      <c r="CJR27" s="128"/>
      <c r="CJS27" s="128"/>
      <c r="CJT27" s="128"/>
      <c r="CJU27" s="128"/>
      <c r="CJV27" s="128"/>
      <c r="CJW27" s="128"/>
      <c r="CJX27" s="128"/>
      <c r="CJY27" s="128"/>
      <c r="CJZ27" s="128"/>
      <c r="CKA27" s="128"/>
      <c r="CKB27" s="128"/>
      <c r="CKC27" s="128"/>
      <c r="CKD27" s="128"/>
      <c r="CKE27" s="128"/>
      <c r="CKF27" s="128"/>
      <c r="CKG27" s="128"/>
      <c r="CKH27" s="128"/>
      <c r="CKI27" s="128"/>
      <c r="CKJ27" s="128"/>
      <c r="CKK27" s="128"/>
      <c r="CKL27" s="128"/>
      <c r="CKM27" s="128"/>
      <c r="CKN27" s="128"/>
      <c r="CKO27" s="128"/>
      <c r="CKP27" s="128"/>
      <c r="CKQ27" s="128"/>
      <c r="CKR27" s="128"/>
      <c r="CKS27" s="128"/>
      <c r="CKT27" s="128"/>
      <c r="CKU27" s="128"/>
      <c r="CKV27" s="128"/>
      <c r="CKW27" s="128"/>
      <c r="CKX27" s="128"/>
      <c r="CKY27" s="128"/>
      <c r="CKZ27" s="128"/>
      <c r="CLA27" s="128"/>
      <c r="CLB27" s="128"/>
      <c r="CLC27" s="128"/>
      <c r="CLD27" s="128"/>
      <c r="CLE27" s="128"/>
      <c r="CLF27" s="128"/>
      <c r="CLG27" s="128"/>
      <c r="CLH27" s="128"/>
      <c r="CLI27" s="128"/>
      <c r="CLJ27" s="128"/>
      <c r="CLK27" s="128"/>
      <c r="CLL27" s="128"/>
      <c r="CLM27" s="128"/>
      <c r="CLN27" s="128"/>
      <c r="CLO27" s="128"/>
      <c r="CLP27" s="128"/>
      <c r="CLQ27" s="128"/>
      <c r="CLR27" s="128"/>
      <c r="CLS27" s="128"/>
      <c r="CLT27" s="128"/>
      <c r="CLU27" s="128"/>
      <c r="CLV27" s="128"/>
      <c r="CLW27" s="128"/>
      <c r="CLX27" s="128"/>
      <c r="CLY27" s="128"/>
      <c r="CLZ27" s="128"/>
      <c r="CMA27" s="128"/>
      <c r="CMB27" s="128"/>
      <c r="CMC27" s="128"/>
      <c r="CMD27" s="128"/>
      <c r="CME27" s="128"/>
      <c r="CMF27" s="128"/>
      <c r="CMG27" s="128"/>
      <c r="CMH27" s="128"/>
      <c r="CMI27" s="128"/>
      <c r="CMJ27" s="128"/>
      <c r="CMK27" s="128"/>
      <c r="CML27" s="128"/>
      <c r="CMM27" s="128"/>
      <c r="CMN27" s="128"/>
      <c r="CMO27" s="128"/>
      <c r="CMP27" s="128"/>
      <c r="CMQ27" s="128"/>
      <c r="CMR27" s="128"/>
      <c r="CMS27" s="128"/>
      <c r="CMT27" s="128"/>
      <c r="CMU27" s="128"/>
      <c r="CMV27" s="128"/>
      <c r="CMW27" s="128"/>
      <c r="CMX27" s="128"/>
      <c r="CMY27" s="128"/>
      <c r="CMZ27" s="128"/>
      <c r="CNA27" s="128"/>
      <c r="CNB27" s="128"/>
      <c r="CNC27" s="128"/>
      <c r="CND27" s="128"/>
      <c r="CNE27" s="128"/>
      <c r="CNF27" s="128"/>
      <c r="CNG27" s="128"/>
      <c r="CNH27" s="128"/>
      <c r="CNI27" s="128"/>
      <c r="CNJ27" s="128"/>
      <c r="CNK27" s="128"/>
      <c r="CNL27" s="128"/>
      <c r="CNM27" s="128"/>
      <c r="CNN27" s="128"/>
      <c r="CNO27" s="128"/>
      <c r="CNP27" s="128"/>
      <c r="CNQ27" s="128"/>
      <c r="CNR27" s="128"/>
      <c r="CNS27" s="128"/>
      <c r="CNT27" s="128"/>
      <c r="CNU27" s="128"/>
      <c r="CNV27" s="128"/>
      <c r="CNW27" s="128"/>
      <c r="CNX27" s="128"/>
      <c r="CNY27" s="128"/>
      <c r="CNZ27" s="128"/>
      <c r="COA27" s="128"/>
      <c r="COB27" s="128"/>
      <c r="COC27" s="128"/>
      <c r="COD27" s="128"/>
      <c r="COE27" s="128"/>
      <c r="COF27" s="128"/>
      <c r="COG27" s="128"/>
      <c r="COH27" s="128"/>
      <c r="COI27" s="128"/>
      <c r="COJ27" s="128"/>
      <c r="COK27" s="128"/>
      <c r="COL27" s="128"/>
      <c r="COM27" s="128"/>
      <c r="CON27" s="128"/>
      <c r="COO27" s="128"/>
      <c r="COP27" s="128"/>
      <c r="COQ27" s="128"/>
      <c r="COR27" s="128"/>
      <c r="COS27" s="128"/>
      <c r="COT27" s="128"/>
      <c r="COU27" s="128"/>
      <c r="COV27" s="128"/>
      <c r="COW27" s="128"/>
      <c r="COX27" s="128"/>
      <c r="COY27" s="128"/>
      <c r="COZ27" s="128"/>
      <c r="CPA27" s="128"/>
      <c r="CPB27" s="128"/>
      <c r="CPC27" s="128"/>
      <c r="CPD27" s="128"/>
      <c r="CPE27" s="128"/>
      <c r="CPF27" s="128"/>
      <c r="CPG27" s="128"/>
      <c r="CPH27" s="128"/>
      <c r="CPI27" s="128"/>
      <c r="CPJ27" s="128"/>
      <c r="CPK27" s="128"/>
      <c r="CPL27" s="128"/>
      <c r="CPM27" s="128"/>
      <c r="CPN27" s="128"/>
      <c r="CPO27" s="128"/>
      <c r="CPP27" s="128"/>
      <c r="CPQ27" s="128"/>
      <c r="CPR27" s="128"/>
      <c r="CPS27" s="128"/>
      <c r="CPT27" s="128"/>
      <c r="CPU27" s="128"/>
      <c r="CPV27" s="128"/>
      <c r="CPW27" s="128"/>
      <c r="CPX27" s="128"/>
      <c r="CPY27" s="128"/>
      <c r="CPZ27" s="128"/>
      <c r="CQA27" s="128"/>
      <c r="CQB27" s="128"/>
      <c r="CQC27" s="128"/>
      <c r="CQD27" s="128"/>
      <c r="CQE27" s="128"/>
      <c r="CQF27" s="128"/>
      <c r="CQG27" s="128"/>
      <c r="CQH27" s="128"/>
      <c r="CQI27" s="128"/>
      <c r="CQJ27" s="128"/>
      <c r="CQK27" s="128"/>
      <c r="CQL27" s="128"/>
      <c r="CQM27" s="128"/>
      <c r="CQN27" s="128"/>
      <c r="CQO27" s="128"/>
      <c r="CQP27" s="128"/>
      <c r="CQQ27" s="128"/>
      <c r="CQR27" s="128"/>
      <c r="CQS27" s="128"/>
      <c r="CQT27" s="128"/>
      <c r="CQU27" s="128"/>
      <c r="CQV27" s="128"/>
      <c r="CQW27" s="128"/>
      <c r="CQX27" s="128"/>
      <c r="CQY27" s="128"/>
      <c r="CQZ27" s="128"/>
      <c r="CRA27" s="128"/>
      <c r="CRB27" s="128"/>
      <c r="CRC27" s="128"/>
      <c r="CRD27" s="128"/>
      <c r="CRE27" s="128"/>
      <c r="CRF27" s="128"/>
      <c r="CRG27" s="128"/>
      <c r="CRH27" s="128"/>
      <c r="CRI27" s="128"/>
      <c r="CRJ27" s="128"/>
      <c r="CRK27" s="128"/>
      <c r="CRL27" s="128"/>
      <c r="CRM27" s="128"/>
      <c r="CRN27" s="128"/>
      <c r="CRO27" s="128"/>
      <c r="CRP27" s="128"/>
      <c r="CRQ27" s="128"/>
      <c r="CRR27" s="128"/>
      <c r="CRS27" s="128"/>
      <c r="CRT27" s="128"/>
      <c r="CRU27" s="128"/>
      <c r="CRV27" s="128"/>
      <c r="CRW27" s="128"/>
      <c r="CRX27" s="128"/>
      <c r="CRY27" s="128"/>
      <c r="CRZ27" s="128"/>
      <c r="CSA27" s="128"/>
      <c r="CSB27" s="128"/>
      <c r="CSC27" s="128"/>
      <c r="CSD27" s="128"/>
      <c r="CSE27" s="128"/>
      <c r="CSF27" s="128"/>
      <c r="CSG27" s="128"/>
      <c r="CSH27" s="128"/>
      <c r="CSI27" s="128"/>
      <c r="CSJ27" s="128"/>
      <c r="CSK27" s="128"/>
      <c r="CSL27" s="128"/>
      <c r="CSM27" s="128"/>
      <c r="CSN27" s="128"/>
      <c r="CSO27" s="128"/>
      <c r="CSP27" s="128"/>
      <c r="CSQ27" s="128"/>
      <c r="CSR27" s="128"/>
      <c r="CSS27" s="128"/>
      <c r="CST27" s="128"/>
      <c r="CSU27" s="128"/>
      <c r="CSV27" s="128"/>
      <c r="CSW27" s="128"/>
      <c r="CSX27" s="128"/>
      <c r="CSY27" s="128"/>
      <c r="CSZ27" s="128"/>
      <c r="CTA27" s="128"/>
      <c r="CTB27" s="128"/>
      <c r="CTC27" s="128"/>
      <c r="CTD27" s="128"/>
      <c r="CTE27" s="128"/>
      <c r="CTF27" s="128"/>
      <c r="CTG27" s="128"/>
      <c r="CTH27" s="128"/>
      <c r="CTI27" s="128"/>
      <c r="CTJ27" s="128"/>
      <c r="CTK27" s="128"/>
      <c r="CTL27" s="128"/>
      <c r="CTM27" s="128"/>
      <c r="CTN27" s="128"/>
      <c r="CTO27" s="128"/>
      <c r="CTP27" s="128"/>
      <c r="CTQ27" s="128"/>
      <c r="CTR27" s="128"/>
      <c r="CTS27" s="128"/>
      <c r="CTT27" s="128"/>
      <c r="CTU27" s="128"/>
      <c r="CTV27" s="128"/>
      <c r="CTW27" s="128"/>
      <c r="CTX27" s="128"/>
      <c r="CTY27" s="128"/>
      <c r="CTZ27" s="128"/>
      <c r="CUA27" s="128"/>
      <c r="CUB27" s="128"/>
      <c r="CUC27" s="128"/>
      <c r="CUD27" s="128"/>
      <c r="CUE27" s="128"/>
      <c r="CUF27" s="128"/>
      <c r="CUG27" s="128"/>
      <c r="CUH27" s="128"/>
      <c r="CUI27" s="128"/>
      <c r="CUJ27" s="128"/>
      <c r="CUK27" s="128"/>
      <c r="CUL27" s="128"/>
      <c r="CUM27" s="128"/>
      <c r="CUN27" s="128"/>
      <c r="CUO27" s="128"/>
      <c r="CUP27" s="128"/>
      <c r="CUQ27" s="128"/>
      <c r="CUR27" s="128"/>
      <c r="CUS27" s="128"/>
      <c r="CUT27" s="128"/>
      <c r="CUU27" s="128"/>
      <c r="CUV27" s="128"/>
      <c r="CUW27" s="128"/>
      <c r="CUX27" s="128"/>
      <c r="CUY27" s="128"/>
      <c r="CUZ27" s="128"/>
      <c r="CVA27" s="128"/>
      <c r="CVB27" s="128"/>
      <c r="CVC27" s="128"/>
      <c r="CVD27" s="128"/>
      <c r="CVE27" s="128"/>
      <c r="CVF27" s="128"/>
      <c r="CVG27" s="128"/>
      <c r="CVH27" s="128"/>
      <c r="CVI27" s="128"/>
      <c r="CVJ27" s="128"/>
      <c r="CVK27" s="128"/>
      <c r="CVL27" s="128"/>
      <c r="CVM27" s="128"/>
      <c r="CVN27" s="128"/>
      <c r="CVO27" s="128"/>
      <c r="CVP27" s="128"/>
      <c r="CVQ27" s="128"/>
      <c r="CVR27" s="128"/>
      <c r="CVS27" s="128"/>
      <c r="CVT27" s="128"/>
      <c r="CVU27" s="128"/>
      <c r="CVV27" s="128"/>
      <c r="CVW27" s="128"/>
      <c r="CVX27" s="128"/>
      <c r="CVY27" s="128"/>
      <c r="CVZ27" s="128"/>
      <c r="CWA27" s="128"/>
      <c r="CWB27" s="128"/>
      <c r="CWC27" s="128"/>
      <c r="CWD27" s="128"/>
      <c r="CWE27" s="128"/>
      <c r="CWF27" s="128"/>
      <c r="CWG27" s="128"/>
      <c r="CWH27" s="128"/>
      <c r="CWI27" s="128"/>
      <c r="CWJ27" s="128"/>
      <c r="CWK27" s="128"/>
      <c r="CWL27" s="128"/>
      <c r="CWM27" s="128"/>
      <c r="CWN27" s="128"/>
      <c r="CWO27" s="128"/>
      <c r="CWP27" s="128"/>
      <c r="CWQ27" s="128"/>
      <c r="CWR27" s="128"/>
      <c r="CWS27" s="128"/>
      <c r="CWT27" s="128"/>
      <c r="CWU27" s="128"/>
      <c r="CWV27" s="128"/>
      <c r="CWW27" s="128"/>
      <c r="CWX27" s="128"/>
      <c r="CWY27" s="128"/>
      <c r="CWZ27" s="128"/>
      <c r="CXA27" s="128"/>
      <c r="CXB27" s="128"/>
      <c r="CXC27" s="128"/>
      <c r="CXD27" s="128"/>
      <c r="CXE27" s="128"/>
      <c r="CXF27" s="128"/>
      <c r="CXG27" s="128"/>
      <c r="CXH27" s="128"/>
      <c r="CXI27" s="128"/>
      <c r="CXJ27" s="128"/>
      <c r="CXK27" s="128"/>
      <c r="CXL27" s="128"/>
      <c r="CXM27" s="128"/>
      <c r="CXN27" s="128"/>
      <c r="CXO27" s="128"/>
      <c r="CXP27" s="128"/>
      <c r="CXQ27" s="128"/>
      <c r="CXR27" s="128"/>
      <c r="CXS27" s="128"/>
      <c r="CXT27" s="128"/>
      <c r="CXU27" s="128"/>
      <c r="CXV27" s="128"/>
      <c r="CXW27" s="128"/>
      <c r="CXX27" s="128"/>
      <c r="CXY27" s="128"/>
      <c r="CXZ27" s="128"/>
      <c r="CYA27" s="128"/>
      <c r="CYB27" s="128"/>
      <c r="CYC27" s="128"/>
      <c r="CYD27" s="128"/>
      <c r="CYE27" s="128"/>
      <c r="CYF27" s="128"/>
      <c r="CYG27" s="128"/>
      <c r="CYH27" s="128"/>
      <c r="CYI27" s="128"/>
      <c r="CYJ27" s="128"/>
      <c r="CYK27" s="128"/>
      <c r="CYL27" s="128"/>
      <c r="CYM27" s="128"/>
      <c r="CYN27" s="128"/>
      <c r="CYO27" s="128"/>
      <c r="CYP27" s="128"/>
      <c r="CYQ27" s="128"/>
      <c r="CYR27" s="128"/>
      <c r="CYS27" s="128"/>
      <c r="CYT27" s="128"/>
      <c r="CYU27" s="128"/>
      <c r="CYV27" s="128"/>
      <c r="CYW27" s="128"/>
      <c r="CYX27" s="128"/>
      <c r="CYY27" s="128"/>
      <c r="CYZ27" s="128"/>
      <c r="CZA27" s="128"/>
      <c r="CZB27" s="128"/>
      <c r="CZC27" s="128"/>
      <c r="CZD27" s="128"/>
      <c r="CZE27" s="128"/>
      <c r="CZF27" s="128"/>
      <c r="CZG27" s="128"/>
      <c r="CZH27" s="128"/>
      <c r="CZI27" s="128"/>
      <c r="CZJ27" s="128"/>
      <c r="CZK27" s="128"/>
      <c r="CZL27" s="128"/>
      <c r="CZM27" s="128"/>
      <c r="CZN27" s="128"/>
      <c r="CZO27" s="128"/>
      <c r="CZP27" s="128"/>
      <c r="CZQ27" s="128"/>
      <c r="CZR27" s="128"/>
      <c r="CZS27" s="128"/>
      <c r="CZT27" s="128"/>
      <c r="CZU27" s="128"/>
      <c r="CZV27" s="128"/>
      <c r="CZW27" s="128"/>
      <c r="CZX27" s="128"/>
      <c r="CZY27" s="128"/>
      <c r="CZZ27" s="128"/>
      <c r="DAA27" s="128"/>
      <c r="DAB27" s="128"/>
      <c r="DAC27" s="128"/>
      <c r="DAD27" s="128"/>
      <c r="DAE27" s="128"/>
      <c r="DAF27" s="128"/>
      <c r="DAG27" s="128"/>
      <c r="DAH27" s="128"/>
      <c r="DAI27" s="128"/>
      <c r="DAJ27" s="128"/>
      <c r="DAK27" s="128"/>
      <c r="DAL27" s="128"/>
      <c r="DAM27" s="128"/>
      <c r="DAN27" s="128"/>
      <c r="DAO27" s="128"/>
      <c r="DAP27" s="128"/>
      <c r="DAQ27" s="128"/>
      <c r="DAR27" s="128"/>
      <c r="DAS27" s="128"/>
      <c r="DAT27" s="128"/>
      <c r="DAU27" s="128"/>
      <c r="DAV27" s="128"/>
      <c r="DAW27" s="128"/>
      <c r="DAX27" s="128"/>
      <c r="DAY27" s="128"/>
      <c r="DAZ27" s="128"/>
      <c r="DBA27" s="128"/>
      <c r="DBB27" s="128"/>
      <c r="DBC27" s="128"/>
      <c r="DBD27" s="128"/>
      <c r="DBE27" s="128"/>
      <c r="DBF27" s="128"/>
      <c r="DBG27" s="128"/>
      <c r="DBH27" s="128"/>
      <c r="DBI27" s="128"/>
      <c r="DBJ27" s="128"/>
      <c r="DBK27" s="128"/>
      <c r="DBL27" s="128"/>
      <c r="DBM27" s="128"/>
      <c r="DBN27" s="128"/>
      <c r="DBO27" s="128"/>
      <c r="DBP27" s="128"/>
      <c r="DBQ27" s="128"/>
      <c r="DBR27" s="128"/>
      <c r="DBS27" s="128"/>
      <c r="DBT27" s="128"/>
      <c r="DBU27" s="128"/>
      <c r="DBV27" s="128"/>
      <c r="DBW27" s="128"/>
      <c r="DBX27" s="128"/>
      <c r="DBY27" s="128"/>
      <c r="DBZ27" s="128"/>
      <c r="DCA27" s="128"/>
      <c r="DCB27" s="128"/>
      <c r="DCC27" s="128"/>
      <c r="DCD27" s="128"/>
      <c r="DCE27" s="128"/>
      <c r="DCF27" s="128"/>
      <c r="DCG27" s="128"/>
      <c r="DCH27" s="128"/>
      <c r="DCI27" s="128"/>
      <c r="DCJ27" s="128"/>
      <c r="DCK27" s="128"/>
      <c r="DCL27" s="128"/>
      <c r="DCM27" s="128"/>
      <c r="DCN27" s="128"/>
      <c r="DCO27" s="128"/>
      <c r="DCP27" s="128"/>
      <c r="DCQ27" s="128"/>
      <c r="DCR27" s="128"/>
      <c r="DCS27" s="128"/>
      <c r="DCT27" s="128"/>
      <c r="DCU27" s="128"/>
      <c r="DCV27" s="128"/>
      <c r="DCW27" s="128"/>
      <c r="DCX27" s="128"/>
      <c r="DCY27" s="128"/>
      <c r="DCZ27" s="128"/>
      <c r="DDA27" s="128"/>
      <c r="DDB27" s="128"/>
      <c r="DDC27" s="128"/>
      <c r="DDD27" s="128"/>
      <c r="DDE27" s="128"/>
      <c r="DDF27" s="128"/>
      <c r="DDG27" s="128"/>
      <c r="DDH27" s="128"/>
      <c r="DDI27" s="128"/>
      <c r="DDJ27" s="128"/>
      <c r="DDK27" s="128"/>
      <c r="DDL27" s="128"/>
      <c r="DDM27" s="128"/>
      <c r="DDN27" s="128"/>
      <c r="DDO27" s="128"/>
      <c r="DDP27" s="128"/>
      <c r="DDQ27" s="128"/>
      <c r="DDR27" s="128"/>
      <c r="DDS27" s="128"/>
      <c r="DDT27" s="128"/>
      <c r="DDU27" s="128"/>
      <c r="DDV27" s="128"/>
      <c r="DDW27" s="128"/>
      <c r="DDX27" s="128"/>
      <c r="DDY27" s="128"/>
      <c r="DDZ27" s="128"/>
      <c r="DEA27" s="128"/>
      <c r="DEB27" s="128"/>
      <c r="DEC27" s="128"/>
      <c r="DED27" s="128"/>
      <c r="DEE27" s="128"/>
      <c r="DEF27" s="128"/>
      <c r="DEG27" s="128"/>
      <c r="DEH27" s="128"/>
      <c r="DEI27" s="128"/>
      <c r="DEJ27" s="128"/>
      <c r="DEK27" s="128"/>
      <c r="DEL27" s="128"/>
      <c r="DEM27" s="128"/>
      <c r="DEN27" s="128"/>
      <c r="DEO27" s="128"/>
      <c r="DEP27" s="128"/>
      <c r="DEQ27" s="128"/>
      <c r="DER27" s="128"/>
      <c r="DES27" s="128"/>
      <c r="DET27" s="128"/>
      <c r="DEU27" s="128"/>
      <c r="DEV27" s="128"/>
      <c r="DEW27" s="128"/>
      <c r="DEX27" s="128"/>
      <c r="DEY27" s="128"/>
      <c r="DEZ27" s="128"/>
      <c r="DFA27" s="128"/>
      <c r="DFB27" s="128"/>
      <c r="DFC27" s="128"/>
      <c r="DFD27" s="128"/>
      <c r="DFE27" s="128"/>
      <c r="DFF27" s="128"/>
      <c r="DFG27" s="128"/>
      <c r="DFH27" s="128"/>
      <c r="DFI27" s="128"/>
      <c r="DFJ27" s="128"/>
      <c r="DFK27" s="128"/>
      <c r="DFL27" s="128"/>
      <c r="DFM27" s="128"/>
      <c r="DFN27" s="128"/>
      <c r="DFO27" s="128"/>
      <c r="DFP27" s="128"/>
      <c r="DFQ27" s="128"/>
      <c r="DFR27" s="128"/>
      <c r="DFS27" s="128"/>
      <c r="DFT27" s="128"/>
      <c r="DFU27" s="128"/>
      <c r="DFV27" s="128"/>
      <c r="DFW27" s="128"/>
      <c r="DFX27" s="128"/>
      <c r="DFY27" s="128"/>
      <c r="DFZ27" s="128"/>
      <c r="DGA27" s="128"/>
      <c r="DGB27" s="128"/>
      <c r="DGC27" s="128"/>
      <c r="DGD27" s="128"/>
      <c r="DGE27" s="128"/>
      <c r="DGF27" s="128"/>
      <c r="DGG27" s="128"/>
      <c r="DGH27" s="128"/>
      <c r="DGI27" s="128"/>
      <c r="DGJ27" s="128"/>
      <c r="DGK27" s="128"/>
      <c r="DGL27" s="128"/>
      <c r="DGM27" s="128"/>
      <c r="DGN27" s="128"/>
      <c r="DGO27" s="128"/>
      <c r="DGP27" s="128"/>
      <c r="DGQ27" s="128"/>
      <c r="DGR27" s="128"/>
      <c r="DGS27" s="128"/>
      <c r="DGT27" s="128"/>
      <c r="DGU27" s="128"/>
      <c r="DGV27" s="128"/>
      <c r="DGW27" s="128"/>
      <c r="DGX27" s="128"/>
      <c r="DGY27" s="128"/>
      <c r="DGZ27" s="128"/>
      <c r="DHA27" s="128"/>
      <c r="DHB27" s="128"/>
      <c r="DHC27" s="128"/>
      <c r="DHD27" s="128"/>
      <c r="DHE27" s="128"/>
      <c r="DHF27" s="128"/>
      <c r="DHG27" s="128"/>
      <c r="DHH27" s="128"/>
      <c r="DHI27" s="128"/>
      <c r="DHJ27" s="128"/>
      <c r="DHK27" s="128"/>
      <c r="DHL27" s="128"/>
      <c r="DHM27" s="128"/>
      <c r="DHN27" s="128"/>
      <c r="DHO27" s="128"/>
      <c r="DHP27" s="128"/>
      <c r="DHQ27" s="128"/>
      <c r="DHR27" s="128"/>
      <c r="DHS27" s="128"/>
      <c r="DHT27" s="128"/>
      <c r="DHU27" s="128"/>
      <c r="DHV27" s="128"/>
      <c r="DHW27" s="128"/>
      <c r="DHX27" s="128"/>
      <c r="DHY27" s="128"/>
      <c r="DHZ27" s="128"/>
      <c r="DIA27" s="128"/>
      <c r="DIB27" s="128"/>
      <c r="DIC27" s="128"/>
    </row>
    <row r="28" spans="1:2941" s="154" customFormat="1" ht="12" x14ac:dyDescent="0.2">
      <c r="A28" s="366" t="s">
        <v>197</v>
      </c>
      <c r="B28" s="367"/>
      <c r="C28" s="367"/>
      <c r="D28" s="367"/>
      <c r="E28" s="367"/>
      <c r="F28" s="367"/>
      <c r="G28" s="368"/>
      <c r="H28" s="236"/>
      <c r="I28" s="151"/>
      <c r="J28" s="151"/>
      <c r="K28" s="151"/>
      <c r="L28" s="151"/>
      <c r="M28" s="151"/>
      <c r="N28" s="151"/>
      <c r="O28" s="199"/>
      <c r="P28" s="206"/>
      <c r="Q28" s="206"/>
      <c r="R28" s="206"/>
      <c r="S28" s="206"/>
      <c r="T28" s="206"/>
      <c r="U28" s="206"/>
      <c r="V28" s="206"/>
      <c r="W28" s="206"/>
      <c r="X28" s="206"/>
      <c r="Y28" s="206"/>
      <c r="Z28" s="206"/>
      <c r="AA28" s="206"/>
      <c r="AB28" s="206"/>
      <c r="AC28" s="206"/>
      <c r="AD28" s="206"/>
      <c r="AE28" s="206"/>
      <c r="AF28" s="206"/>
      <c r="AG28" s="206"/>
      <c r="AH28" s="206"/>
      <c r="AI28" s="206"/>
      <c r="AJ28" s="187"/>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174"/>
      <c r="BI28" s="174"/>
      <c r="BJ28" s="174"/>
      <c r="BK28" s="174"/>
      <c r="BL28" s="174"/>
      <c r="BM28" s="174"/>
      <c r="BN28" s="174"/>
      <c r="BO28" s="174"/>
      <c r="BP28" s="174"/>
      <c r="BQ28" s="206"/>
      <c r="BR28" s="206"/>
      <c r="BS28" s="206"/>
      <c r="BT28" s="206"/>
      <c r="BU28" s="206"/>
      <c r="BV28" s="206"/>
      <c r="BW28" s="206"/>
      <c r="BX28" s="206"/>
      <c r="BY28" s="206"/>
      <c r="BZ28" s="206"/>
      <c r="CA28" s="206"/>
      <c r="CB28" s="206"/>
      <c r="CC28" s="206"/>
      <c r="CD28" s="206"/>
      <c r="CE28" s="206"/>
      <c r="CF28" s="206"/>
      <c r="CG28" s="206"/>
      <c r="CH28" s="206"/>
      <c r="CI28" s="206"/>
      <c r="CJ28" s="206"/>
      <c r="CK28" s="206"/>
      <c r="CL28" s="206"/>
      <c r="CM28" s="206"/>
      <c r="CN28" s="206"/>
      <c r="CO28" s="206"/>
      <c r="CP28" s="206"/>
      <c r="CQ28" s="206"/>
      <c r="CR28" s="206"/>
      <c r="CS28" s="206"/>
      <c r="CT28" s="206"/>
      <c r="CU28" s="206"/>
      <c r="CV28" s="206"/>
      <c r="CW28" s="206"/>
      <c r="CX28" s="206"/>
      <c r="CY28" s="206"/>
      <c r="CZ28" s="206"/>
      <c r="DA28" s="206"/>
      <c r="DB28" s="206"/>
      <c r="DC28" s="206"/>
      <c r="DD28" s="206"/>
      <c r="DE28" s="206"/>
      <c r="DF28" s="206"/>
      <c r="DG28" s="241"/>
      <c r="DH28" s="241"/>
      <c r="DI28" s="242"/>
      <c r="DJ28" s="242"/>
      <c r="DK28" s="128"/>
      <c r="DL28" s="128"/>
      <c r="DM28" s="128"/>
      <c r="DN28" s="128"/>
      <c r="DO28" s="128"/>
      <c r="DP28" s="128"/>
      <c r="DQ28" s="128"/>
      <c r="DR28" s="128"/>
      <c r="DS28" s="128"/>
      <c r="DT28" s="128"/>
      <c r="DU28" s="128"/>
      <c r="DV28" s="128"/>
      <c r="DW28" s="128"/>
      <c r="DX28" s="128"/>
      <c r="DY28" s="128"/>
      <c r="DZ28" s="128"/>
      <c r="EA28" s="128"/>
      <c r="EB28" s="128"/>
      <c r="EC28" s="128"/>
      <c r="ED28" s="128"/>
      <c r="EE28" s="128"/>
      <c r="EF28" s="128"/>
      <c r="EG28" s="128"/>
      <c r="EH28" s="128"/>
      <c r="EI28" s="128"/>
      <c r="EJ28" s="128"/>
      <c r="EK28" s="128"/>
      <c r="EL28" s="128"/>
      <c r="EM28" s="128"/>
      <c r="EN28" s="128"/>
      <c r="EO28" s="128"/>
      <c r="EP28" s="128"/>
      <c r="EQ28" s="128"/>
      <c r="ER28" s="128"/>
      <c r="ES28" s="128"/>
      <c r="ET28" s="128"/>
      <c r="EU28" s="128"/>
      <c r="EV28" s="128"/>
      <c r="EW28" s="128"/>
      <c r="EX28" s="128"/>
      <c r="EY28" s="128"/>
      <c r="EZ28" s="128"/>
      <c r="FA28" s="128"/>
      <c r="FB28" s="128"/>
      <c r="FC28" s="128"/>
      <c r="FD28" s="128"/>
      <c r="FE28" s="128"/>
      <c r="FF28" s="128"/>
      <c r="FG28" s="128"/>
      <c r="FH28" s="128"/>
      <c r="FI28" s="128"/>
      <c r="FJ28" s="128"/>
      <c r="FK28" s="128"/>
      <c r="FL28" s="128"/>
      <c r="FM28" s="128"/>
      <c r="FN28" s="128"/>
      <c r="FO28" s="128"/>
      <c r="FP28" s="128"/>
      <c r="FQ28" s="128"/>
      <c r="FR28" s="128"/>
      <c r="FS28" s="128"/>
      <c r="FT28" s="128"/>
      <c r="FU28" s="128"/>
      <c r="FV28" s="128"/>
      <c r="FW28" s="128"/>
      <c r="FX28" s="128"/>
      <c r="FY28" s="128"/>
      <c r="FZ28" s="128"/>
      <c r="GA28" s="128"/>
      <c r="GB28" s="128"/>
      <c r="GC28" s="128"/>
      <c r="GD28" s="128"/>
      <c r="GE28" s="128"/>
      <c r="GF28" s="128"/>
      <c r="GG28" s="128"/>
      <c r="GH28" s="128"/>
      <c r="GI28" s="128"/>
      <c r="GJ28" s="128"/>
      <c r="GK28" s="128"/>
      <c r="GL28" s="128"/>
      <c r="GM28" s="128"/>
      <c r="GN28" s="128"/>
      <c r="GO28" s="128"/>
      <c r="GP28" s="128"/>
      <c r="GQ28" s="128"/>
      <c r="GR28" s="128"/>
      <c r="GS28" s="128"/>
      <c r="GT28" s="128"/>
      <c r="GU28" s="128"/>
      <c r="GV28" s="128"/>
      <c r="GW28" s="128"/>
      <c r="GX28" s="128"/>
      <c r="GY28" s="128"/>
      <c r="GZ28" s="128"/>
      <c r="HA28" s="128"/>
      <c r="HB28" s="128"/>
      <c r="HC28" s="128"/>
      <c r="HD28" s="128"/>
      <c r="HE28" s="128"/>
      <c r="HF28" s="128"/>
      <c r="HG28" s="128"/>
      <c r="HH28" s="128"/>
      <c r="HI28" s="128"/>
      <c r="HJ28" s="128"/>
      <c r="HK28" s="128"/>
      <c r="HL28" s="128"/>
      <c r="HM28" s="128"/>
      <c r="HN28" s="128"/>
      <c r="HO28" s="128"/>
      <c r="HP28" s="128"/>
      <c r="HQ28" s="128"/>
      <c r="HR28" s="128"/>
      <c r="HS28" s="128"/>
      <c r="HT28" s="128"/>
      <c r="HU28" s="128"/>
      <c r="HV28" s="128"/>
      <c r="HW28" s="128"/>
      <c r="HX28" s="128"/>
      <c r="HY28" s="128"/>
      <c r="HZ28" s="128"/>
      <c r="IA28" s="128"/>
      <c r="IB28" s="128"/>
      <c r="IC28" s="128"/>
      <c r="ID28" s="128"/>
      <c r="IE28" s="128"/>
      <c r="IF28" s="128"/>
      <c r="IG28" s="128"/>
      <c r="IH28" s="128"/>
      <c r="II28" s="128"/>
      <c r="IJ28" s="128"/>
      <c r="IK28" s="128"/>
      <c r="IL28" s="128"/>
      <c r="IM28" s="128"/>
      <c r="IN28" s="128"/>
      <c r="IO28" s="128"/>
      <c r="IP28" s="128"/>
      <c r="IQ28" s="128"/>
      <c r="IR28" s="128"/>
      <c r="IS28" s="128"/>
      <c r="IT28" s="128"/>
      <c r="IU28" s="128"/>
      <c r="IV28" s="128"/>
      <c r="IW28" s="128"/>
      <c r="IX28" s="128"/>
      <c r="IY28" s="128"/>
      <c r="IZ28" s="128"/>
      <c r="JA28" s="128"/>
      <c r="JB28" s="128"/>
      <c r="JC28" s="128"/>
      <c r="JD28" s="128"/>
      <c r="JE28" s="128"/>
      <c r="JF28" s="128"/>
      <c r="JG28" s="128"/>
      <c r="JH28" s="128"/>
      <c r="JI28" s="128"/>
      <c r="JJ28" s="128"/>
      <c r="JK28" s="128"/>
      <c r="JL28" s="128"/>
      <c r="JM28" s="128"/>
      <c r="JN28" s="128"/>
      <c r="JO28" s="128"/>
      <c r="JP28" s="128"/>
      <c r="JQ28" s="128"/>
      <c r="JR28" s="128"/>
      <c r="JS28" s="128"/>
      <c r="JT28" s="128"/>
      <c r="JU28" s="128"/>
      <c r="JV28" s="128"/>
      <c r="JW28" s="128"/>
      <c r="JX28" s="128"/>
      <c r="JY28" s="128"/>
      <c r="JZ28" s="128"/>
      <c r="KA28" s="128"/>
      <c r="KB28" s="128"/>
      <c r="KC28" s="128"/>
      <c r="KD28" s="128"/>
      <c r="KE28" s="128"/>
      <c r="KF28" s="128"/>
      <c r="KG28" s="128"/>
      <c r="KH28" s="128"/>
      <c r="KI28" s="128"/>
      <c r="KJ28" s="128"/>
      <c r="KK28" s="128"/>
      <c r="KL28" s="128"/>
      <c r="KM28" s="128"/>
      <c r="KN28" s="128"/>
      <c r="KO28" s="128"/>
      <c r="KP28" s="128"/>
      <c r="KQ28" s="128"/>
      <c r="KR28" s="128"/>
      <c r="KS28" s="128"/>
      <c r="KT28" s="128"/>
      <c r="KU28" s="128"/>
      <c r="KV28" s="128"/>
      <c r="KW28" s="128"/>
      <c r="KX28" s="128"/>
      <c r="KY28" s="128"/>
      <c r="KZ28" s="128"/>
      <c r="LA28" s="128"/>
      <c r="LB28" s="128"/>
      <c r="LC28" s="128"/>
      <c r="LD28" s="128"/>
      <c r="LE28" s="128"/>
      <c r="LF28" s="128"/>
      <c r="LG28" s="128"/>
      <c r="LH28" s="128"/>
      <c r="LI28" s="128"/>
      <c r="LJ28" s="128"/>
      <c r="LK28" s="128"/>
      <c r="LL28" s="128"/>
      <c r="LM28" s="128"/>
      <c r="LN28" s="128"/>
      <c r="LO28" s="128"/>
      <c r="LP28" s="128"/>
      <c r="LQ28" s="128"/>
      <c r="LR28" s="128"/>
      <c r="LS28" s="128"/>
      <c r="LT28" s="128"/>
      <c r="LU28" s="128"/>
      <c r="LV28" s="128"/>
      <c r="LW28" s="128"/>
      <c r="LX28" s="128"/>
      <c r="LY28" s="128"/>
      <c r="LZ28" s="128"/>
      <c r="MA28" s="128"/>
      <c r="MB28" s="128"/>
      <c r="MC28" s="128"/>
      <c r="MD28" s="128"/>
      <c r="ME28" s="128"/>
      <c r="MF28" s="128"/>
      <c r="MG28" s="128"/>
      <c r="MH28" s="128"/>
      <c r="MI28" s="128"/>
      <c r="MJ28" s="128"/>
      <c r="MK28" s="128"/>
      <c r="ML28" s="128"/>
      <c r="MM28" s="128"/>
      <c r="MN28" s="128"/>
      <c r="MO28" s="128"/>
      <c r="MP28" s="128"/>
      <c r="MQ28" s="128"/>
      <c r="MR28" s="128"/>
      <c r="MS28" s="128"/>
      <c r="MT28" s="128"/>
      <c r="MU28" s="128"/>
      <c r="MV28" s="128"/>
      <c r="MW28" s="128"/>
      <c r="MX28" s="128"/>
      <c r="MY28" s="128"/>
      <c r="MZ28" s="128"/>
      <c r="NA28" s="128"/>
      <c r="NB28" s="128"/>
      <c r="NC28" s="128"/>
      <c r="ND28" s="128"/>
      <c r="NE28" s="128"/>
      <c r="NF28" s="128"/>
      <c r="NG28" s="128"/>
      <c r="NH28" s="128"/>
      <c r="NI28" s="128"/>
      <c r="NJ28" s="128"/>
      <c r="NK28" s="128"/>
      <c r="NL28" s="128"/>
      <c r="NM28" s="128"/>
      <c r="NN28" s="128"/>
      <c r="NO28" s="128"/>
      <c r="NP28" s="128"/>
      <c r="NQ28" s="128"/>
      <c r="NR28" s="128"/>
      <c r="NS28" s="128"/>
      <c r="NT28" s="128"/>
      <c r="NU28" s="128"/>
      <c r="NV28" s="128"/>
      <c r="NW28" s="128"/>
      <c r="NX28" s="128"/>
      <c r="NY28" s="128"/>
      <c r="NZ28" s="128"/>
      <c r="OA28" s="128"/>
      <c r="OB28" s="128"/>
      <c r="OC28" s="128"/>
      <c r="OD28" s="128"/>
      <c r="OE28" s="128"/>
      <c r="OF28" s="128"/>
      <c r="OG28" s="128"/>
      <c r="OH28" s="128"/>
      <c r="OI28" s="128"/>
      <c r="OJ28" s="128"/>
      <c r="OK28" s="128"/>
      <c r="OL28" s="128"/>
      <c r="OM28" s="128"/>
      <c r="ON28" s="128"/>
      <c r="OO28" s="128"/>
      <c r="OP28" s="128"/>
      <c r="OQ28" s="128"/>
      <c r="OR28" s="128"/>
      <c r="OS28" s="128"/>
      <c r="OT28" s="128"/>
      <c r="OU28" s="128"/>
      <c r="OV28" s="128"/>
      <c r="OW28" s="128"/>
      <c r="OX28" s="128"/>
      <c r="OY28" s="128"/>
      <c r="OZ28" s="128"/>
      <c r="PA28" s="128"/>
      <c r="PB28" s="128"/>
      <c r="PC28" s="128"/>
      <c r="PD28" s="128"/>
      <c r="PE28" s="128"/>
      <c r="PF28" s="128"/>
      <c r="PG28" s="128"/>
      <c r="PH28" s="128"/>
      <c r="PI28" s="128"/>
      <c r="PJ28" s="128"/>
      <c r="PK28" s="128"/>
      <c r="PL28" s="128"/>
      <c r="PM28" s="128"/>
      <c r="PN28" s="128"/>
      <c r="PO28" s="128"/>
      <c r="PP28" s="128"/>
      <c r="PQ28" s="128"/>
      <c r="PR28" s="128"/>
      <c r="PS28" s="128"/>
      <c r="PT28" s="128"/>
      <c r="PU28" s="128"/>
      <c r="PV28" s="128"/>
      <c r="PW28" s="128"/>
      <c r="PX28" s="128"/>
      <c r="PY28" s="128"/>
      <c r="PZ28" s="128"/>
      <c r="QA28" s="128"/>
      <c r="QB28" s="128"/>
      <c r="QC28" s="128"/>
      <c r="QD28" s="128"/>
      <c r="QE28" s="128"/>
      <c r="QF28" s="128"/>
      <c r="QG28" s="128"/>
      <c r="QH28" s="128"/>
      <c r="QI28" s="128"/>
      <c r="QJ28" s="128"/>
      <c r="QK28" s="128"/>
      <c r="QL28" s="128"/>
      <c r="QM28" s="128"/>
      <c r="QN28" s="128"/>
      <c r="QO28" s="128"/>
      <c r="QP28" s="128"/>
      <c r="QQ28" s="128"/>
      <c r="QR28" s="128"/>
      <c r="QS28" s="128"/>
      <c r="QT28" s="128"/>
      <c r="QU28" s="128"/>
      <c r="QV28" s="128"/>
      <c r="QW28" s="128"/>
      <c r="QX28" s="128"/>
      <c r="QY28" s="128"/>
      <c r="QZ28" s="128"/>
      <c r="RA28" s="128"/>
      <c r="RB28" s="128"/>
      <c r="RC28" s="128"/>
      <c r="RD28" s="128"/>
      <c r="RE28" s="128"/>
      <c r="RF28" s="128"/>
      <c r="RG28" s="128"/>
      <c r="RH28" s="128"/>
      <c r="RI28" s="128"/>
      <c r="RJ28" s="128"/>
      <c r="RK28" s="128"/>
      <c r="RL28" s="128"/>
      <c r="RM28" s="128"/>
      <c r="RN28" s="128"/>
      <c r="RO28" s="128"/>
      <c r="RP28" s="128"/>
      <c r="RQ28" s="128"/>
      <c r="RR28" s="128"/>
      <c r="RS28" s="128"/>
      <c r="RT28" s="128"/>
      <c r="RU28" s="128"/>
      <c r="RV28" s="128"/>
      <c r="RW28" s="128"/>
      <c r="RX28" s="128"/>
      <c r="RY28" s="128"/>
      <c r="RZ28" s="128"/>
      <c r="SA28" s="128"/>
      <c r="SB28" s="128"/>
      <c r="SC28" s="128"/>
      <c r="SD28" s="128"/>
      <c r="SE28" s="128"/>
      <c r="SF28" s="128"/>
      <c r="SG28" s="128"/>
      <c r="SH28" s="128"/>
      <c r="SI28" s="128"/>
      <c r="SJ28" s="128"/>
      <c r="SK28" s="128"/>
      <c r="SL28" s="128"/>
      <c r="SM28" s="128"/>
      <c r="SN28" s="128"/>
      <c r="SO28" s="128"/>
      <c r="SP28" s="128"/>
      <c r="SQ28" s="128"/>
      <c r="SR28" s="128"/>
      <c r="SS28" s="128"/>
      <c r="ST28" s="128"/>
      <c r="SU28" s="128"/>
      <c r="SV28" s="128"/>
      <c r="SW28" s="128"/>
      <c r="SX28" s="128"/>
      <c r="SY28" s="128"/>
      <c r="SZ28" s="128"/>
      <c r="TA28" s="128"/>
      <c r="TB28" s="128"/>
      <c r="TC28" s="128"/>
      <c r="TD28" s="128"/>
      <c r="TE28" s="128"/>
      <c r="TF28" s="128"/>
      <c r="TG28" s="128"/>
      <c r="TH28" s="128"/>
      <c r="TI28" s="128"/>
      <c r="TJ28" s="128"/>
      <c r="TK28" s="128"/>
      <c r="TL28" s="128"/>
      <c r="TM28" s="128"/>
      <c r="TN28" s="128"/>
      <c r="TO28" s="128"/>
      <c r="TP28" s="128"/>
      <c r="TQ28" s="128"/>
      <c r="TR28" s="128"/>
      <c r="TS28" s="128"/>
      <c r="TT28" s="128"/>
      <c r="TU28" s="128"/>
      <c r="TV28" s="128"/>
      <c r="TW28" s="128"/>
      <c r="TX28" s="128"/>
      <c r="TY28" s="128"/>
      <c r="TZ28" s="128"/>
      <c r="UA28" s="128"/>
      <c r="UB28" s="128"/>
      <c r="UC28" s="128"/>
      <c r="UD28" s="128"/>
      <c r="UE28" s="128"/>
      <c r="UF28" s="128"/>
      <c r="UG28" s="128"/>
      <c r="UH28" s="128"/>
      <c r="UI28" s="128"/>
      <c r="UJ28" s="128"/>
      <c r="UK28" s="128"/>
      <c r="UL28" s="128"/>
      <c r="UM28" s="128"/>
      <c r="UN28" s="128"/>
      <c r="UO28" s="128"/>
      <c r="UP28" s="128"/>
      <c r="UQ28" s="128"/>
      <c r="UR28" s="128"/>
      <c r="US28" s="128"/>
      <c r="UT28" s="128"/>
      <c r="UU28" s="128"/>
      <c r="UV28" s="128"/>
      <c r="UW28" s="128"/>
      <c r="UX28" s="128"/>
      <c r="UY28" s="128"/>
      <c r="UZ28" s="128"/>
      <c r="VA28" s="128"/>
      <c r="VB28" s="128"/>
      <c r="VC28" s="128"/>
      <c r="VD28" s="128"/>
      <c r="VE28" s="128"/>
      <c r="VF28" s="128"/>
      <c r="VG28" s="128"/>
      <c r="VH28" s="128"/>
      <c r="VI28" s="128"/>
      <c r="VJ28" s="128"/>
      <c r="VK28" s="128"/>
      <c r="VL28" s="128"/>
      <c r="VM28" s="128"/>
      <c r="VN28" s="128"/>
      <c r="VO28" s="128"/>
      <c r="VP28" s="128"/>
      <c r="VQ28" s="128"/>
      <c r="VR28" s="128"/>
      <c r="VS28" s="128"/>
      <c r="VT28" s="128"/>
      <c r="VU28" s="128"/>
      <c r="VV28" s="128"/>
      <c r="VW28" s="128"/>
      <c r="VX28" s="128"/>
      <c r="VY28" s="128"/>
      <c r="VZ28" s="128"/>
      <c r="WA28" s="128"/>
      <c r="WB28" s="128"/>
      <c r="WC28" s="128"/>
      <c r="WD28" s="128"/>
      <c r="WE28" s="128"/>
      <c r="WF28" s="128"/>
      <c r="WG28" s="128"/>
      <c r="WH28" s="128"/>
      <c r="WI28" s="128"/>
      <c r="WJ28" s="128"/>
      <c r="WK28" s="128"/>
      <c r="WL28" s="128"/>
      <c r="WM28" s="128"/>
      <c r="WN28" s="128"/>
      <c r="WO28" s="128"/>
      <c r="WP28" s="128"/>
      <c r="WQ28" s="128"/>
      <c r="WR28" s="128"/>
      <c r="WS28" s="128"/>
      <c r="WT28" s="128"/>
      <c r="WU28" s="128"/>
      <c r="WV28" s="128"/>
      <c r="WW28" s="128"/>
      <c r="WX28" s="128"/>
      <c r="WY28" s="128"/>
      <c r="WZ28" s="128"/>
      <c r="XA28" s="128"/>
      <c r="XB28" s="128"/>
      <c r="XC28" s="128"/>
      <c r="XD28" s="128"/>
      <c r="XE28" s="128"/>
      <c r="XF28" s="128"/>
      <c r="XG28" s="128"/>
      <c r="XH28" s="128"/>
      <c r="XI28" s="128"/>
      <c r="XJ28" s="128"/>
      <c r="XK28" s="128"/>
      <c r="XL28" s="128"/>
      <c r="XM28" s="128"/>
      <c r="XN28" s="128"/>
      <c r="XO28" s="128"/>
      <c r="XP28" s="128"/>
      <c r="XQ28" s="128"/>
      <c r="XR28" s="128"/>
      <c r="XS28" s="128"/>
      <c r="XT28" s="128"/>
      <c r="XU28" s="128"/>
      <c r="XV28" s="128"/>
      <c r="XW28" s="128"/>
      <c r="XX28" s="128"/>
      <c r="XY28" s="128"/>
      <c r="XZ28" s="128"/>
      <c r="YA28" s="128"/>
      <c r="YB28" s="128"/>
      <c r="YC28" s="128"/>
      <c r="YD28" s="128"/>
      <c r="YE28" s="128"/>
      <c r="YF28" s="128"/>
      <c r="YG28" s="128"/>
      <c r="YH28" s="128"/>
      <c r="YI28" s="128"/>
      <c r="YJ28" s="128"/>
      <c r="YK28" s="128"/>
      <c r="YL28" s="128"/>
      <c r="YM28" s="128"/>
      <c r="YN28" s="128"/>
      <c r="YO28" s="128"/>
      <c r="YP28" s="128"/>
      <c r="YQ28" s="128"/>
      <c r="YR28" s="128"/>
      <c r="YS28" s="128"/>
      <c r="YT28" s="128"/>
      <c r="YU28" s="128"/>
      <c r="YV28" s="128"/>
      <c r="YW28" s="128"/>
      <c r="YX28" s="128"/>
      <c r="YY28" s="128"/>
      <c r="YZ28" s="128"/>
      <c r="ZA28" s="128"/>
      <c r="ZB28" s="128"/>
      <c r="ZC28" s="128"/>
      <c r="ZD28" s="128"/>
      <c r="ZE28" s="128"/>
      <c r="ZF28" s="128"/>
      <c r="ZG28" s="128"/>
      <c r="ZH28" s="128"/>
      <c r="ZI28" s="128"/>
      <c r="ZJ28" s="128"/>
      <c r="ZK28" s="128"/>
      <c r="ZL28" s="128"/>
      <c r="ZM28" s="128"/>
      <c r="ZN28" s="128"/>
      <c r="ZO28" s="128"/>
      <c r="ZP28" s="128"/>
      <c r="ZQ28" s="128"/>
      <c r="ZR28" s="128"/>
      <c r="ZS28" s="128"/>
      <c r="ZT28" s="128"/>
      <c r="ZU28" s="128"/>
      <c r="ZV28" s="128"/>
      <c r="ZW28" s="128"/>
      <c r="ZX28" s="128"/>
      <c r="ZY28" s="128"/>
      <c r="ZZ28" s="128"/>
      <c r="AAA28" s="128"/>
      <c r="AAB28" s="128"/>
      <c r="AAC28" s="128"/>
      <c r="AAD28" s="128"/>
      <c r="AAE28" s="128"/>
      <c r="AAF28" s="128"/>
      <c r="AAG28" s="128"/>
      <c r="AAH28" s="128"/>
      <c r="AAI28" s="128"/>
      <c r="AAJ28" s="128"/>
      <c r="AAK28" s="128"/>
      <c r="AAL28" s="128"/>
      <c r="AAM28" s="128"/>
      <c r="AAN28" s="128"/>
      <c r="AAO28" s="128"/>
      <c r="AAP28" s="128"/>
      <c r="AAQ28" s="128"/>
      <c r="AAR28" s="128"/>
      <c r="AAS28" s="128"/>
      <c r="AAT28" s="128"/>
      <c r="AAU28" s="128"/>
      <c r="AAV28" s="128"/>
      <c r="AAW28" s="128"/>
      <c r="AAX28" s="128"/>
      <c r="AAY28" s="128"/>
      <c r="AAZ28" s="128"/>
      <c r="ABA28" s="128"/>
      <c r="ABB28" s="128"/>
      <c r="ABC28" s="128"/>
      <c r="ABD28" s="128"/>
      <c r="ABE28" s="128"/>
      <c r="ABF28" s="128"/>
      <c r="ABG28" s="128"/>
      <c r="ABH28" s="128"/>
      <c r="ABI28" s="128"/>
      <c r="ABJ28" s="128"/>
      <c r="ABK28" s="128"/>
      <c r="ABL28" s="128"/>
      <c r="ABM28" s="128"/>
      <c r="ABN28" s="128"/>
      <c r="ABO28" s="128"/>
      <c r="ABP28" s="128"/>
      <c r="ABQ28" s="128"/>
      <c r="ABR28" s="128"/>
      <c r="ABS28" s="128"/>
      <c r="ABT28" s="128"/>
      <c r="ABU28" s="128"/>
      <c r="ABV28" s="128"/>
      <c r="ABW28" s="128"/>
      <c r="ABX28" s="128"/>
      <c r="ABY28" s="128"/>
      <c r="ABZ28" s="128"/>
      <c r="ACA28" s="128"/>
      <c r="ACB28" s="128"/>
      <c r="ACC28" s="128"/>
      <c r="ACD28" s="128"/>
      <c r="ACE28" s="128"/>
      <c r="ACF28" s="128"/>
      <c r="ACG28" s="128"/>
      <c r="ACH28" s="128"/>
      <c r="ACI28" s="128"/>
      <c r="ACJ28" s="128"/>
      <c r="ACK28" s="128"/>
      <c r="ACL28" s="128"/>
      <c r="ACM28" s="128"/>
      <c r="ACN28" s="128"/>
      <c r="ACO28" s="128"/>
      <c r="ACP28" s="128"/>
      <c r="ACQ28" s="128"/>
      <c r="ACR28" s="128"/>
      <c r="ACS28" s="128"/>
      <c r="ACT28" s="128"/>
      <c r="ACU28" s="128"/>
      <c r="ACV28" s="128"/>
      <c r="ACW28" s="128"/>
      <c r="ACX28" s="128"/>
      <c r="ACY28" s="128"/>
      <c r="ACZ28" s="128"/>
      <c r="ADA28" s="128"/>
      <c r="ADB28" s="128"/>
      <c r="ADC28" s="128"/>
      <c r="ADD28" s="128"/>
      <c r="ADE28" s="128"/>
      <c r="ADF28" s="128"/>
      <c r="ADG28" s="128"/>
      <c r="ADH28" s="128"/>
      <c r="ADI28" s="128"/>
      <c r="ADJ28" s="128"/>
      <c r="ADK28" s="128"/>
      <c r="ADL28" s="128"/>
      <c r="ADM28" s="128"/>
      <c r="ADN28" s="128"/>
      <c r="ADO28" s="128"/>
      <c r="ADP28" s="128"/>
      <c r="ADQ28" s="128"/>
      <c r="ADR28" s="128"/>
      <c r="ADS28" s="128"/>
      <c r="ADT28" s="128"/>
      <c r="ADU28" s="128"/>
      <c r="ADV28" s="128"/>
      <c r="ADW28" s="128"/>
      <c r="ADX28" s="128"/>
      <c r="ADY28" s="128"/>
      <c r="ADZ28" s="128"/>
      <c r="AEA28" s="128"/>
      <c r="AEB28" s="128"/>
      <c r="AEC28" s="128"/>
      <c r="AED28" s="128"/>
      <c r="AEE28" s="128"/>
      <c r="AEF28" s="128"/>
      <c r="AEG28" s="128"/>
      <c r="AEH28" s="128"/>
      <c r="AEI28" s="128"/>
      <c r="AEJ28" s="128"/>
      <c r="AEK28" s="128"/>
      <c r="AEL28" s="128"/>
      <c r="AEM28" s="128"/>
      <c r="AEN28" s="128"/>
      <c r="AEO28" s="128"/>
      <c r="AEP28" s="128"/>
      <c r="AEQ28" s="128"/>
      <c r="AER28" s="128"/>
      <c r="AES28" s="128"/>
      <c r="AET28" s="128"/>
      <c r="AEU28" s="128"/>
      <c r="AEV28" s="128"/>
      <c r="AEW28" s="128"/>
      <c r="AEX28" s="128"/>
      <c r="AEY28" s="128"/>
      <c r="AEZ28" s="128"/>
      <c r="AFA28" s="128"/>
      <c r="AFB28" s="128"/>
      <c r="AFC28" s="128"/>
      <c r="AFD28" s="128"/>
      <c r="AFE28" s="128"/>
      <c r="AFF28" s="128"/>
      <c r="AFG28" s="128"/>
      <c r="AFH28" s="128"/>
      <c r="AFI28" s="128"/>
      <c r="AFJ28" s="128"/>
      <c r="AFK28" s="128"/>
      <c r="AFL28" s="128"/>
      <c r="AFM28" s="128"/>
      <c r="AFN28" s="128"/>
      <c r="AFO28" s="128"/>
      <c r="AFP28" s="128"/>
      <c r="AFQ28" s="128"/>
      <c r="AFR28" s="128"/>
      <c r="AFS28" s="128"/>
      <c r="AFT28" s="128"/>
      <c r="AFU28" s="128"/>
      <c r="AFV28" s="128"/>
      <c r="AFW28" s="128"/>
      <c r="AFX28" s="128"/>
      <c r="AFY28" s="128"/>
      <c r="AFZ28" s="128"/>
      <c r="AGA28" s="128"/>
      <c r="AGB28" s="128"/>
      <c r="AGC28" s="128"/>
      <c r="AGD28" s="128"/>
      <c r="AGE28" s="128"/>
      <c r="AGF28" s="128"/>
      <c r="AGG28" s="128"/>
      <c r="AGH28" s="128"/>
      <c r="AGI28" s="128"/>
      <c r="AGJ28" s="128"/>
      <c r="AGK28" s="128"/>
      <c r="AGL28" s="128"/>
      <c r="AGM28" s="128"/>
      <c r="AGN28" s="128"/>
      <c r="AGO28" s="128"/>
      <c r="AGP28" s="128"/>
      <c r="AGQ28" s="128"/>
      <c r="AGR28" s="128"/>
      <c r="AGS28" s="128"/>
      <c r="AGT28" s="128"/>
      <c r="AGU28" s="128"/>
      <c r="AGV28" s="128"/>
      <c r="AGW28" s="128"/>
      <c r="AGX28" s="128"/>
      <c r="AGY28" s="128"/>
      <c r="AGZ28" s="128"/>
      <c r="AHA28" s="128"/>
      <c r="AHB28" s="128"/>
      <c r="AHC28" s="128"/>
      <c r="AHD28" s="128"/>
      <c r="AHE28" s="128"/>
      <c r="AHF28" s="128"/>
      <c r="AHG28" s="128"/>
      <c r="AHH28" s="128"/>
      <c r="AHI28" s="128"/>
      <c r="AHJ28" s="128"/>
      <c r="AHK28" s="128"/>
      <c r="AHL28" s="128"/>
      <c r="AHM28" s="128"/>
      <c r="AHN28" s="128"/>
      <c r="AHO28" s="128"/>
      <c r="AHP28" s="128"/>
      <c r="AHQ28" s="128"/>
      <c r="AHR28" s="128"/>
      <c r="AHS28" s="128"/>
      <c r="AHT28" s="128"/>
      <c r="AHU28" s="128"/>
      <c r="AHV28" s="128"/>
      <c r="AHW28" s="128"/>
      <c r="AHX28" s="128"/>
      <c r="AHY28" s="128"/>
      <c r="AHZ28" s="128"/>
      <c r="AIA28" s="128"/>
      <c r="AIB28" s="128"/>
      <c r="AIC28" s="128"/>
      <c r="AID28" s="128"/>
      <c r="AIE28" s="128"/>
      <c r="AIF28" s="128"/>
      <c r="AIG28" s="128"/>
      <c r="AIH28" s="128"/>
      <c r="AII28" s="128"/>
      <c r="AIJ28" s="128"/>
      <c r="AIK28" s="128"/>
      <c r="AIL28" s="128"/>
      <c r="AIM28" s="128"/>
      <c r="AIN28" s="128"/>
      <c r="AIO28" s="128"/>
      <c r="AIP28" s="128"/>
      <c r="AIQ28" s="128"/>
      <c r="AIR28" s="128"/>
      <c r="AIS28" s="128"/>
      <c r="AIT28" s="128"/>
      <c r="AIU28" s="128"/>
      <c r="AIV28" s="128"/>
      <c r="AIW28" s="128"/>
      <c r="AIX28" s="128"/>
      <c r="AIY28" s="128"/>
      <c r="AIZ28" s="128"/>
      <c r="AJA28" s="128"/>
      <c r="AJB28" s="128"/>
      <c r="AJC28" s="128"/>
      <c r="AJD28" s="128"/>
      <c r="AJE28" s="128"/>
      <c r="AJF28" s="128"/>
      <c r="AJG28" s="128"/>
      <c r="AJH28" s="128"/>
      <c r="AJI28" s="128"/>
      <c r="AJJ28" s="128"/>
      <c r="AJK28" s="128"/>
      <c r="AJL28" s="128"/>
      <c r="AJM28" s="128"/>
      <c r="AJN28" s="128"/>
      <c r="AJO28" s="128"/>
      <c r="AJP28" s="128"/>
      <c r="AJQ28" s="128"/>
      <c r="AJR28" s="128"/>
      <c r="AJS28" s="128"/>
      <c r="AJT28" s="128"/>
      <c r="AJU28" s="128"/>
      <c r="AJV28" s="128"/>
      <c r="AJW28" s="128"/>
      <c r="AJX28" s="128"/>
      <c r="AJY28" s="128"/>
      <c r="AJZ28" s="128"/>
      <c r="AKA28" s="128"/>
      <c r="AKB28" s="128"/>
      <c r="AKC28" s="128"/>
      <c r="AKD28" s="128"/>
      <c r="AKE28" s="128"/>
      <c r="AKF28" s="128"/>
      <c r="AKG28" s="128"/>
      <c r="AKH28" s="128"/>
      <c r="AKI28" s="128"/>
      <c r="AKJ28" s="128"/>
      <c r="AKK28" s="128"/>
      <c r="AKL28" s="128"/>
      <c r="AKM28" s="128"/>
      <c r="AKN28" s="128"/>
      <c r="AKO28" s="128"/>
      <c r="AKP28" s="128"/>
      <c r="AKQ28" s="128"/>
      <c r="AKR28" s="128"/>
      <c r="AKS28" s="128"/>
      <c r="AKT28" s="128"/>
      <c r="AKU28" s="128"/>
      <c r="AKV28" s="128"/>
      <c r="AKW28" s="128"/>
      <c r="AKX28" s="128"/>
      <c r="AKY28" s="128"/>
      <c r="AKZ28" s="128"/>
      <c r="ALA28" s="128"/>
      <c r="ALB28" s="128"/>
      <c r="ALC28" s="128"/>
      <c r="ALD28" s="128"/>
      <c r="ALE28" s="128"/>
      <c r="ALF28" s="128"/>
      <c r="ALG28" s="128"/>
      <c r="ALH28" s="128"/>
      <c r="ALI28" s="128"/>
      <c r="ALJ28" s="128"/>
      <c r="ALK28" s="128"/>
      <c r="ALL28" s="128"/>
      <c r="ALM28" s="128"/>
      <c r="ALN28" s="128"/>
      <c r="ALO28" s="128"/>
      <c r="ALP28" s="128"/>
      <c r="ALQ28" s="128"/>
      <c r="ALR28" s="128"/>
      <c r="ALS28" s="128"/>
      <c r="ALT28" s="128"/>
      <c r="ALU28" s="128"/>
      <c r="ALV28" s="128"/>
      <c r="ALW28" s="128"/>
      <c r="ALX28" s="128"/>
      <c r="ALY28" s="128"/>
      <c r="ALZ28" s="128"/>
      <c r="AMA28" s="128"/>
      <c r="AMB28" s="128"/>
      <c r="AMC28" s="128"/>
      <c r="AMD28" s="128"/>
      <c r="AME28" s="128"/>
      <c r="AMF28" s="128"/>
      <c r="AMG28" s="128"/>
      <c r="AMH28" s="128"/>
      <c r="AMI28" s="128"/>
      <c r="AMJ28" s="128"/>
      <c r="AMK28" s="128"/>
      <c r="AML28" s="128"/>
      <c r="AMM28" s="128"/>
      <c r="AMN28" s="128"/>
      <c r="AMO28" s="128"/>
      <c r="AMP28" s="128"/>
      <c r="AMQ28" s="128"/>
      <c r="AMR28" s="128"/>
      <c r="AMS28" s="128"/>
      <c r="AMT28" s="128"/>
      <c r="AMU28" s="128"/>
      <c r="AMV28" s="128"/>
      <c r="AMW28" s="128"/>
      <c r="AMX28" s="128"/>
      <c r="AMY28" s="128"/>
      <c r="AMZ28" s="128"/>
      <c r="ANA28" s="128"/>
      <c r="ANB28" s="128"/>
      <c r="ANC28" s="128"/>
      <c r="AND28" s="128"/>
      <c r="ANE28" s="128"/>
      <c r="ANF28" s="128"/>
      <c r="ANG28" s="128"/>
      <c r="ANH28" s="128"/>
      <c r="ANI28" s="128"/>
      <c r="ANJ28" s="128"/>
      <c r="ANK28" s="128"/>
      <c r="ANL28" s="128"/>
      <c r="ANM28" s="128"/>
      <c r="ANN28" s="128"/>
      <c r="ANO28" s="128"/>
      <c r="ANP28" s="128"/>
      <c r="ANQ28" s="128"/>
      <c r="ANR28" s="128"/>
      <c r="ANS28" s="128"/>
      <c r="ANT28" s="128"/>
      <c r="ANU28" s="128"/>
      <c r="ANV28" s="128"/>
      <c r="ANW28" s="128"/>
      <c r="ANX28" s="128"/>
      <c r="ANY28" s="128"/>
      <c r="ANZ28" s="128"/>
      <c r="AOA28" s="128"/>
      <c r="AOB28" s="128"/>
      <c r="AOC28" s="128"/>
      <c r="AOD28" s="128"/>
      <c r="AOE28" s="128"/>
      <c r="AOF28" s="128"/>
      <c r="AOG28" s="128"/>
      <c r="AOH28" s="128"/>
      <c r="AOI28" s="128"/>
      <c r="AOJ28" s="128"/>
      <c r="AOK28" s="128"/>
      <c r="AOL28" s="128"/>
      <c r="AOM28" s="128"/>
      <c r="AON28" s="128"/>
      <c r="AOO28" s="128"/>
      <c r="AOP28" s="128"/>
      <c r="AOQ28" s="128"/>
      <c r="AOR28" s="128"/>
      <c r="AOS28" s="128"/>
      <c r="AOT28" s="128"/>
      <c r="AOU28" s="128"/>
      <c r="AOV28" s="128"/>
      <c r="AOW28" s="128"/>
      <c r="AOX28" s="128"/>
      <c r="AOY28" s="128"/>
      <c r="AOZ28" s="128"/>
      <c r="APA28" s="128"/>
      <c r="APB28" s="128"/>
      <c r="APC28" s="128"/>
      <c r="APD28" s="128"/>
      <c r="APE28" s="128"/>
      <c r="APF28" s="128"/>
      <c r="APG28" s="128"/>
      <c r="APH28" s="128"/>
      <c r="API28" s="128"/>
      <c r="APJ28" s="128"/>
      <c r="APK28" s="128"/>
      <c r="APL28" s="128"/>
      <c r="APM28" s="128"/>
      <c r="APN28" s="128"/>
      <c r="APO28" s="128"/>
      <c r="APP28" s="128"/>
      <c r="APQ28" s="128"/>
      <c r="APR28" s="128"/>
      <c r="APS28" s="128"/>
      <c r="APT28" s="128"/>
      <c r="APU28" s="128"/>
      <c r="APV28" s="128"/>
      <c r="APW28" s="128"/>
      <c r="APX28" s="128"/>
      <c r="APY28" s="128"/>
      <c r="APZ28" s="128"/>
      <c r="AQA28" s="128"/>
      <c r="AQB28" s="128"/>
      <c r="AQC28" s="128"/>
      <c r="AQD28" s="128"/>
      <c r="AQE28" s="128"/>
      <c r="AQF28" s="128"/>
      <c r="AQG28" s="128"/>
      <c r="AQH28" s="128"/>
      <c r="AQI28" s="128"/>
      <c r="AQJ28" s="128"/>
      <c r="AQK28" s="128"/>
      <c r="AQL28" s="128"/>
      <c r="AQM28" s="128"/>
      <c r="AQN28" s="128"/>
      <c r="AQO28" s="128"/>
      <c r="AQP28" s="128"/>
      <c r="AQQ28" s="128"/>
      <c r="AQR28" s="128"/>
      <c r="AQS28" s="128"/>
      <c r="AQT28" s="128"/>
      <c r="AQU28" s="128"/>
      <c r="AQV28" s="128"/>
      <c r="AQW28" s="128"/>
      <c r="AQX28" s="128"/>
      <c r="AQY28" s="128"/>
      <c r="AQZ28" s="128"/>
      <c r="ARA28" s="128"/>
      <c r="ARB28" s="128"/>
      <c r="ARC28" s="128"/>
      <c r="ARD28" s="128"/>
      <c r="ARE28" s="128"/>
      <c r="ARF28" s="128"/>
      <c r="ARG28" s="128"/>
      <c r="ARH28" s="128"/>
      <c r="ARI28" s="128"/>
      <c r="ARJ28" s="128"/>
      <c r="ARK28" s="128"/>
      <c r="ARL28" s="128"/>
      <c r="ARM28" s="128"/>
      <c r="ARN28" s="128"/>
      <c r="ARO28" s="128"/>
      <c r="ARP28" s="128"/>
      <c r="ARQ28" s="128"/>
      <c r="ARR28" s="128"/>
      <c r="ARS28" s="128"/>
      <c r="ART28" s="128"/>
      <c r="ARU28" s="128"/>
      <c r="ARV28" s="128"/>
      <c r="ARW28" s="128"/>
      <c r="ARX28" s="128"/>
      <c r="ARY28" s="128"/>
      <c r="ARZ28" s="128"/>
      <c r="ASA28" s="128"/>
      <c r="ASB28" s="128"/>
      <c r="ASC28" s="128"/>
      <c r="ASD28" s="128"/>
      <c r="ASE28" s="128"/>
      <c r="ASF28" s="128"/>
      <c r="ASG28" s="128"/>
      <c r="ASH28" s="128"/>
      <c r="ASI28" s="128"/>
      <c r="ASJ28" s="128"/>
      <c r="ASK28" s="128"/>
      <c r="ASL28" s="128"/>
      <c r="ASM28" s="128"/>
      <c r="ASN28" s="128"/>
      <c r="ASO28" s="128"/>
      <c r="ASP28" s="128"/>
      <c r="ASQ28" s="128"/>
      <c r="ASR28" s="128"/>
      <c r="ASS28" s="128"/>
      <c r="AST28" s="128"/>
      <c r="ASU28" s="128"/>
      <c r="ASV28" s="128"/>
      <c r="ASW28" s="128"/>
      <c r="ASX28" s="128"/>
      <c r="ASY28" s="128"/>
      <c r="ASZ28" s="128"/>
      <c r="ATA28" s="128"/>
      <c r="ATB28" s="128"/>
      <c r="ATC28" s="128"/>
      <c r="ATD28" s="128"/>
      <c r="ATE28" s="128"/>
      <c r="ATF28" s="128"/>
      <c r="ATG28" s="128"/>
      <c r="ATH28" s="128"/>
      <c r="ATI28" s="128"/>
      <c r="ATJ28" s="128"/>
      <c r="ATK28" s="128"/>
      <c r="ATL28" s="128"/>
      <c r="ATM28" s="128"/>
      <c r="ATN28" s="128"/>
      <c r="ATO28" s="128"/>
      <c r="ATP28" s="128"/>
      <c r="ATQ28" s="128"/>
      <c r="ATR28" s="128"/>
      <c r="ATS28" s="128"/>
      <c r="ATT28" s="128"/>
      <c r="ATU28" s="128"/>
      <c r="ATV28" s="128"/>
      <c r="ATW28" s="128"/>
      <c r="ATX28" s="128"/>
      <c r="ATY28" s="128"/>
      <c r="ATZ28" s="128"/>
      <c r="AUA28" s="128"/>
      <c r="AUB28" s="128"/>
      <c r="AUC28" s="128"/>
      <c r="AUD28" s="128"/>
      <c r="AUE28" s="128"/>
      <c r="AUF28" s="128"/>
      <c r="AUG28" s="128"/>
      <c r="AUH28" s="128"/>
      <c r="AUI28" s="128"/>
      <c r="AUJ28" s="128"/>
      <c r="AUK28" s="128"/>
      <c r="AUL28" s="128"/>
      <c r="AUM28" s="128"/>
      <c r="AUN28" s="128"/>
      <c r="AUO28" s="128"/>
      <c r="AUP28" s="128"/>
      <c r="AUQ28" s="128"/>
      <c r="AUR28" s="128"/>
      <c r="AUS28" s="128"/>
      <c r="AUT28" s="128"/>
      <c r="AUU28" s="128"/>
      <c r="AUV28" s="128"/>
      <c r="AUW28" s="128"/>
      <c r="AUX28" s="128"/>
      <c r="AUY28" s="128"/>
      <c r="AUZ28" s="128"/>
      <c r="AVA28" s="128"/>
      <c r="AVB28" s="128"/>
      <c r="AVC28" s="128"/>
      <c r="AVD28" s="128"/>
      <c r="AVE28" s="128"/>
      <c r="AVF28" s="128"/>
      <c r="AVG28" s="128"/>
      <c r="AVH28" s="128"/>
      <c r="AVI28" s="128"/>
      <c r="AVJ28" s="128"/>
      <c r="AVK28" s="128"/>
      <c r="AVL28" s="128"/>
      <c r="AVM28" s="128"/>
      <c r="AVN28" s="128"/>
      <c r="AVO28" s="128"/>
      <c r="AVP28" s="128"/>
      <c r="AVQ28" s="128"/>
      <c r="AVR28" s="128"/>
      <c r="AVS28" s="128"/>
      <c r="AVT28" s="128"/>
      <c r="AVU28" s="128"/>
      <c r="AVV28" s="128"/>
      <c r="AVW28" s="128"/>
      <c r="AVX28" s="128"/>
      <c r="AVY28" s="128"/>
      <c r="AVZ28" s="128"/>
      <c r="AWA28" s="128"/>
      <c r="AWB28" s="128"/>
      <c r="AWC28" s="128"/>
      <c r="AWD28" s="128"/>
      <c r="AWE28" s="128"/>
      <c r="AWF28" s="128"/>
      <c r="AWG28" s="128"/>
      <c r="AWH28" s="128"/>
      <c r="AWI28" s="128"/>
      <c r="AWJ28" s="128"/>
      <c r="AWK28" s="128"/>
      <c r="AWL28" s="128"/>
      <c r="AWM28" s="128"/>
      <c r="AWN28" s="128"/>
      <c r="AWO28" s="128"/>
      <c r="AWP28" s="128"/>
      <c r="AWQ28" s="128"/>
      <c r="AWR28" s="128"/>
      <c r="AWS28" s="128"/>
      <c r="AWT28" s="128"/>
      <c r="AWU28" s="128"/>
      <c r="AWV28" s="128"/>
      <c r="AWW28" s="128"/>
      <c r="AWX28" s="128"/>
      <c r="AWY28" s="128"/>
      <c r="AWZ28" s="128"/>
      <c r="AXA28" s="128"/>
      <c r="AXB28" s="128"/>
      <c r="AXC28" s="128"/>
      <c r="AXD28" s="128"/>
      <c r="AXE28" s="128"/>
      <c r="AXF28" s="128"/>
      <c r="AXG28" s="128"/>
      <c r="AXH28" s="128"/>
      <c r="AXI28" s="128"/>
      <c r="AXJ28" s="128"/>
      <c r="AXK28" s="128"/>
      <c r="AXL28" s="128"/>
      <c r="AXM28" s="128"/>
      <c r="AXN28" s="128"/>
      <c r="AXO28" s="128"/>
      <c r="AXP28" s="128"/>
      <c r="AXQ28" s="128"/>
      <c r="AXR28" s="128"/>
      <c r="AXS28" s="128"/>
      <c r="AXT28" s="128"/>
      <c r="AXU28" s="128"/>
      <c r="AXV28" s="128"/>
      <c r="AXW28" s="128"/>
      <c r="AXX28" s="128"/>
      <c r="AXY28" s="128"/>
      <c r="AXZ28" s="128"/>
      <c r="AYA28" s="128"/>
      <c r="AYB28" s="128"/>
      <c r="AYC28" s="128"/>
      <c r="AYD28" s="128"/>
      <c r="AYE28" s="128"/>
      <c r="AYF28" s="128"/>
      <c r="AYG28" s="128"/>
      <c r="AYH28" s="128"/>
      <c r="AYI28" s="128"/>
      <c r="AYJ28" s="128"/>
      <c r="AYK28" s="128"/>
      <c r="AYL28" s="128"/>
      <c r="AYM28" s="128"/>
      <c r="AYN28" s="128"/>
      <c r="AYO28" s="128"/>
      <c r="AYP28" s="128"/>
      <c r="AYQ28" s="128"/>
      <c r="AYR28" s="128"/>
      <c r="AYS28" s="128"/>
      <c r="AYT28" s="128"/>
      <c r="AYU28" s="128"/>
      <c r="AYV28" s="128"/>
      <c r="AYW28" s="128"/>
      <c r="AYX28" s="128"/>
      <c r="AYY28" s="128"/>
      <c r="AYZ28" s="128"/>
      <c r="AZA28" s="128"/>
      <c r="AZB28" s="128"/>
      <c r="AZC28" s="128"/>
      <c r="AZD28" s="128"/>
      <c r="AZE28" s="128"/>
      <c r="AZF28" s="128"/>
      <c r="AZG28" s="128"/>
      <c r="AZH28" s="128"/>
      <c r="AZI28" s="128"/>
      <c r="AZJ28" s="128"/>
      <c r="AZK28" s="128"/>
      <c r="AZL28" s="128"/>
      <c r="AZM28" s="128"/>
      <c r="AZN28" s="128"/>
      <c r="AZO28" s="128"/>
      <c r="AZP28" s="128"/>
      <c r="AZQ28" s="128"/>
      <c r="AZR28" s="128"/>
      <c r="AZS28" s="128"/>
      <c r="AZT28" s="128"/>
      <c r="AZU28" s="128"/>
      <c r="AZV28" s="128"/>
      <c r="AZW28" s="128"/>
      <c r="AZX28" s="128"/>
      <c r="AZY28" s="128"/>
      <c r="AZZ28" s="128"/>
      <c r="BAA28" s="128"/>
      <c r="BAB28" s="128"/>
      <c r="BAC28" s="128"/>
      <c r="BAD28" s="128"/>
      <c r="BAE28" s="128"/>
      <c r="BAF28" s="128"/>
      <c r="BAG28" s="128"/>
      <c r="BAH28" s="128"/>
      <c r="BAI28" s="128"/>
      <c r="BAJ28" s="128"/>
      <c r="BAK28" s="128"/>
      <c r="BAL28" s="128"/>
      <c r="BAM28" s="128"/>
      <c r="BAN28" s="128"/>
      <c r="BAO28" s="128"/>
      <c r="BAP28" s="128"/>
      <c r="BAQ28" s="128"/>
      <c r="BAR28" s="128"/>
      <c r="BAS28" s="128"/>
      <c r="BAT28" s="128"/>
      <c r="BAU28" s="128"/>
      <c r="BAV28" s="128"/>
      <c r="BAW28" s="128"/>
      <c r="BAX28" s="128"/>
      <c r="BAY28" s="128"/>
      <c r="BAZ28" s="128"/>
      <c r="BBA28" s="128"/>
      <c r="BBB28" s="128"/>
      <c r="BBC28" s="128"/>
      <c r="BBD28" s="128"/>
      <c r="BBE28" s="128"/>
      <c r="BBF28" s="128"/>
      <c r="BBG28" s="128"/>
      <c r="BBH28" s="128"/>
      <c r="BBI28" s="128"/>
      <c r="BBJ28" s="128"/>
      <c r="BBK28" s="128"/>
      <c r="BBL28" s="128"/>
      <c r="BBM28" s="128"/>
      <c r="BBN28" s="128"/>
      <c r="BBO28" s="128"/>
      <c r="BBP28" s="128"/>
      <c r="BBQ28" s="128"/>
      <c r="BBR28" s="128"/>
      <c r="BBS28" s="128"/>
      <c r="BBT28" s="128"/>
      <c r="BBU28" s="128"/>
      <c r="BBV28" s="128"/>
      <c r="BBW28" s="128"/>
      <c r="BBX28" s="128"/>
      <c r="BBY28" s="128"/>
      <c r="BBZ28" s="128"/>
      <c r="BCA28" s="128"/>
      <c r="BCB28" s="128"/>
      <c r="BCC28" s="128"/>
      <c r="BCD28" s="128"/>
      <c r="BCE28" s="128"/>
      <c r="BCF28" s="128"/>
      <c r="BCG28" s="128"/>
      <c r="BCH28" s="128"/>
      <c r="BCI28" s="128"/>
      <c r="BCJ28" s="128"/>
      <c r="BCK28" s="128"/>
      <c r="BCL28" s="128"/>
      <c r="BCM28" s="128"/>
      <c r="BCN28" s="128"/>
      <c r="BCO28" s="128"/>
      <c r="BCP28" s="128"/>
      <c r="BCQ28" s="128"/>
      <c r="BCR28" s="128"/>
      <c r="BCS28" s="128"/>
      <c r="BCT28" s="128"/>
      <c r="BCU28" s="128"/>
      <c r="BCV28" s="128"/>
      <c r="BCW28" s="128"/>
      <c r="BCX28" s="128"/>
      <c r="BCY28" s="128"/>
      <c r="BCZ28" s="128"/>
      <c r="BDA28" s="128"/>
      <c r="BDB28" s="128"/>
      <c r="BDC28" s="128"/>
      <c r="BDD28" s="128"/>
      <c r="BDE28" s="128"/>
      <c r="BDF28" s="128"/>
      <c r="BDG28" s="128"/>
      <c r="BDH28" s="128"/>
      <c r="BDI28" s="128"/>
      <c r="BDJ28" s="128"/>
      <c r="BDK28" s="128"/>
      <c r="BDL28" s="128"/>
      <c r="BDM28" s="128"/>
      <c r="BDN28" s="128"/>
      <c r="BDO28" s="128"/>
      <c r="BDP28" s="128"/>
      <c r="BDQ28" s="128"/>
      <c r="BDR28" s="128"/>
      <c r="BDS28" s="128"/>
      <c r="BDT28" s="128"/>
      <c r="BDU28" s="128"/>
      <c r="BDV28" s="128"/>
      <c r="BDW28" s="128"/>
      <c r="BDX28" s="128"/>
      <c r="BDY28" s="128"/>
      <c r="BDZ28" s="128"/>
      <c r="BEA28" s="128"/>
      <c r="BEB28" s="128"/>
      <c r="BEC28" s="128"/>
      <c r="BED28" s="128"/>
      <c r="BEE28" s="128"/>
      <c r="BEF28" s="128"/>
      <c r="BEG28" s="128"/>
      <c r="BEH28" s="128"/>
      <c r="BEI28" s="128"/>
      <c r="BEJ28" s="128"/>
      <c r="BEK28" s="128"/>
      <c r="BEL28" s="128"/>
      <c r="BEM28" s="128"/>
      <c r="BEN28" s="128"/>
      <c r="BEO28" s="128"/>
      <c r="BEP28" s="128"/>
      <c r="BEQ28" s="128"/>
      <c r="BER28" s="128"/>
      <c r="BES28" s="128"/>
      <c r="BET28" s="128"/>
      <c r="BEU28" s="128"/>
      <c r="BEV28" s="128"/>
      <c r="BEW28" s="128"/>
      <c r="BEX28" s="128"/>
      <c r="BEY28" s="128"/>
      <c r="BEZ28" s="128"/>
      <c r="BFA28" s="128"/>
      <c r="BFB28" s="128"/>
      <c r="BFC28" s="128"/>
      <c r="BFD28" s="128"/>
      <c r="BFE28" s="128"/>
      <c r="BFF28" s="128"/>
      <c r="BFG28" s="128"/>
      <c r="BFH28" s="128"/>
      <c r="BFI28" s="128"/>
      <c r="BFJ28" s="128"/>
      <c r="BFK28" s="128"/>
      <c r="BFL28" s="128"/>
      <c r="BFM28" s="128"/>
      <c r="BFN28" s="128"/>
      <c r="BFO28" s="128"/>
      <c r="BFP28" s="128"/>
      <c r="BFQ28" s="128"/>
      <c r="BFR28" s="128"/>
      <c r="BFS28" s="128"/>
      <c r="BFT28" s="128"/>
      <c r="BFU28" s="128"/>
      <c r="BFV28" s="128"/>
      <c r="BFW28" s="128"/>
      <c r="BFX28" s="128"/>
      <c r="BFY28" s="128"/>
      <c r="BFZ28" s="128"/>
      <c r="BGA28" s="128"/>
      <c r="BGB28" s="128"/>
      <c r="BGC28" s="128"/>
      <c r="BGD28" s="128"/>
      <c r="BGE28" s="128"/>
      <c r="BGF28" s="128"/>
      <c r="BGG28" s="128"/>
      <c r="BGH28" s="128"/>
      <c r="BGI28" s="128"/>
      <c r="BGJ28" s="128"/>
      <c r="BGK28" s="128"/>
      <c r="BGL28" s="128"/>
      <c r="BGM28" s="128"/>
      <c r="BGN28" s="128"/>
      <c r="BGO28" s="128"/>
      <c r="BGP28" s="128"/>
      <c r="BGQ28" s="128"/>
      <c r="BGR28" s="128"/>
      <c r="BGS28" s="128"/>
      <c r="BGT28" s="128"/>
      <c r="BGU28" s="128"/>
      <c r="BGV28" s="128"/>
      <c r="BGW28" s="128"/>
      <c r="BGX28" s="128"/>
      <c r="BGY28" s="128"/>
      <c r="BGZ28" s="128"/>
      <c r="BHA28" s="128"/>
      <c r="BHB28" s="128"/>
      <c r="BHC28" s="128"/>
      <c r="BHD28" s="128"/>
      <c r="BHE28" s="128"/>
      <c r="BHF28" s="128"/>
      <c r="BHG28" s="128"/>
      <c r="BHH28" s="128"/>
      <c r="BHI28" s="128"/>
      <c r="BHJ28" s="128"/>
      <c r="BHK28" s="128"/>
      <c r="BHL28" s="128"/>
      <c r="BHM28" s="128"/>
      <c r="BHN28" s="128"/>
      <c r="BHO28" s="128"/>
      <c r="BHP28" s="128"/>
      <c r="BHQ28" s="128"/>
      <c r="BHR28" s="128"/>
      <c r="BHS28" s="128"/>
      <c r="BHT28" s="128"/>
      <c r="BHU28" s="128"/>
      <c r="BHV28" s="128"/>
      <c r="BHW28" s="128"/>
      <c r="BHX28" s="128"/>
      <c r="BHY28" s="128"/>
      <c r="BHZ28" s="128"/>
      <c r="BIA28" s="128"/>
      <c r="BIB28" s="128"/>
      <c r="BIC28" s="128"/>
      <c r="BID28" s="128"/>
      <c r="BIE28" s="128"/>
      <c r="BIF28" s="128"/>
      <c r="BIG28" s="128"/>
      <c r="BIH28" s="128"/>
      <c r="BII28" s="128"/>
      <c r="BIJ28" s="128"/>
      <c r="BIK28" s="128"/>
      <c r="BIL28" s="128"/>
      <c r="BIM28" s="128"/>
      <c r="BIN28" s="128"/>
      <c r="BIO28" s="128"/>
      <c r="BIP28" s="128"/>
      <c r="BIQ28" s="128"/>
      <c r="BIR28" s="128"/>
      <c r="BIS28" s="128"/>
      <c r="BIT28" s="128"/>
      <c r="BIU28" s="128"/>
      <c r="BIV28" s="128"/>
      <c r="BIW28" s="128"/>
      <c r="BIX28" s="128"/>
      <c r="BIY28" s="128"/>
      <c r="BIZ28" s="128"/>
      <c r="BJA28" s="128"/>
      <c r="BJB28" s="128"/>
      <c r="BJC28" s="128"/>
      <c r="BJD28" s="128"/>
      <c r="BJE28" s="128"/>
      <c r="BJF28" s="128"/>
      <c r="BJG28" s="128"/>
      <c r="BJH28" s="128"/>
      <c r="BJI28" s="128"/>
      <c r="BJJ28" s="128"/>
      <c r="BJK28" s="128"/>
      <c r="BJL28" s="128"/>
      <c r="BJM28" s="128"/>
      <c r="BJN28" s="128"/>
      <c r="BJO28" s="128"/>
      <c r="BJP28" s="128"/>
      <c r="BJQ28" s="128"/>
      <c r="BJR28" s="128"/>
      <c r="BJS28" s="128"/>
      <c r="BJT28" s="128"/>
      <c r="BJU28" s="128"/>
      <c r="BJV28" s="128"/>
      <c r="BJW28" s="128"/>
      <c r="BJX28" s="128"/>
      <c r="BJY28" s="128"/>
      <c r="BJZ28" s="128"/>
      <c r="BKA28" s="128"/>
      <c r="BKB28" s="128"/>
      <c r="BKC28" s="128"/>
      <c r="BKD28" s="128"/>
      <c r="BKE28" s="128"/>
      <c r="BKF28" s="128"/>
      <c r="BKG28" s="128"/>
      <c r="BKH28" s="128"/>
      <c r="BKI28" s="128"/>
      <c r="BKJ28" s="128"/>
      <c r="BKK28" s="128"/>
      <c r="BKL28" s="128"/>
      <c r="BKM28" s="128"/>
      <c r="BKN28" s="128"/>
      <c r="BKO28" s="128"/>
      <c r="BKP28" s="128"/>
      <c r="BKQ28" s="128"/>
      <c r="BKR28" s="128"/>
      <c r="BKS28" s="128"/>
      <c r="BKT28" s="128"/>
      <c r="BKU28" s="128"/>
      <c r="BKV28" s="128"/>
      <c r="BKW28" s="128"/>
      <c r="BKX28" s="128"/>
      <c r="BKY28" s="128"/>
      <c r="BKZ28" s="128"/>
      <c r="BLA28" s="128"/>
      <c r="BLB28" s="128"/>
      <c r="BLC28" s="128"/>
      <c r="BLD28" s="128"/>
      <c r="BLE28" s="128"/>
      <c r="BLF28" s="128"/>
      <c r="BLG28" s="128"/>
      <c r="BLH28" s="128"/>
      <c r="BLI28" s="128"/>
      <c r="BLJ28" s="128"/>
      <c r="BLK28" s="128"/>
      <c r="BLL28" s="128"/>
      <c r="BLM28" s="128"/>
      <c r="BLN28" s="128"/>
      <c r="BLO28" s="128"/>
      <c r="BLP28" s="128"/>
      <c r="BLQ28" s="128"/>
      <c r="BLR28" s="128"/>
      <c r="BLS28" s="128"/>
      <c r="BLT28" s="128"/>
      <c r="BLU28" s="128"/>
      <c r="BLV28" s="128"/>
      <c r="BLW28" s="128"/>
      <c r="BLX28" s="128"/>
      <c r="BLY28" s="128"/>
      <c r="BLZ28" s="128"/>
      <c r="BMA28" s="128"/>
      <c r="BMB28" s="128"/>
      <c r="BMC28" s="128"/>
      <c r="BMD28" s="128"/>
      <c r="BME28" s="128"/>
      <c r="BMF28" s="128"/>
      <c r="BMG28" s="128"/>
      <c r="BMH28" s="128"/>
      <c r="BMI28" s="128"/>
      <c r="BMJ28" s="128"/>
      <c r="BMK28" s="128"/>
      <c r="BML28" s="128"/>
      <c r="BMM28" s="128"/>
      <c r="BMN28" s="128"/>
      <c r="BMO28" s="128"/>
      <c r="BMP28" s="128"/>
      <c r="BMQ28" s="128"/>
      <c r="BMR28" s="128"/>
      <c r="BMS28" s="128"/>
      <c r="BMT28" s="128"/>
      <c r="BMU28" s="128"/>
      <c r="BMV28" s="128"/>
      <c r="BMW28" s="128"/>
      <c r="BMX28" s="128"/>
      <c r="BMY28" s="128"/>
      <c r="BMZ28" s="128"/>
      <c r="BNA28" s="128"/>
      <c r="BNB28" s="128"/>
      <c r="BNC28" s="128"/>
      <c r="BND28" s="128"/>
      <c r="BNE28" s="128"/>
      <c r="BNF28" s="128"/>
      <c r="BNG28" s="128"/>
      <c r="BNH28" s="128"/>
      <c r="BNI28" s="128"/>
      <c r="BNJ28" s="128"/>
      <c r="BNK28" s="128"/>
      <c r="BNL28" s="128"/>
      <c r="BNM28" s="128"/>
      <c r="BNN28" s="128"/>
      <c r="BNO28" s="128"/>
      <c r="BNP28" s="128"/>
      <c r="BNQ28" s="128"/>
      <c r="BNR28" s="128"/>
      <c r="BNS28" s="128"/>
      <c r="BNT28" s="128"/>
      <c r="BNU28" s="128"/>
      <c r="BNV28" s="128"/>
      <c r="BNW28" s="128"/>
      <c r="BNX28" s="128"/>
      <c r="BNY28" s="128"/>
      <c r="BNZ28" s="128"/>
      <c r="BOA28" s="128"/>
      <c r="BOB28" s="128"/>
      <c r="BOC28" s="128"/>
      <c r="BOD28" s="128"/>
      <c r="BOE28" s="128"/>
      <c r="BOF28" s="128"/>
      <c r="BOG28" s="128"/>
      <c r="BOH28" s="128"/>
      <c r="BOI28" s="128"/>
      <c r="BOJ28" s="128"/>
      <c r="BOK28" s="128"/>
      <c r="BOL28" s="128"/>
      <c r="BOM28" s="128"/>
      <c r="BON28" s="128"/>
      <c r="BOO28" s="128"/>
      <c r="BOP28" s="128"/>
      <c r="BOQ28" s="128"/>
      <c r="BOR28" s="128"/>
      <c r="BOS28" s="128"/>
      <c r="BOT28" s="128"/>
      <c r="BOU28" s="128"/>
      <c r="BOV28" s="128"/>
      <c r="BOW28" s="128"/>
      <c r="BOX28" s="128"/>
      <c r="BOY28" s="128"/>
      <c r="BOZ28" s="128"/>
      <c r="BPA28" s="128"/>
      <c r="BPB28" s="128"/>
      <c r="BPC28" s="128"/>
      <c r="BPD28" s="128"/>
      <c r="BPE28" s="128"/>
      <c r="BPF28" s="128"/>
      <c r="BPG28" s="128"/>
      <c r="BPH28" s="128"/>
      <c r="BPI28" s="128"/>
      <c r="BPJ28" s="128"/>
      <c r="BPK28" s="128"/>
      <c r="BPL28" s="128"/>
      <c r="BPM28" s="128"/>
      <c r="BPN28" s="128"/>
      <c r="BPO28" s="128"/>
      <c r="BPP28" s="128"/>
      <c r="BPQ28" s="128"/>
      <c r="BPR28" s="128"/>
      <c r="BPS28" s="128"/>
      <c r="BPT28" s="128"/>
      <c r="BPU28" s="128"/>
      <c r="BPV28" s="128"/>
      <c r="BPW28" s="128"/>
      <c r="BPX28" s="128"/>
      <c r="BPY28" s="128"/>
      <c r="BPZ28" s="128"/>
      <c r="BQA28" s="128"/>
      <c r="BQB28" s="128"/>
      <c r="BQC28" s="128"/>
      <c r="BQD28" s="128"/>
      <c r="BQE28" s="128"/>
      <c r="BQF28" s="128"/>
      <c r="BQG28" s="128"/>
      <c r="BQH28" s="128"/>
      <c r="BQI28" s="128"/>
      <c r="BQJ28" s="128"/>
      <c r="BQK28" s="128"/>
      <c r="BQL28" s="128"/>
      <c r="BQM28" s="128"/>
      <c r="BQN28" s="128"/>
      <c r="BQO28" s="128"/>
      <c r="BQP28" s="128"/>
      <c r="BQQ28" s="128"/>
      <c r="BQR28" s="128"/>
      <c r="BQS28" s="128"/>
      <c r="BQT28" s="128"/>
      <c r="BQU28" s="128"/>
      <c r="BQV28" s="128"/>
      <c r="BQW28" s="128"/>
      <c r="BQX28" s="128"/>
      <c r="BQY28" s="128"/>
      <c r="BQZ28" s="128"/>
      <c r="BRA28" s="128"/>
      <c r="BRB28" s="128"/>
      <c r="BRC28" s="128"/>
      <c r="BRD28" s="128"/>
      <c r="BRE28" s="128"/>
      <c r="BRF28" s="128"/>
      <c r="BRG28" s="128"/>
      <c r="BRH28" s="128"/>
      <c r="BRI28" s="128"/>
      <c r="BRJ28" s="128"/>
      <c r="BRK28" s="128"/>
      <c r="BRL28" s="128"/>
      <c r="BRM28" s="128"/>
      <c r="BRN28" s="128"/>
      <c r="BRO28" s="128"/>
      <c r="BRP28" s="128"/>
      <c r="BRQ28" s="128"/>
      <c r="BRR28" s="128"/>
      <c r="BRS28" s="128"/>
      <c r="BRT28" s="128"/>
      <c r="BRU28" s="128"/>
      <c r="BRV28" s="128"/>
      <c r="BRW28" s="128"/>
      <c r="BRX28" s="128"/>
      <c r="BRY28" s="128"/>
      <c r="BRZ28" s="128"/>
      <c r="BSA28" s="128"/>
      <c r="BSB28" s="128"/>
      <c r="BSC28" s="128"/>
      <c r="BSD28" s="128"/>
      <c r="BSE28" s="128"/>
      <c r="BSF28" s="128"/>
      <c r="BSG28" s="128"/>
      <c r="BSH28" s="128"/>
      <c r="BSI28" s="128"/>
      <c r="BSJ28" s="128"/>
      <c r="BSK28" s="128"/>
      <c r="BSL28" s="128"/>
      <c r="BSM28" s="128"/>
      <c r="BSN28" s="128"/>
      <c r="BSO28" s="128"/>
      <c r="BSP28" s="128"/>
      <c r="BSQ28" s="128"/>
      <c r="BSR28" s="128"/>
      <c r="BSS28" s="128"/>
      <c r="BST28" s="128"/>
      <c r="BSU28" s="128"/>
      <c r="BSV28" s="128"/>
      <c r="BSW28" s="128"/>
      <c r="BSX28" s="128"/>
      <c r="BSY28" s="128"/>
      <c r="BSZ28" s="128"/>
      <c r="BTA28" s="128"/>
      <c r="BTB28" s="128"/>
      <c r="BTC28" s="128"/>
      <c r="BTD28" s="128"/>
      <c r="BTE28" s="128"/>
      <c r="BTF28" s="128"/>
      <c r="BTG28" s="128"/>
      <c r="BTH28" s="128"/>
      <c r="BTI28" s="128"/>
      <c r="BTJ28" s="128"/>
      <c r="BTK28" s="128"/>
      <c r="BTL28" s="128"/>
      <c r="BTM28" s="128"/>
      <c r="BTN28" s="128"/>
      <c r="BTO28" s="128"/>
      <c r="BTP28" s="128"/>
      <c r="BTQ28" s="128"/>
      <c r="BTR28" s="128"/>
      <c r="BTS28" s="128"/>
      <c r="BTT28" s="128"/>
      <c r="BTU28" s="128"/>
      <c r="BTV28" s="128"/>
      <c r="BTW28" s="128"/>
      <c r="BTX28" s="128"/>
      <c r="BTY28" s="128"/>
      <c r="BTZ28" s="128"/>
      <c r="BUA28" s="128"/>
      <c r="BUB28" s="128"/>
      <c r="BUC28" s="128"/>
      <c r="BUD28" s="128"/>
      <c r="BUE28" s="128"/>
      <c r="BUF28" s="128"/>
      <c r="BUG28" s="128"/>
      <c r="BUH28" s="128"/>
      <c r="BUI28" s="128"/>
      <c r="BUJ28" s="128"/>
      <c r="BUK28" s="128"/>
      <c r="BUL28" s="128"/>
      <c r="BUM28" s="128"/>
      <c r="BUN28" s="128"/>
      <c r="BUO28" s="128"/>
      <c r="BUP28" s="128"/>
      <c r="BUQ28" s="128"/>
      <c r="BUR28" s="128"/>
      <c r="BUS28" s="128"/>
      <c r="BUT28" s="128"/>
      <c r="BUU28" s="128"/>
      <c r="BUV28" s="128"/>
      <c r="BUW28" s="128"/>
      <c r="BUX28" s="128"/>
      <c r="BUY28" s="128"/>
      <c r="BUZ28" s="128"/>
      <c r="BVA28" s="128"/>
      <c r="BVB28" s="128"/>
      <c r="BVC28" s="128"/>
      <c r="BVD28" s="128"/>
      <c r="BVE28" s="128"/>
      <c r="BVF28" s="128"/>
      <c r="BVG28" s="128"/>
      <c r="BVH28" s="128"/>
      <c r="BVI28" s="128"/>
      <c r="BVJ28" s="128"/>
      <c r="BVK28" s="128"/>
      <c r="BVL28" s="128"/>
      <c r="BVM28" s="128"/>
      <c r="BVN28" s="128"/>
      <c r="BVO28" s="128"/>
      <c r="BVP28" s="128"/>
      <c r="BVQ28" s="128"/>
      <c r="BVR28" s="128"/>
      <c r="BVS28" s="128"/>
      <c r="BVT28" s="128"/>
      <c r="BVU28" s="128"/>
      <c r="BVV28" s="128"/>
      <c r="BVW28" s="128"/>
      <c r="BVX28" s="128"/>
      <c r="BVY28" s="128"/>
      <c r="BVZ28" s="128"/>
      <c r="BWA28" s="128"/>
      <c r="BWB28" s="128"/>
      <c r="BWC28" s="128"/>
      <c r="BWD28" s="128"/>
      <c r="BWE28" s="128"/>
      <c r="BWF28" s="128"/>
      <c r="BWG28" s="128"/>
      <c r="BWH28" s="128"/>
      <c r="BWI28" s="128"/>
      <c r="BWJ28" s="128"/>
      <c r="BWK28" s="128"/>
      <c r="BWL28" s="128"/>
      <c r="BWM28" s="128"/>
      <c r="BWN28" s="128"/>
      <c r="BWO28" s="128"/>
      <c r="BWP28" s="128"/>
      <c r="BWQ28" s="128"/>
      <c r="BWR28" s="128"/>
      <c r="BWS28" s="128"/>
      <c r="BWT28" s="128"/>
      <c r="BWU28" s="128"/>
      <c r="BWV28" s="128"/>
      <c r="BWW28" s="128"/>
      <c r="BWX28" s="128"/>
      <c r="BWY28" s="128"/>
      <c r="BWZ28" s="128"/>
      <c r="BXA28" s="128"/>
      <c r="BXB28" s="128"/>
      <c r="BXC28" s="128"/>
      <c r="BXD28" s="128"/>
      <c r="BXE28" s="128"/>
      <c r="BXF28" s="128"/>
      <c r="BXG28" s="128"/>
      <c r="BXH28" s="128"/>
      <c r="BXI28" s="128"/>
      <c r="BXJ28" s="128"/>
      <c r="BXK28" s="128"/>
      <c r="BXL28" s="128"/>
      <c r="BXM28" s="128"/>
      <c r="BXN28" s="128"/>
      <c r="BXO28" s="128"/>
      <c r="BXP28" s="128"/>
      <c r="BXQ28" s="128"/>
      <c r="BXR28" s="128"/>
      <c r="BXS28" s="128"/>
      <c r="BXT28" s="128"/>
      <c r="BXU28" s="128"/>
      <c r="BXV28" s="128"/>
      <c r="BXW28" s="128"/>
      <c r="BXX28" s="128"/>
      <c r="BXY28" s="128"/>
      <c r="BXZ28" s="128"/>
      <c r="BYA28" s="128"/>
      <c r="BYB28" s="128"/>
      <c r="BYC28" s="128"/>
      <c r="BYD28" s="128"/>
      <c r="BYE28" s="128"/>
      <c r="BYF28" s="128"/>
      <c r="BYG28" s="128"/>
      <c r="BYH28" s="128"/>
      <c r="BYI28" s="128"/>
      <c r="BYJ28" s="128"/>
      <c r="BYK28" s="128"/>
      <c r="BYL28" s="128"/>
      <c r="BYM28" s="128"/>
      <c r="BYN28" s="128"/>
      <c r="BYO28" s="128"/>
      <c r="BYP28" s="128"/>
      <c r="BYQ28" s="128"/>
      <c r="BYR28" s="128"/>
      <c r="BYS28" s="128"/>
      <c r="BYT28" s="128"/>
      <c r="BYU28" s="128"/>
      <c r="BYV28" s="128"/>
      <c r="BYW28" s="128"/>
      <c r="BYX28" s="128"/>
      <c r="BYY28" s="128"/>
      <c r="BYZ28" s="128"/>
      <c r="BZA28" s="128"/>
      <c r="BZB28" s="128"/>
      <c r="BZC28" s="128"/>
      <c r="BZD28" s="128"/>
      <c r="BZE28" s="128"/>
      <c r="BZF28" s="128"/>
      <c r="BZG28" s="128"/>
      <c r="BZH28" s="128"/>
      <c r="BZI28" s="128"/>
      <c r="BZJ28" s="128"/>
      <c r="BZK28" s="128"/>
      <c r="BZL28" s="128"/>
      <c r="BZM28" s="128"/>
      <c r="BZN28" s="128"/>
      <c r="BZO28" s="128"/>
      <c r="BZP28" s="128"/>
      <c r="BZQ28" s="128"/>
      <c r="BZR28" s="128"/>
      <c r="BZS28" s="128"/>
      <c r="BZT28" s="128"/>
      <c r="BZU28" s="128"/>
      <c r="BZV28" s="128"/>
      <c r="BZW28" s="128"/>
      <c r="BZX28" s="128"/>
      <c r="BZY28" s="128"/>
      <c r="BZZ28" s="128"/>
      <c r="CAA28" s="128"/>
      <c r="CAB28" s="128"/>
      <c r="CAC28" s="128"/>
      <c r="CAD28" s="128"/>
      <c r="CAE28" s="128"/>
      <c r="CAF28" s="128"/>
      <c r="CAG28" s="128"/>
      <c r="CAH28" s="128"/>
      <c r="CAI28" s="128"/>
      <c r="CAJ28" s="128"/>
      <c r="CAK28" s="128"/>
      <c r="CAL28" s="128"/>
      <c r="CAM28" s="128"/>
      <c r="CAN28" s="128"/>
      <c r="CAO28" s="128"/>
      <c r="CAP28" s="128"/>
      <c r="CAQ28" s="128"/>
      <c r="CAR28" s="128"/>
      <c r="CAS28" s="128"/>
      <c r="CAT28" s="128"/>
      <c r="CAU28" s="128"/>
      <c r="CAV28" s="128"/>
      <c r="CAW28" s="128"/>
      <c r="CAX28" s="128"/>
      <c r="CAY28" s="128"/>
      <c r="CAZ28" s="128"/>
      <c r="CBA28" s="128"/>
      <c r="CBB28" s="128"/>
      <c r="CBC28" s="128"/>
      <c r="CBD28" s="128"/>
      <c r="CBE28" s="128"/>
      <c r="CBF28" s="128"/>
      <c r="CBG28" s="128"/>
      <c r="CBH28" s="128"/>
      <c r="CBI28" s="128"/>
      <c r="CBJ28" s="128"/>
      <c r="CBK28" s="128"/>
      <c r="CBL28" s="128"/>
      <c r="CBM28" s="128"/>
      <c r="CBN28" s="128"/>
      <c r="CBO28" s="128"/>
      <c r="CBP28" s="128"/>
      <c r="CBQ28" s="128"/>
      <c r="CBR28" s="128"/>
      <c r="CBS28" s="128"/>
      <c r="CBT28" s="128"/>
      <c r="CBU28" s="128"/>
      <c r="CBV28" s="128"/>
      <c r="CBW28" s="128"/>
      <c r="CBX28" s="128"/>
      <c r="CBY28" s="128"/>
      <c r="CBZ28" s="128"/>
      <c r="CCA28" s="128"/>
      <c r="CCB28" s="128"/>
      <c r="CCC28" s="128"/>
      <c r="CCD28" s="128"/>
      <c r="CCE28" s="128"/>
      <c r="CCF28" s="128"/>
      <c r="CCG28" s="128"/>
      <c r="CCH28" s="128"/>
      <c r="CCI28" s="128"/>
      <c r="CCJ28" s="128"/>
      <c r="CCK28" s="128"/>
      <c r="CCL28" s="128"/>
      <c r="CCM28" s="128"/>
      <c r="CCN28" s="128"/>
      <c r="CCO28" s="128"/>
      <c r="CCP28" s="128"/>
      <c r="CCQ28" s="128"/>
      <c r="CCR28" s="128"/>
      <c r="CCS28" s="128"/>
      <c r="CCT28" s="128"/>
      <c r="CCU28" s="128"/>
      <c r="CCV28" s="128"/>
      <c r="CCW28" s="128"/>
      <c r="CCX28" s="128"/>
      <c r="CCY28" s="128"/>
      <c r="CCZ28" s="128"/>
      <c r="CDA28" s="128"/>
      <c r="CDB28" s="128"/>
      <c r="CDC28" s="128"/>
      <c r="CDD28" s="128"/>
      <c r="CDE28" s="128"/>
      <c r="CDF28" s="128"/>
      <c r="CDG28" s="128"/>
      <c r="CDH28" s="128"/>
      <c r="CDI28" s="128"/>
      <c r="CDJ28" s="128"/>
      <c r="CDK28" s="128"/>
      <c r="CDL28" s="128"/>
      <c r="CDM28" s="128"/>
      <c r="CDN28" s="128"/>
      <c r="CDO28" s="128"/>
      <c r="CDP28" s="128"/>
      <c r="CDQ28" s="128"/>
      <c r="CDR28" s="128"/>
      <c r="CDS28" s="128"/>
      <c r="CDT28" s="128"/>
      <c r="CDU28" s="128"/>
      <c r="CDV28" s="128"/>
      <c r="CDW28" s="128"/>
      <c r="CDX28" s="128"/>
      <c r="CDY28" s="128"/>
      <c r="CDZ28" s="128"/>
      <c r="CEA28" s="128"/>
      <c r="CEB28" s="128"/>
      <c r="CEC28" s="128"/>
      <c r="CED28" s="128"/>
      <c r="CEE28" s="128"/>
      <c r="CEF28" s="128"/>
      <c r="CEG28" s="128"/>
      <c r="CEH28" s="128"/>
      <c r="CEI28" s="128"/>
      <c r="CEJ28" s="128"/>
      <c r="CEK28" s="128"/>
      <c r="CEL28" s="128"/>
      <c r="CEM28" s="128"/>
      <c r="CEN28" s="128"/>
      <c r="CEO28" s="128"/>
      <c r="CEP28" s="128"/>
      <c r="CEQ28" s="128"/>
      <c r="CER28" s="128"/>
      <c r="CES28" s="128"/>
      <c r="CET28" s="128"/>
      <c r="CEU28" s="128"/>
      <c r="CEV28" s="128"/>
      <c r="CEW28" s="128"/>
      <c r="CEX28" s="128"/>
      <c r="CEY28" s="128"/>
      <c r="CEZ28" s="128"/>
      <c r="CFA28" s="128"/>
      <c r="CFB28" s="128"/>
      <c r="CFC28" s="128"/>
      <c r="CFD28" s="128"/>
      <c r="CFE28" s="128"/>
      <c r="CFF28" s="128"/>
      <c r="CFG28" s="128"/>
      <c r="CFH28" s="128"/>
      <c r="CFI28" s="128"/>
      <c r="CFJ28" s="128"/>
      <c r="CFK28" s="128"/>
      <c r="CFL28" s="128"/>
      <c r="CFM28" s="128"/>
      <c r="CFN28" s="128"/>
      <c r="CFO28" s="128"/>
      <c r="CFP28" s="128"/>
      <c r="CFQ28" s="128"/>
      <c r="CFR28" s="128"/>
      <c r="CFS28" s="128"/>
      <c r="CFT28" s="128"/>
      <c r="CFU28" s="128"/>
      <c r="CFV28" s="128"/>
      <c r="CFW28" s="128"/>
      <c r="CFX28" s="128"/>
      <c r="CFY28" s="128"/>
      <c r="CFZ28" s="128"/>
      <c r="CGA28" s="128"/>
      <c r="CGB28" s="128"/>
      <c r="CGC28" s="128"/>
      <c r="CGD28" s="128"/>
      <c r="CGE28" s="128"/>
      <c r="CGF28" s="128"/>
      <c r="CGG28" s="128"/>
      <c r="CGH28" s="128"/>
      <c r="CGI28" s="128"/>
      <c r="CGJ28" s="128"/>
      <c r="CGK28" s="128"/>
      <c r="CGL28" s="128"/>
      <c r="CGM28" s="128"/>
      <c r="CGN28" s="128"/>
      <c r="CGO28" s="128"/>
      <c r="CGP28" s="128"/>
      <c r="CGQ28" s="128"/>
      <c r="CGR28" s="128"/>
      <c r="CGS28" s="128"/>
      <c r="CGT28" s="128"/>
      <c r="CGU28" s="128"/>
      <c r="CGV28" s="128"/>
      <c r="CGW28" s="128"/>
      <c r="CGX28" s="128"/>
      <c r="CGY28" s="128"/>
      <c r="CGZ28" s="128"/>
      <c r="CHA28" s="128"/>
      <c r="CHB28" s="128"/>
      <c r="CHC28" s="128"/>
      <c r="CHD28" s="128"/>
      <c r="CHE28" s="128"/>
      <c r="CHF28" s="128"/>
      <c r="CHG28" s="128"/>
      <c r="CHH28" s="128"/>
      <c r="CHI28" s="128"/>
      <c r="CHJ28" s="128"/>
      <c r="CHK28" s="128"/>
      <c r="CHL28" s="128"/>
      <c r="CHM28" s="128"/>
      <c r="CHN28" s="128"/>
      <c r="CHO28" s="128"/>
      <c r="CHP28" s="128"/>
      <c r="CHQ28" s="128"/>
      <c r="CHR28" s="128"/>
      <c r="CHS28" s="128"/>
      <c r="CHT28" s="128"/>
      <c r="CHU28" s="128"/>
      <c r="CHV28" s="128"/>
      <c r="CHW28" s="128"/>
      <c r="CHX28" s="128"/>
      <c r="CHY28" s="128"/>
      <c r="CHZ28" s="128"/>
      <c r="CIA28" s="128"/>
      <c r="CIB28" s="128"/>
      <c r="CIC28" s="128"/>
      <c r="CID28" s="128"/>
      <c r="CIE28" s="128"/>
      <c r="CIF28" s="128"/>
      <c r="CIG28" s="128"/>
      <c r="CIH28" s="128"/>
      <c r="CII28" s="128"/>
      <c r="CIJ28" s="128"/>
      <c r="CIK28" s="128"/>
      <c r="CIL28" s="128"/>
      <c r="CIM28" s="128"/>
      <c r="CIN28" s="128"/>
      <c r="CIO28" s="128"/>
      <c r="CIP28" s="128"/>
      <c r="CIQ28" s="128"/>
      <c r="CIR28" s="128"/>
      <c r="CIS28" s="128"/>
      <c r="CIT28" s="128"/>
      <c r="CIU28" s="128"/>
      <c r="CIV28" s="128"/>
      <c r="CIW28" s="128"/>
      <c r="CIX28" s="128"/>
      <c r="CIY28" s="128"/>
      <c r="CIZ28" s="128"/>
      <c r="CJA28" s="128"/>
      <c r="CJB28" s="128"/>
      <c r="CJC28" s="128"/>
      <c r="CJD28" s="128"/>
      <c r="CJE28" s="128"/>
      <c r="CJF28" s="128"/>
      <c r="CJG28" s="128"/>
      <c r="CJH28" s="128"/>
      <c r="CJI28" s="128"/>
      <c r="CJJ28" s="128"/>
      <c r="CJK28" s="128"/>
      <c r="CJL28" s="128"/>
      <c r="CJM28" s="128"/>
      <c r="CJN28" s="128"/>
      <c r="CJO28" s="128"/>
      <c r="CJP28" s="128"/>
      <c r="CJQ28" s="128"/>
      <c r="CJR28" s="128"/>
      <c r="CJS28" s="128"/>
      <c r="CJT28" s="128"/>
      <c r="CJU28" s="128"/>
      <c r="CJV28" s="128"/>
      <c r="CJW28" s="128"/>
      <c r="CJX28" s="128"/>
      <c r="CJY28" s="128"/>
      <c r="CJZ28" s="128"/>
      <c r="CKA28" s="128"/>
      <c r="CKB28" s="128"/>
      <c r="CKC28" s="128"/>
      <c r="CKD28" s="128"/>
      <c r="CKE28" s="128"/>
      <c r="CKF28" s="128"/>
      <c r="CKG28" s="128"/>
      <c r="CKH28" s="128"/>
      <c r="CKI28" s="128"/>
      <c r="CKJ28" s="128"/>
      <c r="CKK28" s="128"/>
      <c r="CKL28" s="128"/>
      <c r="CKM28" s="128"/>
      <c r="CKN28" s="128"/>
      <c r="CKO28" s="128"/>
      <c r="CKP28" s="128"/>
      <c r="CKQ28" s="128"/>
      <c r="CKR28" s="128"/>
      <c r="CKS28" s="128"/>
      <c r="CKT28" s="128"/>
      <c r="CKU28" s="128"/>
      <c r="CKV28" s="128"/>
      <c r="CKW28" s="128"/>
      <c r="CKX28" s="128"/>
      <c r="CKY28" s="128"/>
      <c r="CKZ28" s="128"/>
      <c r="CLA28" s="128"/>
      <c r="CLB28" s="128"/>
      <c r="CLC28" s="128"/>
      <c r="CLD28" s="128"/>
      <c r="CLE28" s="128"/>
      <c r="CLF28" s="128"/>
      <c r="CLG28" s="128"/>
      <c r="CLH28" s="128"/>
      <c r="CLI28" s="128"/>
      <c r="CLJ28" s="128"/>
      <c r="CLK28" s="128"/>
      <c r="CLL28" s="128"/>
      <c r="CLM28" s="128"/>
      <c r="CLN28" s="128"/>
      <c r="CLO28" s="128"/>
      <c r="CLP28" s="128"/>
      <c r="CLQ28" s="128"/>
      <c r="CLR28" s="128"/>
      <c r="CLS28" s="128"/>
      <c r="CLT28" s="128"/>
      <c r="CLU28" s="128"/>
      <c r="CLV28" s="128"/>
      <c r="CLW28" s="128"/>
      <c r="CLX28" s="128"/>
      <c r="CLY28" s="128"/>
      <c r="CLZ28" s="128"/>
      <c r="CMA28" s="128"/>
      <c r="CMB28" s="128"/>
      <c r="CMC28" s="128"/>
      <c r="CMD28" s="128"/>
      <c r="CME28" s="128"/>
      <c r="CMF28" s="128"/>
      <c r="CMG28" s="128"/>
      <c r="CMH28" s="128"/>
      <c r="CMI28" s="128"/>
      <c r="CMJ28" s="128"/>
      <c r="CMK28" s="128"/>
      <c r="CML28" s="128"/>
      <c r="CMM28" s="128"/>
      <c r="CMN28" s="128"/>
      <c r="CMO28" s="128"/>
      <c r="CMP28" s="128"/>
      <c r="CMQ28" s="128"/>
      <c r="CMR28" s="128"/>
      <c r="CMS28" s="128"/>
      <c r="CMT28" s="128"/>
      <c r="CMU28" s="128"/>
      <c r="CMV28" s="128"/>
      <c r="CMW28" s="128"/>
      <c r="CMX28" s="128"/>
      <c r="CMY28" s="128"/>
      <c r="CMZ28" s="128"/>
      <c r="CNA28" s="128"/>
      <c r="CNB28" s="128"/>
      <c r="CNC28" s="128"/>
      <c r="CND28" s="128"/>
      <c r="CNE28" s="128"/>
      <c r="CNF28" s="128"/>
      <c r="CNG28" s="128"/>
      <c r="CNH28" s="128"/>
      <c r="CNI28" s="128"/>
      <c r="CNJ28" s="128"/>
      <c r="CNK28" s="128"/>
      <c r="CNL28" s="128"/>
      <c r="CNM28" s="128"/>
      <c r="CNN28" s="128"/>
      <c r="CNO28" s="128"/>
      <c r="CNP28" s="128"/>
      <c r="CNQ28" s="128"/>
      <c r="CNR28" s="128"/>
      <c r="CNS28" s="128"/>
      <c r="CNT28" s="128"/>
      <c r="CNU28" s="128"/>
      <c r="CNV28" s="128"/>
      <c r="CNW28" s="128"/>
      <c r="CNX28" s="128"/>
      <c r="CNY28" s="128"/>
      <c r="CNZ28" s="128"/>
      <c r="COA28" s="128"/>
      <c r="COB28" s="128"/>
      <c r="COC28" s="128"/>
      <c r="COD28" s="128"/>
      <c r="COE28" s="128"/>
      <c r="COF28" s="128"/>
      <c r="COG28" s="128"/>
      <c r="COH28" s="128"/>
      <c r="COI28" s="128"/>
      <c r="COJ28" s="128"/>
      <c r="COK28" s="128"/>
      <c r="COL28" s="128"/>
      <c r="COM28" s="128"/>
      <c r="CON28" s="128"/>
      <c r="COO28" s="128"/>
      <c r="COP28" s="128"/>
      <c r="COQ28" s="128"/>
      <c r="COR28" s="128"/>
      <c r="COS28" s="128"/>
      <c r="COT28" s="128"/>
      <c r="COU28" s="128"/>
      <c r="COV28" s="128"/>
      <c r="COW28" s="128"/>
      <c r="COX28" s="128"/>
      <c r="COY28" s="128"/>
      <c r="COZ28" s="128"/>
      <c r="CPA28" s="128"/>
      <c r="CPB28" s="128"/>
      <c r="CPC28" s="128"/>
      <c r="CPD28" s="128"/>
      <c r="CPE28" s="128"/>
      <c r="CPF28" s="128"/>
      <c r="CPG28" s="128"/>
      <c r="CPH28" s="128"/>
      <c r="CPI28" s="128"/>
      <c r="CPJ28" s="128"/>
      <c r="CPK28" s="128"/>
      <c r="CPL28" s="128"/>
      <c r="CPM28" s="128"/>
      <c r="CPN28" s="128"/>
      <c r="CPO28" s="128"/>
      <c r="CPP28" s="128"/>
      <c r="CPQ28" s="128"/>
      <c r="CPR28" s="128"/>
      <c r="CPS28" s="128"/>
      <c r="CPT28" s="128"/>
      <c r="CPU28" s="128"/>
      <c r="CPV28" s="128"/>
      <c r="CPW28" s="128"/>
      <c r="CPX28" s="128"/>
      <c r="CPY28" s="128"/>
      <c r="CPZ28" s="128"/>
      <c r="CQA28" s="128"/>
      <c r="CQB28" s="128"/>
      <c r="CQC28" s="128"/>
      <c r="CQD28" s="128"/>
      <c r="CQE28" s="128"/>
      <c r="CQF28" s="128"/>
      <c r="CQG28" s="128"/>
      <c r="CQH28" s="128"/>
      <c r="CQI28" s="128"/>
      <c r="CQJ28" s="128"/>
      <c r="CQK28" s="128"/>
      <c r="CQL28" s="128"/>
      <c r="CQM28" s="128"/>
      <c r="CQN28" s="128"/>
      <c r="CQO28" s="128"/>
      <c r="CQP28" s="128"/>
      <c r="CQQ28" s="128"/>
      <c r="CQR28" s="128"/>
      <c r="CQS28" s="128"/>
      <c r="CQT28" s="128"/>
      <c r="CQU28" s="128"/>
      <c r="CQV28" s="128"/>
      <c r="CQW28" s="128"/>
      <c r="CQX28" s="128"/>
      <c r="CQY28" s="128"/>
      <c r="CQZ28" s="128"/>
      <c r="CRA28" s="128"/>
      <c r="CRB28" s="128"/>
      <c r="CRC28" s="128"/>
      <c r="CRD28" s="128"/>
      <c r="CRE28" s="128"/>
      <c r="CRF28" s="128"/>
      <c r="CRG28" s="128"/>
      <c r="CRH28" s="128"/>
      <c r="CRI28" s="128"/>
      <c r="CRJ28" s="128"/>
      <c r="CRK28" s="128"/>
      <c r="CRL28" s="128"/>
      <c r="CRM28" s="128"/>
      <c r="CRN28" s="128"/>
      <c r="CRO28" s="128"/>
      <c r="CRP28" s="128"/>
      <c r="CRQ28" s="128"/>
      <c r="CRR28" s="128"/>
      <c r="CRS28" s="128"/>
      <c r="CRT28" s="128"/>
      <c r="CRU28" s="128"/>
      <c r="CRV28" s="128"/>
      <c r="CRW28" s="128"/>
      <c r="CRX28" s="128"/>
      <c r="CRY28" s="128"/>
      <c r="CRZ28" s="128"/>
      <c r="CSA28" s="128"/>
      <c r="CSB28" s="128"/>
      <c r="CSC28" s="128"/>
      <c r="CSD28" s="128"/>
      <c r="CSE28" s="128"/>
      <c r="CSF28" s="128"/>
      <c r="CSG28" s="128"/>
      <c r="CSH28" s="128"/>
      <c r="CSI28" s="128"/>
      <c r="CSJ28" s="128"/>
      <c r="CSK28" s="128"/>
      <c r="CSL28" s="128"/>
      <c r="CSM28" s="128"/>
      <c r="CSN28" s="128"/>
      <c r="CSO28" s="128"/>
      <c r="CSP28" s="128"/>
      <c r="CSQ28" s="128"/>
      <c r="CSR28" s="128"/>
      <c r="CSS28" s="128"/>
      <c r="CST28" s="128"/>
      <c r="CSU28" s="128"/>
      <c r="CSV28" s="128"/>
      <c r="CSW28" s="128"/>
      <c r="CSX28" s="128"/>
      <c r="CSY28" s="128"/>
      <c r="CSZ28" s="128"/>
      <c r="CTA28" s="128"/>
      <c r="CTB28" s="128"/>
      <c r="CTC28" s="128"/>
      <c r="CTD28" s="128"/>
      <c r="CTE28" s="128"/>
      <c r="CTF28" s="128"/>
      <c r="CTG28" s="128"/>
      <c r="CTH28" s="128"/>
      <c r="CTI28" s="128"/>
      <c r="CTJ28" s="128"/>
      <c r="CTK28" s="128"/>
      <c r="CTL28" s="128"/>
      <c r="CTM28" s="128"/>
      <c r="CTN28" s="128"/>
      <c r="CTO28" s="128"/>
      <c r="CTP28" s="128"/>
      <c r="CTQ28" s="128"/>
      <c r="CTR28" s="128"/>
      <c r="CTS28" s="128"/>
      <c r="CTT28" s="128"/>
      <c r="CTU28" s="128"/>
      <c r="CTV28" s="128"/>
      <c r="CTW28" s="128"/>
      <c r="CTX28" s="128"/>
      <c r="CTY28" s="128"/>
      <c r="CTZ28" s="128"/>
      <c r="CUA28" s="128"/>
      <c r="CUB28" s="128"/>
      <c r="CUC28" s="128"/>
      <c r="CUD28" s="128"/>
      <c r="CUE28" s="128"/>
      <c r="CUF28" s="128"/>
      <c r="CUG28" s="128"/>
      <c r="CUH28" s="128"/>
      <c r="CUI28" s="128"/>
      <c r="CUJ28" s="128"/>
      <c r="CUK28" s="128"/>
      <c r="CUL28" s="128"/>
      <c r="CUM28" s="128"/>
      <c r="CUN28" s="128"/>
      <c r="CUO28" s="128"/>
      <c r="CUP28" s="128"/>
      <c r="CUQ28" s="128"/>
      <c r="CUR28" s="128"/>
      <c r="CUS28" s="128"/>
      <c r="CUT28" s="128"/>
      <c r="CUU28" s="128"/>
      <c r="CUV28" s="128"/>
      <c r="CUW28" s="128"/>
      <c r="CUX28" s="128"/>
      <c r="CUY28" s="128"/>
      <c r="CUZ28" s="128"/>
      <c r="CVA28" s="128"/>
      <c r="CVB28" s="128"/>
      <c r="CVC28" s="128"/>
      <c r="CVD28" s="128"/>
      <c r="CVE28" s="128"/>
      <c r="CVF28" s="128"/>
      <c r="CVG28" s="128"/>
      <c r="CVH28" s="128"/>
      <c r="CVI28" s="128"/>
      <c r="CVJ28" s="128"/>
      <c r="CVK28" s="128"/>
      <c r="CVL28" s="128"/>
      <c r="CVM28" s="128"/>
      <c r="CVN28" s="128"/>
      <c r="CVO28" s="128"/>
      <c r="CVP28" s="128"/>
      <c r="CVQ28" s="128"/>
      <c r="CVR28" s="128"/>
      <c r="CVS28" s="128"/>
      <c r="CVT28" s="128"/>
      <c r="CVU28" s="128"/>
      <c r="CVV28" s="128"/>
      <c r="CVW28" s="128"/>
      <c r="CVX28" s="128"/>
      <c r="CVY28" s="128"/>
      <c r="CVZ28" s="128"/>
      <c r="CWA28" s="128"/>
      <c r="CWB28" s="128"/>
      <c r="CWC28" s="128"/>
      <c r="CWD28" s="128"/>
      <c r="CWE28" s="128"/>
      <c r="CWF28" s="128"/>
      <c r="CWG28" s="128"/>
      <c r="CWH28" s="128"/>
      <c r="CWI28" s="128"/>
      <c r="CWJ28" s="128"/>
      <c r="CWK28" s="128"/>
      <c r="CWL28" s="128"/>
      <c r="CWM28" s="128"/>
      <c r="CWN28" s="128"/>
      <c r="CWO28" s="128"/>
      <c r="CWP28" s="128"/>
      <c r="CWQ28" s="128"/>
      <c r="CWR28" s="128"/>
      <c r="CWS28" s="128"/>
      <c r="CWT28" s="128"/>
      <c r="CWU28" s="128"/>
      <c r="CWV28" s="128"/>
      <c r="CWW28" s="128"/>
      <c r="CWX28" s="128"/>
      <c r="CWY28" s="128"/>
      <c r="CWZ28" s="128"/>
      <c r="CXA28" s="128"/>
      <c r="CXB28" s="128"/>
      <c r="CXC28" s="128"/>
      <c r="CXD28" s="128"/>
      <c r="CXE28" s="128"/>
      <c r="CXF28" s="128"/>
      <c r="CXG28" s="128"/>
      <c r="CXH28" s="128"/>
      <c r="CXI28" s="128"/>
      <c r="CXJ28" s="128"/>
      <c r="CXK28" s="128"/>
      <c r="CXL28" s="128"/>
      <c r="CXM28" s="128"/>
      <c r="CXN28" s="128"/>
      <c r="CXO28" s="128"/>
      <c r="CXP28" s="128"/>
      <c r="CXQ28" s="128"/>
      <c r="CXR28" s="128"/>
      <c r="CXS28" s="128"/>
      <c r="CXT28" s="128"/>
      <c r="CXU28" s="128"/>
      <c r="CXV28" s="128"/>
      <c r="CXW28" s="128"/>
      <c r="CXX28" s="128"/>
      <c r="CXY28" s="128"/>
      <c r="CXZ28" s="128"/>
      <c r="CYA28" s="128"/>
      <c r="CYB28" s="128"/>
      <c r="CYC28" s="128"/>
      <c r="CYD28" s="128"/>
      <c r="CYE28" s="128"/>
      <c r="CYF28" s="128"/>
      <c r="CYG28" s="128"/>
      <c r="CYH28" s="128"/>
      <c r="CYI28" s="128"/>
      <c r="CYJ28" s="128"/>
      <c r="CYK28" s="128"/>
      <c r="CYL28" s="128"/>
      <c r="CYM28" s="128"/>
      <c r="CYN28" s="128"/>
      <c r="CYO28" s="128"/>
      <c r="CYP28" s="128"/>
      <c r="CYQ28" s="128"/>
      <c r="CYR28" s="128"/>
      <c r="CYS28" s="128"/>
      <c r="CYT28" s="128"/>
      <c r="CYU28" s="128"/>
      <c r="CYV28" s="128"/>
      <c r="CYW28" s="128"/>
      <c r="CYX28" s="128"/>
      <c r="CYY28" s="128"/>
      <c r="CYZ28" s="128"/>
      <c r="CZA28" s="128"/>
      <c r="CZB28" s="128"/>
      <c r="CZC28" s="128"/>
      <c r="CZD28" s="128"/>
      <c r="CZE28" s="128"/>
      <c r="CZF28" s="128"/>
      <c r="CZG28" s="128"/>
      <c r="CZH28" s="128"/>
      <c r="CZI28" s="128"/>
      <c r="CZJ28" s="128"/>
      <c r="CZK28" s="128"/>
      <c r="CZL28" s="128"/>
      <c r="CZM28" s="128"/>
      <c r="CZN28" s="128"/>
      <c r="CZO28" s="128"/>
      <c r="CZP28" s="128"/>
      <c r="CZQ28" s="128"/>
      <c r="CZR28" s="128"/>
      <c r="CZS28" s="128"/>
      <c r="CZT28" s="128"/>
      <c r="CZU28" s="128"/>
      <c r="CZV28" s="128"/>
      <c r="CZW28" s="128"/>
      <c r="CZX28" s="128"/>
      <c r="CZY28" s="128"/>
      <c r="CZZ28" s="128"/>
      <c r="DAA28" s="128"/>
      <c r="DAB28" s="128"/>
      <c r="DAC28" s="128"/>
      <c r="DAD28" s="128"/>
      <c r="DAE28" s="128"/>
      <c r="DAF28" s="128"/>
      <c r="DAG28" s="128"/>
      <c r="DAH28" s="128"/>
      <c r="DAI28" s="128"/>
      <c r="DAJ28" s="128"/>
      <c r="DAK28" s="128"/>
      <c r="DAL28" s="128"/>
      <c r="DAM28" s="128"/>
      <c r="DAN28" s="128"/>
      <c r="DAO28" s="128"/>
      <c r="DAP28" s="128"/>
      <c r="DAQ28" s="128"/>
      <c r="DAR28" s="128"/>
      <c r="DAS28" s="128"/>
      <c r="DAT28" s="128"/>
      <c r="DAU28" s="128"/>
      <c r="DAV28" s="128"/>
      <c r="DAW28" s="128"/>
      <c r="DAX28" s="128"/>
      <c r="DAY28" s="128"/>
      <c r="DAZ28" s="128"/>
      <c r="DBA28" s="128"/>
      <c r="DBB28" s="128"/>
      <c r="DBC28" s="128"/>
      <c r="DBD28" s="128"/>
      <c r="DBE28" s="128"/>
      <c r="DBF28" s="128"/>
      <c r="DBG28" s="128"/>
      <c r="DBH28" s="128"/>
      <c r="DBI28" s="128"/>
      <c r="DBJ28" s="128"/>
      <c r="DBK28" s="128"/>
      <c r="DBL28" s="128"/>
      <c r="DBM28" s="128"/>
      <c r="DBN28" s="128"/>
      <c r="DBO28" s="128"/>
      <c r="DBP28" s="128"/>
      <c r="DBQ28" s="128"/>
      <c r="DBR28" s="128"/>
      <c r="DBS28" s="128"/>
      <c r="DBT28" s="128"/>
      <c r="DBU28" s="128"/>
      <c r="DBV28" s="128"/>
      <c r="DBW28" s="128"/>
      <c r="DBX28" s="128"/>
      <c r="DBY28" s="128"/>
      <c r="DBZ28" s="128"/>
      <c r="DCA28" s="128"/>
      <c r="DCB28" s="128"/>
      <c r="DCC28" s="128"/>
      <c r="DCD28" s="128"/>
      <c r="DCE28" s="128"/>
      <c r="DCF28" s="128"/>
      <c r="DCG28" s="128"/>
      <c r="DCH28" s="128"/>
      <c r="DCI28" s="128"/>
      <c r="DCJ28" s="128"/>
      <c r="DCK28" s="128"/>
      <c r="DCL28" s="128"/>
      <c r="DCM28" s="128"/>
      <c r="DCN28" s="128"/>
      <c r="DCO28" s="128"/>
      <c r="DCP28" s="128"/>
      <c r="DCQ28" s="128"/>
      <c r="DCR28" s="128"/>
      <c r="DCS28" s="128"/>
      <c r="DCT28" s="128"/>
      <c r="DCU28" s="128"/>
      <c r="DCV28" s="128"/>
      <c r="DCW28" s="128"/>
      <c r="DCX28" s="128"/>
      <c r="DCY28" s="128"/>
      <c r="DCZ28" s="128"/>
      <c r="DDA28" s="128"/>
      <c r="DDB28" s="128"/>
      <c r="DDC28" s="128"/>
      <c r="DDD28" s="128"/>
      <c r="DDE28" s="128"/>
      <c r="DDF28" s="128"/>
      <c r="DDG28" s="128"/>
      <c r="DDH28" s="128"/>
      <c r="DDI28" s="128"/>
      <c r="DDJ28" s="128"/>
      <c r="DDK28" s="128"/>
      <c r="DDL28" s="128"/>
      <c r="DDM28" s="128"/>
      <c r="DDN28" s="128"/>
      <c r="DDO28" s="128"/>
      <c r="DDP28" s="128"/>
      <c r="DDQ28" s="128"/>
      <c r="DDR28" s="128"/>
      <c r="DDS28" s="128"/>
      <c r="DDT28" s="128"/>
      <c r="DDU28" s="128"/>
      <c r="DDV28" s="128"/>
      <c r="DDW28" s="128"/>
      <c r="DDX28" s="128"/>
      <c r="DDY28" s="128"/>
      <c r="DDZ28" s="128"/>
      <c r="DEA28" s="128"/>
      <c r="DEB28" s="128"/>
      <c r="DEC28" s="128"/>
      <c r="DED28" s="128"/>
      <c r="DEE28" s="128"/>
      <c r="DEF28" s="128"/>
      <c r="DEG28" s="128"/>
      <c r="DEH28" s="128"/>
      <c r="DEI28" s="128"/>
      <c r="DEJ28" s="128"/>
      <c r="DEK28" s="128"/>
      <c r="DEL28" s="128"/>
      <c r="DEM28" s="128"/>
      <c r="DEN28" s="128"/>
      <c r="DEO28" s="128"/>
      <c r="DEP28" s="128"/>
      <c r="DEQ28" s="128"/>
      <c r="DER28" s="128"/>
      <c r="DES28" s="128"/>
      <c r="DET28" s="128"/>
      <c r="DEU28" s="128"/>
      <c r="DEV28" s="128"/>
      <c r="DEW28" s="128"/>
      <c r="DEX28" s="128"/>
      <c r="DEY28" s="128"/>
      <c r="DEZ28" s="128"/>
      <c r="DFA28" s="128"/>
      <c r="DFB28" s="128"/>
      <c r="DFC28" s="128"/>
      <c r="DFD28" s="128"/>
      <c r="DFE28" s="128"/>
      <c r="DFF28" s="128"/>
      <c r="DFG28" s="128"/>
      <c r="DFH28" s="128"/>
      <c r="DFI28" s="128"/>
      <c r="DFJ28" s="128"/>
      <c r="DFK28" s="128"/>
      <c r="DFL28" s="128"/>
      <c r="DFM28" s="128"/>
      <c r="DFN28" s="128"/>
      <c r="DFO28" s="128"/>
      <c r="DFP28" s="128"/>
      <c r="DFQ28" s="128"/>
      <c r="DFR28" s="128"/>
      <c r="DFS28" s="128"/>
      <c r="DFT28" s="128"/>
      <c r="DFU28" s="128"/>
      <c r="DFV28" s="128"/>
      <c r="DFW28" s="128"/>
      <c r="DFX28" s="128"/>
      <c r="DFY28" s="128"/>
      <c r="DFZ28" s="128"/>
      <c r="DGA28" s="128"/>
      <c r="DGB28" s="128"/>
      <c r="DGC28" s="128"/>
      <c r="DGD28" s="128"/>
      <c r="DGE28" s="128"/>
      <c r="DGF28" s="128"/>
      <c r="DGG28" s="128"/>
      <c r="DGH28" s="128"/>
      <c r="DGI28" s="128"/>
      <c r="DGJ28" s="128"/>
      <c r="DGK28" s="128"/>
      <c r="DGL28" s="128"/>
      <c r="DGM28" s="128"/>
      <c r="DGN28" s="128"/>
      <c r="DGO28" s="128"/>
      <c r="DGP28" s="128"/>
      <c r="DGQ28" s="128"/>
      <c r="DGR28" s="128"/>
      <c r="DGS28" s="128"/>
      <c r="DGT28" s="128"/>
      <c r="DGU28" s="128"/>
      <c r="DGV28" s="128"/>
      <c r="DGW28" s="128"/>
      <c r="DGX28" s="128"/>
      <c r="DGY28" s="128"/>
      <c r="DGZ28" s="128"/>
      <c r="DHA28" s="128"/>
      <c r="DHB28" s="128"/>
      <c r="DHC28" s="128"/>
      <c r="DHD28" s="128"/>
      <c r="DHE28" s="128"/>
      <c r="DHF28" s="128"/>
      <c r="DHG28" s="128"/>
      <c r="DHH28" s="128"/>
      <c r="DHI28" s="128"/>
      <c r="DHJ28" s="128"/>
      <c r="DHK28" s="128"/>
      <c r="DHL28" s="128"/>
      <c r="DHM28" s="128"/>
      <c r="DHN28" s="128"/>
      <c r="DHO28" s="128"/>
      <c r="DHP28" s="128"/>
      <c r="DHQ28" s="128"/>
      <c r="DHR28" s="128"/>
      <c r="DHS28" s="128"/>
      <c r="DHT28" s="128"/>
      <c r="DHU28" s="128"/>
      <c r="DHV28" s="128"/>
      <c r="DHW28" s="128"/>
      <c r="DHX28" s="128"/>
      <c r="DHY28" s="128"/>
      <c r="DHZ28" s="128"/>
      <c r="DIA28" s="128"/>
      <c r="DIB28" s="128"/>
      <c r="DIC28" s="128"/>
    </row>
    <row r="29" spans="1:2941" s="154" customFormat="1" ht="12" x14ac:dyDescent="0.2">
      <c r="A29" s="156" t="s">
        <v>198</v>
      </c>
      <c r="B29" s="156"/>
      <c r="C29" s="157" t="s">
        <v>199</v>
      </c>
      <c r="D29" s="157" t="s">
        <v>200</v>
      </c>
      <c r="E29" s="157" t="s">
        <v>201</v>
      </c>
      <c r="F29" s="157" t="s">
        <v>11</v>
      </c>
      <c r="G29" s="157" t="s">
        <v>136</v>
      </c>
      <c r="H29" s="234">
        <v>48500</v>
      </c>
      <c r="I29" s="147">
        <v>8250</v>
      </c>
      <c r="J29" s="147" t="s">
        <v>202</v>
      </c>
      <c r="K29" s="147" t="s">
        <v>147</v>
      </c>
      <c r="L29" s="147" t="s">
        <v>147</v>
      </c>
      <c r="M29" s="147" t="s">
        <v>147</v>
      </c>
      <c r="N29" s="147" t="s">
        <v>147</v>
      </c>
      <c r="O29" s="192" t="s">
        <v>139</v>
      </c>
      <c r="P29" s="190" t="s">
        <v>140</v>
      </c>
      <c r="Q29" s="190" t="s">
        <v>11</v>
      </c>
      <c r="R29" s="190" t="s">
        <v>140</v>
      </c>
      <c r="S29" s="190" t="s">
        <v>140</v>
      </c>
      <c r="T29" s="190" t="s">
        <v>11</v>
      </c>
      <c r="U29" s="190" t="s">
        <v>11</v>
      </c>
      <c r="V29" s="190" t="s">
        <v>11</v>
      </c>
      <c r="W29" s="190" t="s">
        <v>11</v>
      </c>
      <c r="X29" s="190" t="s">
        <v>11</v>
      </c>
      <c r="Y29" s="190" t="s">
        <v>11</v>
      </c>
      <c r="Z29" s="190" t="s">
        <v>140</v>
      </c>
      <c r="AA29" s="190" t="s">
        <v>11</v>
      </c>
      <c r="AB29" s="190" t="s">
        <v>140</v>
      </c>
      <c r="AC29" s="190" t="s">
        <v>11</v>
      </c>
      <c r="AD29" s="190" t="s">
        <v>11</v>
      </c>
      <c r="AE29" s="190" t="s">
        <v>140</v>
      </c>
      <c r="AF29" s="190" t="s">
        <v>148</v>
      </c>
      <c r="AG29" s="190" t="s">
        <v>140</v>
      </c>
      <c r="AH29" s="278">
        <v>5</v>
      </c>
      <c r="AI29" s="278" t="s">
        <v>147</v>
      </c>
      <c r="AJ29" s="196"/>
      <c r="AK29" s="207" t="s">
        <v>11</v>
      </c>
      <c r="AL29" s="207" t="s">
        <v>11</v>
      </c>
      <c r="AM29" s="206"/>
      <c r="AN29" s="207" t="s">
        <v>11</v>
      </c>
      <c r="AO29" s="207" t="s">
        <v>140</v>
      </c>
      <c r="AP29" s="207" t="s">
        <v>11</v>
      </c>
      <c r="AQ29" s="207" t="s">
        <v>11</v>
      </c>
      <c r="AR29" s="207" t="s">
        <v>140</v>
      </c>
      <c r="AS29" s="207" t="s">
        <v>11</v>
      </c>
      <c r="AT29" s="190" t="s">
        <v>11</v>
      </c>
      <c r="AU29" s="190" t="s">
        <v>11</v>
      </c>
      <c r="AV29" s="190" t="s">
        <v>140</v>
      </c>
      <c r="AW29" s="190" t="s">
        <v>148</v>
      </c>
      <c r="AX29" s="190"/>
      <c r="AY29" s="190"/>
      <c r="AZ29" s="190"/>
      <c r="BA29" s="190"/>
      <c r="BB29" s="190" t="s">
        <v>140</v>
      </c>
      <c r="BC29" s="192"/>
      <c r="BD29" s="207"/>
      <c r="BE29" s="207"/>
      <c r="BF29" s="207"/>
      <c r="BG29" s="249"/>
      <c r="BH29" s="190" t="s">
        <v>11</v>
      </c>
      <c r="BI29" s="190" t="s">
        <v>11</v>
      </c>
      <c r="BJ29" s="190" t="s">
        <v>11</v>
      </c>
      <c r="BK29" s="190" t="s">
        <v>11</v>
      </c>
      <c r="BL29" s="190" t="s">
        <v>11</v>
      </c>
      <c r="BM29" s="190" t="s">
        <v>11</v>
      </c>
      <c r="BN29" s="190" t="s">
        <v>11</v>
      </c>
      <c r="BO29" s="190" t="s">
        <v>11</v>
      </c>
      <c r="BP29" s="190" t="s">
        <v>11</v>
      </c>
      <c r="BQ29" s="243"/>
      <c r="BR29" s="190" t="s">
        <v>141</v>
      </c>
      <c r="BS29" s="190" t="s">
        <v>141</v>
      </c>
      <c r="BT29" s="190" t="s">
        <v>141</v>
      </c>
      <c r="BU29" s="190" t="s">
        <v>141</v>
      </c>
      <c r="BV29" s="190" t="s">
        <v>141</v>
      </c>
      <c r="BW29" s="190" t="s">
        <v>141</v>
      </c>
      <c r="BX29" s="190" t="s">
        <v>11</v>
      </c>
      <c r="BY29" s="190" t="s">
        <v>141</v>
      </c>
      <c r="BZ29" s="190" t="s">
        <v>141</v>
      </c>
      <c r="CA29" s="190" t="s">
        <v>141</v>
      </c>
      <c r="CB29" s="190" t="s">
        <v>141</v>
      </c>
      <c r="CC29" s="243"/>
      <c r="CD29" s="190" t="s">
        <v>141</v>
      </c>
      <c r="CE29" s="190" t="s">
        <v>141</v>
      </c>
      <c r="CF29" s="190" t="s">
        <v>141</v>
      </c>
      <c r="CG29" s="190" t="s">
        <v>141</v>
      </c>
      <c r="CH29" s="190" t="s">
        <v>141</v>
      </c>
      <c r="CI29" s="190" t="s">
        <v>141</v>
      </c>
      <c r="CJ29" s="190" t="s">
        <v>11</v>
      </c>
      <c r="CK29" s="190" t="s">
        <v>141</v>
      </c>
      <c r="CL29" s="190" t="s">
        <v>11</v>
      </c>
      <c r="CM29" s="190" t="s">
        <v>11</v>
      </c>
      <c r="CN29" s="190" t="s">
        <v>142</v>
      </c>
      <c r="CO29" s="222"/>
      <c r="CP29" s="197" t="s">
        <v>11</v>
      </c>
      <c r="CQ29" s="197" t="s">
        <v>11</v>
      </c>
      <c r="CR29" s="197" t="s">
        <v>11</v>
      </c>
      <c r="CS29" s="197" t="s">
        <v>11</v>
      </c>
      <c r="CT29" s="197" t="s">
        <v>11</v>
      </c>
      <c r="CU29" s="197" t="s">
        <v>11</v>
      </c>
      <c r="CV29" s="197" t="s">
        <v>11</v>
      </c>
      <c r="CW29" s="206"/>
      <c r="CX29" s="197" t="s">
        <v>140</v>
      </c>
      <c r="CY29" s="197" t="s">
        <v>140</v>
      </c>
      <c r="CZ29" s="197" t="s">
        <v>148</v>
      </c>
      <c r="DA29" s="197" t="s">
        <v>140</v>
      </c>
      <c r="DB29" s="197">
        <v>72500</v>
      </c>
      <c r="DC29" s="197" t="s">
        <v>140</v>
      </c>
      <c r="DD29" s="197" t="s">
        <v>148</v>
      </c>
      <c r="DE29" s="249"/>
      <c r="DF29" s="190" t="s">
        <v>11</v>
      </c>
      <c r="DG29" s="241"/>
      <c r="DH29" s="241"/>
      <c r="DI29" s="242"/>
      <c r="DJ29" s="242"/>
      <c r="DK29" s="128"/>
      <c r="DL29" s="128"/>
      <c r="DM29" s="128"/>
      <c r="DN29" s="128"/>
      <c r="DO29" s="128"/>
      <c r="DP29" s="128"/>
      <c r="DQ29" s="128"/>
      <c r="DR29" s="128"/>
      <c r="DS29" s="128"/>
      <c r="DT29" s="128"/>
      <c r="DU29" s="128"/>
      <c r="DV29" s="128"/>
      <c r="DW29" s="128"/>
      <c r="DX29" s="128"/>
      <c r="DY29" s="128"/>
      <c r="DZ29" s="128"/>
      <c r="EA29" s="128"/>
      <c r="EB29" s="128"/>
      <c r="EC29" s="128"/>
      <c r="ED29" s="128"/>
      <c r="EE29" s="128"/>
      <c r="EF29" s="128"/>
      <c r="EG29" s="128"/>
      <c r="EH29" s="128"/>
      <c r="EI29" s="128"/>
      <c r="EJ29" s="128"/>
      <c r="EK29" s="128"/>
      <c r="EL29" s="128"/>
      <c r="EM29" s="128"/>
      <c r="EN29" s="128"/>
      <c r="EO29" s="128"/>
      <c r="EP29" s="128"/>
      <c r="EQ29" s="128"/>
      <c r="ER29" s="128"/>
      <c r="ES29" s="128"/>
      <c r="ET29" s="128"/>
      <c r="EU29" s="128"/>
      <c r="EV29" s="128"/>
      <c r="EW29" s="128"/>
      <c r="EX29" s="128"/>
      <c r="EY29" s="128"/>
      <c r="EZ29" s="128"/>
      <c r="FA29" s="128"/>
      <c r="FB29" s="128"/>
      <c r="FC29" s="128"/>
      <c r="FD29" s="128"/>
      <c r="FE29" s="128"/>
      <c r="FF29" s="128"/>
      <c r="FG29" s="128"/>
      <c r="FH29" s="128"/>
      <c r="FI29" s="128"/>
      <c r="FJ29" s="128"/>
      <c r="FK29" s="128"/>
      <c r="FL29" s="128"/>
      <c r="FM29" s="128"/>
      <c r="FN29" s="128"/>
      <c r="FO29" s="128"/>
      <c r="FP29" s="128"/>
      <c r="FQ29" s="128"/>
      <c r="FR29" s="128"/>
      <c r="FS29" s="128"/>
      <c r="FT29" s="128"/>
      <c r="FU29" s="128"/>
      <c r="FV29" s="128"/>
      <c r="FW29" s="128"/>
      <c r="FX29" s="128"/>
      <c r="FY29" s="128"/>
      <c r="FZ29" s="128"/>
      <c r="GA29" s="128"/>
      <c r="GB29" s="128"/>
      <c r="GC29" s="128"/>
      <c r="GD29" s="128"/>
      <c r="GE29" s="128"/>
      <c r="GF29" s="128"/>
      <c r="GG29" s="128"/>
      <c r="GH29" s="128"/>
      <c r="GI29" s="128"/>
      <c r="GJ29" s="128"/>
      <c r="GK29" s="128"/>
      <c r="GL29" s="128"/>
      <c r="GM29" s="128"/>
      <c r="GN29" s="128"/>
      <c r="GO29" s="128"/>
      <c r="GP29" s="128"/>
      <c r="GQ29" s="128"/>
      <c r="GR29" s="128"/>
      <c r="GS29" s="128"/>
      <c r="GT29" s="128"/>
      <c r="GU29" s="128"/>
      <c r="GV29" s="128"/>
      <c r="GW29" s="128"/>
      <c r="GX29" s="128"/>
      <c r="GY29" s="128"/>
      <c r="GZ29" s="128"/>
      <c r="HA29" s="128"/>
      <c r="HB29" s="128"/>
      <c r="HC29" s="128"/>
      <c r="HD29" s="128"/>
      <c r="HE29" s="128"/>
      <c r="HF29" s="128"/>
      <c r="HG29" s="128"/>
      <c r="HH29" s="128"/>
      <c r="HI29" s="128"/>
      <c r="HJ29" s="128"/>
      <c r="HK29" s="128"/>
      <c r="HL29" s="128"/>
      <c r="HM29" s="128"/>
      <c r="HN29" s="128"/>
      <c r="HO29" s="128"/>
      <c r="HP29" s="128"/>
      <c r="HQ29" s="128"/>
      <c r="HR29" s="128"/>
      <c r="HS29" s="128"/>
      <c r="HT29" s="128"/>
      <c r="HU29" s="128"/>
      <c r="HV29" s="128"/>
      <c r="HW29" s="128"/>
      <c r="HX29" s="128"/>
      <c r="HY29" s="128"/>
      <c r="HZ29" s="128"/>
      <c r="IA29" s="128"/>
      <c r="IB29" s="128"/>
      <c r="IC29" s="128"/>
      <c r="ID29" s="128"/>
      <c r="IE29" s="128"/>
      <c r="IF29" s="128"/>
      <c r="IG29" s="128"/>
      <c r="IH29" s="128"/>
      <c r="II29" s="128"/>
      <c r="IJ29" s="128"/>
      <c r="IK29" s="128"/>
      <c r="IL29" s="128"/>
      <c r="IM29" s="128"/>
      <c r="IN29" s="128"/>
      <c r="IO29" s="128"/>
      <c r="IP29" s="128"/>
      <c r="IQ29" s="128"/>
      <c r="IR29" s="128"/>
      <c r="IS29" s="128"/>
      <c r="IT29" s="128"/>
      <c r="IU29" s="128"/>
      <c r="IV29" s="128"/>
      <c r="IW29" s="128"/>
      <c r="IX29" s="128"/>
      <c r="IY29" s="128"/>
      <c r="IZ29" s="128"/>
      <c r="JA29" s="128"/>
      <c r="JB29" s="128"/>
      <c r="JC29" s="128"/>
      <c r="JD29" s="128"/>
      <c r="JE29" s="128"/>
      <c r="JF29" s="128"/>
      <c r="JG29" s="128"/>
      <c r="JH29" s="128"/>
      <c r="JI29" s="128"/>
      <c r="JJ29" s="128"/>
      <c r="JK29" s="128"/>
      <c r="JL29" s="128"/>
      <c r="JM29" s="128"/>
      <c r="JN29" s="128"/>
      <c r="JO29" s="128"/>
      <c r="JP29" s="128"/>
      <c r="JQ29" s="128"/>
      <c r="JR29" s="128"/>
      <c r="JS29" s="128"/>
      <c r="JT29" s="128"/>
      <c r="JU29" s="128"/>
      <c r="JV29" s="128"/>
      <c r="JW29" s="128"/>
      <c r="JX29" s="128"/>
      <c r="JY29" s="128"/>
      <c r="JZ29" s="128"/>
      <c r="KA29" s="128"/>
      <c r="KB29" s="128"/>
      <c r="KC29" s="128"/>
      <c r="KD29" s="128"/>
      <c r="KE29" s="128"/>
      <c r="KF29" s="128"/>
      <c r="KG29" s="128"/>
      <c r="KH29" s="128"/>
      <c r="KI29" s="128"/>
      <c r="KJ29" s="128"/>
      <c r="KK29" s="128"/>
      <c r="KL29" s="128"/>
      <c r="KM29" s="128"/>
      <c r="KN29" s="128"/>
      <c r="KO29" s="128"/>
      <c r="KP29" s="128"/>
      <c r="KQ29" s="128"/>
      <c r="KR29" s="128"/>
      <c r="KS29" s="128"/>
      <c r="KT29" s="128"/>
      <c r="KU29" s="128"/>
      <c r="KV29" s="128"/>
      <c r="KW29" s="128"/>
      <c r="KX29" s="128"/>
      <c r="KY29" s="128"/>
      <c r="KZ29" s="128"/>
      <c r="LA29" s="128"/>
      <c r="LB29" s="128"/>
      <c r="LC29" s="128"/>
      <c r="LD29" s="128"/>
      <c r="LE29" s="128"/>
      <c r="LF29" s="128"/>
      <c r="LG29" s="128"/>
      <c r="LH29" s="128"/>
      <c r="LI29" s="128"/>
      <c r="LJ29" s="128"/>
      <c r="LK29" s="128"/>
      <c r="LL29" s="128"/>
      <c r="LM29" s="128"/>
      <c r="LN29" s="128"/>
      <c r="LO29" s="128"/>
      <c r="LP29" s="128"/>
      <c r="LQ29" s="128"/>
      <c r="LR29" s="128"/>
      <c r="LS29" s="128"/>
      <c r="LT29" s="128"/>
      <c r="LU29" s="128"/>
      <c r="LV29" s="128"/>
      <c r="LW29" s="128"/>
      <c r="LX29" s="128"/>
      <c r="LY29" s="128"/>
      <c r="LZ29" s="128"/>
      <c r="MA29" s="128"/>
      <c r="MB29" s="128"/>
      <c r="MC29" s="128"/>
      <c r="MD29" s="128"/>
      <c r="ME29" s="128"/>
      <c r="MF29" s="128"/>
      <c r="MG29" s="128"/>
      <c r="MH29" s="128"/>
      <c r="MI29" s="128"/>
      <c r="MJ29" s="128"/>
      <c r="MK29" s="128"/>
      <c r="ML29" s="128"/>
      <c r="MM29" s="128"/>
      <c r="MN29" s="128"/>
      <c r="MO29" s="128"/>
      <c r="MP29" s="128"/>
      <c r="MQ29" s="128"/>
      <c r="MR29" s="128"/>
      <c r="MS29" s="128"/>
      <c r="MT29" s="128"/>
      <c r="MU29" s="128"/>
      <c r="MV29" s="128"/>
      <c r="MW29" s="128"/>
      <c r="MX29" s="128"/>
      <c r="MY29" s="128"/>
      <c r="MZ29" s="128"/>
      <c r="NA29" s="128"/>
      <c r="NB29" s="128"/>
      <c r="NC29" s="128"/>
      <c r="ND29" s="128"/>
      <c r="NE29" s="128"/>
      <c r="NF29" s="128"/>
      <c r="NG29" s="128"/>
      <c r="NH29" s="128"/>
      <c r="NI29" s="128"/>
      <c r="NJ29" s="128"/>
      <c r="NK29" s="128"/>
      <c r="NL29" s="128"/>
      <c r="NM29" s="128"/>
      <c r="NN29" s="128"/>
      <c r="NO29" s="128"/>
      <c r="NP29" s="128"/>
      <c r="NQ29" s="128"/>
      <c r="NR29" s="128"/>
      <c r="NS29" s="128"/>
      <c r="NT29" s="128"/>
      <c r="NU29" s="128"/>
      <c r="NV29" s="128"/>
      <c r="NW29" s="128"/>
      <c r="NX29" s="128"/>
      <c r="NY29" s="128"/>
      <c r="NZ29" s="128"/>
      <c r="OA29" s="128"/>
      <c r="OB29" s="128"/>
      <c r="OC29" s="128"/>
      <c r="OD29" s="128"/>
      <c r="OE29" s="128"/>
      <c r="OF29" s="128"/>
      <c r="OG29" s="128"/>
      <c r="OH29" s="128"/>
      <c r="OI29" s="128"/>
      <c r="OJ29" s="128"/>
      <c r="OK29" s="128"/>
      <c r="OL29" s="128"/>
      <c r="OM29" s="128"/>
      <c r="ON29" s="128"/>
      <c r="OO29" s="128"/>
      <c r="OP29" s="128"/>
      <c r="OQ29" s="128"/>
      <c r="OR29" s="128"/>
      <c r="OS29" s="128"/>
      <c r="OT29" s="128"/>
      <c r="OU29" s="128"/>
      <c r="OV29" s="128"/>
      <c r="OW29" s="128"/>
      <c r="OX29" s="128"/>
      <c r="OY29" s="128"/>
      <c r="OZ29" s="128"/>
      <c r="PA29" s="128"/>
      <c r="PB29" s="128"/>
      <c r="PC29" s="128"/>
      <c r="PD29" s="128"/>
      <c r="PE29" s="128"/>
      <c r="PF29" s="128"/>
      <c r="PG29" s="128"/>
      <c r="PH29" s="128"/>
      <c r="PI29" s="128"/>
      <c r="PJ29" s="128"/>
      <c r="PK29" s="128"/>
      <c r="PL29" s="128"/>
      <c r="PM29" s="128"/>
      <c r="PN29" s="128"/>
      <c r="PO29" s="128"/>
      <c r="PP29" s="128"/>
      <c r="PQ29" s="128"/>
      <c r="PR29" s="128"/>
      <c r="PS29" s="128"/>
      <c r="PT29" s="128"/>
      <c r="PU29" s="128"/>
      <c r="PV29" s="128"/>
      <c r="PW29" s="128"/>
      <c r="PX29" s="128"/>
      <c r="PY29" s="128"/>
      <c r="PZ29" s="128"/>
      <c r="QA29" s="128"/>
      <c r="QB29" s="128"/>
      <c r="QC29" s="128"/>
      <c r="QD29" s="128"/>
      <c r="QE29" s="128"/>
      <c r="QF29" s="128"/>
      <c r="QG29" s="128"/>
      <c r="QH29" s="128"/>
      <c r="QI29" s="128"/>
      <c r="QJ29" s="128"/>
      <c r="QK29" s="128"/>
      <c r="QL29" s="128"/>
      <c r="QM29" s="128"/>
      <c r="QN29" s="128"/>
      <c r="QO29" s="128"/>
      <c r="QP29" s="128"/>
      <c r="QQ29" s="128"/>
      <c r="QR29" s="128"/>
      <c r="QS29" s="128"/>
      <c r="QT29" s="128"/>
      <c r="QU29" s="128"/>
      <c r="QV29" s="128"/>
      <c r="QW29" s="128"/>
      <c r="QX29" s="128"/>
      <c r="QY29" s="128"/>
      <c r="QZ29" s="128"/>
      <c r="RA29" s="128"/>
      <c r="RB29" s="128"/>
      <c r="RC29" s="128"/>
      <c r="RD29" s="128"/>
      <c r="RE29" s="128"/>
      <c r="RF29" s="128"/>
      <c r="RG29" s="128"/>
      <c r="RH29" s="128"/>
      <c r="RI29" s="128"/>
      <c r="RJ29" s="128"/>
      <c r="RK29" s="128"/>
      <c r="RL29" s="128"/>
      <c r="RM29" s="128"/>
      <c r="RN29" s="128"/>
      <c r="RO29" s="128"/>
      <c r="RP29" s="128"/>
      <c r="RQ29" s="128"/>
      <c r="RR29" s="128"/>
      <c r="RS29" s="128"/>
      <c r="RT29" s="128"/>
      <c r="RU29" s="128"/>
      <c r="RV29" s="128"/>
      <c r="RW29" s="128"/>
      <c r="RX29" s="128"/>
      <c r="RY29" s="128"/>
      <c r="RZ29" s="128"/>
      <c r="SA29" s="128"/>
      <c r="SB29" s="128"/>
      <c r="SC29" s="128"/>
      <c r="SD29" s="128"/>
      <c r="SE29" s="128"/>
      <c r="SF29" s="128"/>
      <c r="SG29" s="128"/>
      <c r="SH29" s="128"/>
      <c r="SI29" s="128"/>
      <c r="SJ29" s="128"/>
      <c r="SK29" s="128"/>
      <c r="SL29" s="128"/>
      <c r="SM29" s="128"/>
      <c r="SN29" s="128"/>
      <c r="SO29" s="128"/>
      <c r="SP29" s="128"/>
      <c r="SQ29" s="128"/>
      <c r="SR29" s="128"/>
      <c r="SS29" s="128"/>
      <c r="ST29" s="128"/>
      <c r="SU29" s="128"/>
      <c r="SV29" s="128"/>
      <c r="SW29" s="128"/>
      <c r="SX29" s="128"/>
      <c r="SY29" s="128"/>
      <c r="SZ29" s="128"/>
      <c r="TA29" s="128"/>
      <c r="TB29" s="128"/>
      <c r="TC29" s="128"/>
      <c r="TD29" s="128"/>
      <c r="TE29" s="128"/>
      <c r="TF29" s="128"/>
      <c r="TG29" s="128"/>
      <c r="TH29" s="128"/>
      <c r="TI29" s="128"/>
      <c r="TJ29" s="128"/>
      <c r="TK29" s="128"/>
      <c r="TL29" s="128"/>
      <c r="TM29" s="128"/>
      <c r="TN29" s="128"/>
      <c r="TO29" s="128"/>
      <c r="TP29" s="128"/>
      <c r="TQ29" s="128"/>
      <c r="TR29" s="128"/>
      <c r="TS29" s="128"/>
      <c r="TT29" s="128"/>
      <c r="TU29" s="128"/>
      <c r="TV29" s="128"/>
      <c r="TW29" s="128"/>
      <c r="TX29" s="128"/>
      <c r="TY29" s="128"/>
      <c r="TZ29" s="128"/>
      <c r="UA29" s="128"/>
      <c r="UB29" s="128"/>
      <c r="UC29" s="128"/>
      <c r="UD29" s="128"/>
      <c r="UE29" s="128"/>
      <c r="UF29" s="128"/>
      <c r="UG29" s="128"/>
      <c r="UH29" s="128"/>
      <c r="UI29" s="128"/>
      <c r="UJ29" s="128"/>
      <c r="UK29" s="128"/>
      <c r="UL29" s="128"/>
      <c r="UM29" s="128"/>
      <c r="UN29" s="128"/>
      <c r="UO29" s="128"/>
      <c r="UP29" s="128"/>
      <c r="UQ29" s="128"/>
      <c r="UR29" s="128"/>
      <c r="US29" s="128"/>
      <c r="UT29" s="128"/>
      <c r="UU29" s="128"/>
      <c r="UV29" s="128"/>
      <c r="UW29" s="128"/>
      <c r="UX29" s="128"/>
      <c r="UY29" s="128"/>
      <c r="UZ29" s="128"/>
      <c r="VA29" s="128"/>
      <c r="VB29" s="128"/>
      <c r="VC29" s="128"/>
      <c r="VD29" s="128"/>
      <c r="VE29" s="128"/>
      <c r="VF29" s="128"/>
      <c r="VG29" s="128"/>
      <c r="VH29" s="128"/>
      <c r="VI29" s="128"/>
      <c r="VJ29" s="128"/>
      <c r="VK29" s="128"/>
      <c r="VL29" s="128"/>
      <c r="VM29" s="128"/>
      <c r="VN29" s="128"/>
      <c r="VO29" s="128"/>
      <c r="VP29" s="128"/>
      <c r="VQ29" s="128"/>
      <c r="VR29" s="128"/>
      <c r="VS29" s="128"/>
      <c r="VT29" s="128"/>
      <c r="VU29" s="128"/>
      <c r="VV29" s="128"/>
      <c r="VW29" s="128"/>
      <c r="VX29" s="128"/>
      <c r="VY29" s="128"/>
      <c r="VZ29" s="128"/>
      <c r="WA29" s="128"/>
      <c r="WB29" s="128"/>
      <c r="WC29" s="128"/>
      <c r="WD29" s="128"/>
      <c r="WE29" s="128"/>
      <c r="WF29" s="128"/>
      <c r="WG29" s="128"/>
      <c r="WH29" s="128"/>
      <c r="WI29" s="128"/>
      <c r="WJ29" s="128"/>
      <c r="WK29" s="128"/>
      <c r="WL29" s="128"/>
      <c r="WM29" s="128"/>
      <c r="WN29" s="128"/>
      <c r="WO29" s="128"/>
      <c r="WP29" s="128"/>
      <c r="WQ29" s="128"/>
      <c r="WR29" s="128"/>
      <c r="WS29" s="128"/>
      <c r="WT29" s="128"/>
      <c r="WU29" s="128"/>
      <c r="WV29" s="128"/>
      <c r="WW29" s="128"/>
      <c r="WX29" s="128"/>
      <c r="WY29" s="128"/>
      <c r="WZ29" s="128"/>
      <c r="XA29" s="128"/>
      <c r="XB29" s="128"/>
      <c r="XC29" s="128"/>
      <c r="XD29" s="128"/>
      <c r="XE29" s="128"/>
      <c r="XF29" s="128"/>
      <c r="XG29" s="128"/>
      <c r="XH29" s="128"/>
      <c r="XI29" s="128"/>
      <c r="XJ29" s="128"/>
      <c r="XK29" s="128"/>
      <c r="XL29" s="128"/>
      <c r="XM29" s="128"/>
      <c r="XN29" s="128"/>
      <c r="XO29" s="128"/>
      <c r="XP29" s="128"/>
      <c r="XQ29" s="128"/>
      <c r="XR29" s="128"/>
      <c r="XS29" s="128"/>
      <c r="XT29" s="128"/>
      <c r="XU29" s="128"/>
      <c r="XV29" s="128"/>
      <c r="XW29" s="128"/>
      <c r="XX29" s="128"/>
      <c r="XY29" s="128"/>
      <c r="XZ29" s="128"/>
      <c r="YA29" s="128"/>
      <c r="YB29" s="128"/>
      <c r="YC29" s="128"/>
      <c r="YD29" s="128"/>
      <c r="YE29" s="128"/>
      <c r="YF29" s="128"/>
      <c r="YG29" s="128"/>
      <c r="YH29" s="128"/>
      <c r="YI29" s="128"/>
      <c r="YJ29" s="128"/>
      <c r="YK29" s="128"/>
      <c r="YL29" s="128"/>
      <c r="YM29" s="128"/>
      <c r="YN29" s="128"/>
      <c r="YO29" s="128"/>
      <c r="YP29" s="128"/>
      <c r="YQ29" s="128"/>
      <c r="YR29" s="128"/>
      <c r="YS29" s="128"/>
      <c r="YT29" s="128"/>
      <c r="YU29" s="128"/>
      <c r="YV29" s="128"/>
      <c r="YW29" s="128"/>
      <c r="YX29" s="128"/>
      <c r="YY29" s="128"/>
      <c r="YZ29" s="128"/>
      <c r="ZA29" s="128"/>
      <c r="ZB29" s="128"/>
      <c r="ZC29" s="128"/>
      <c r="ZD29" s="128"/>
      <c r="ZE29" s="128"/>
      <c r="ZF29" s="128"/>
      <c r="ZG29" s="128"/>
      <c r="ZH29" s="128"/>
      <c r="ZI29" s="128"/>
      <c r="ZJ29" s="128"/>
      <c r="ZK29" s="128"/>
      <c r="ZL29" s="128"/>
      <c r="ZM29" s="128"/>
      <c r="ZN29" s="128"/>
      <c r="ZO29" s="128"/>
      <c r="ZP29" s="128"/>
      <c r="ZQ29" s="128"/>
      <c r="ZR29" s="128"/>
      <c r="ZS29" s="128"/>
      <c r="ZT29" s="128"/>
      <c r="ZU29" s="128"/>
      <c r="ZV29" s="128"/>
      <c r="ZW29" s="128"/>
      <c r="ZX29" s="128"/>
      <c r="ZY29" s="128"/>
      <c r="ZZ29" s="128"/>
      <c r="AAA29" s="128"/>
      <c r="AAB29" s="128"/>
      <c r="AAC29" s="128"/>
      <c r="AAD29" s="128"/>
      <c r="AAE29" s="128"/>
      <c r="AAF29" s="128"/>
      <c r="AAG29" s="128"/>
      <c r="AAH29" s="128"/>
      <c r="AAI29" s="128"/>
      <c r="AAJ29" s="128"/>
      <c r="AAK29" s="128"/>
      <c r="AAL29" s="128"/>
      <c r="AAM29" s="128"/>
      <c r="AAN29" s="128"/>
      <c r="AAO29" s="128"/>
      <c r="AAP29" s="128"/>
      <c r="AAQ29" s="128"/>
      <c r="AAR29" s="128"/>
      <c r="AAS29" s="128"/>
      <c r="AAT29" s="128"/>
      <c r="AAU29" s="128"/>
      <c r="AAV29" s="128"/>
      <c r="AAW29" s="128"/>
      <c r="AAX29" s="128"/>
      <c r="AAY29" s="128"/>
      <c r="AAZ29" s="128"/>
      <c r="ABA29" s="128"/>
      <c r="ABB29" s="128"/>
      <c r="ABC29" s="128"/>
      <c r="ABD29" s="128"/>
      <c r="ABE29" s="128"/>
      <c r="ABF29" s="128"/>
      <c r="ABG29" s="128"/>
      <c r="ABH29" s="128"/>
      <c r="ABI29" s="128"/>
      <c r="ABJ29" s="128"/>
      <c r="ABK29" s="128"/>
      <c r="ABL29" s="128"/>
      <c r="ABM29" s="128"/>
      <c r="ABN29" s="128"/>
      <c r="ABO29" s="128"/>
      <c r="ABP29" s="128"/>
      <c r="ABQ29" s="128"/>
      <c r="ABR29" s="128"/>
      <c r="ABS29" s="128"/>
      <c r="ABT29" s="128"/>
      <c r="ABU29" s="128"/>
      <c r="ABV29" s="128"/>
      <c r="ABW29" s="128"/>
      <c r="ABX29" s="128"/>
      <c r="ABY29" s="128"/>
      <c r="ABZ29" s="128"/>
      <c r="ACA29" s="128"/>
      <c r="ACB29" s="128"/>
      <c r="ACC29" s="128"/>
      <c r="ACD29" s="128"/>
      <c r="ACE29" s="128"/>
      <c r="ACF29" s="128"/>
      <c r="ACG29" s="128"/>
      <c r="ACH29" s="128"/>
      <c r="ACI29" s="128"/>
      <c r="ACJ29" s="128"/>
      <c r="ACK29" s="128"/>
      <c r="ACL29" s="128"/>
      <c r="ACM29" s="128"/>
      <c r="ACN29" s="128"/>
      <c r="ACO29" s="128"/>
      <c r="ACP29" s="128"/>
      <c r="ACQ29" s="128"/>
      <c r="ACR29" s="128"/>
      <c r="ACS29" s="128"/>
      <c r="ACT29" s="128"/>
      <c r="ACU29" s="128"/>
      <c r="ACV29" s="128"/>
      <c r="ACW29" s="128"/>
      <c r="ACX29" s="128"/>
      <c r="ACY29" s="128"/>
      <c r="ACZ29" s="128"/>
      <c r="ADA29" s="128"/>
      <c r="ADB29" s="128"/>
      <c r="ADC29" s="128"/>
      <c r="ADD29" s="128"/>
      <c r="ADE29" s="128"/>
      <c r="ADF29" s="128"/>
      <c r="ADG29" s="128"/>
      <c r="ADH29" s="128"/>
      <c r="ADI29" s="128"/>
      <c r="ADJ29" s="128"/>
      <c r="ADK29" s="128"/>
      <c r="ADL29" s="128"/>
      <c r="ADM29" s="128"/>
      <c r="ADN29" s="128"/>
      <c r="ADO29" s="128"/>
      <c r="ADP29" s="128"/>
      <c r="ADQ29" s="128"/>
      <c r="ADR29" s="128"/>
      <c r="ADS29" s="128"/>
      <c r="ADT29" s="128"/>
      <c r="ADU29" s="128"/>
      <c r="ADV29" s="128"/>
      <c r="ADW29" s="128"/>
      <c r="ADX29" s="128"/>
      <c r="ADY29" s="128"/>
      <c r="ADZ29" s="128"/>
      <c r="AEA29" s="128"/>
      <c r="AEB29" s="128"/>
      <c r="AEC29" s="128"/>
      <c r="AED29" s="128"/>
      <c r="AEE29" s="128"/>
      <c r="AEF29" s="128"/>
      <c r="AEG29" s="128"/>
      <c r="AEH29" s="128"/>
      <c r="AEI29" s="128"/>
      <c r="AEJ29" s="128"/>
      <c r="AEK29" s="128"/>
      <c r="AEL29" s="128"/>
      <c r="AEM29" s="128"/>
      <c r="AEN29" s="128"/>
      <c r="AEO29" s="128"/>
      <c r="AEP29" s="128"/>
      <c r="AEQ29" s="128"/>
      <c r="AER29" s="128"/>
      <c r="AES29" s="128"/>
      <c r="AET29" s="128"/>
      <c r="AEU29" s="128"/>
      <c r="AEV29" s="128"/>
      <c r="AEW29" s="128"/>
      <c r="AEX29" s="128"/>
      <c r="AEY29" s="128"/>
      <c r="AEZ29" s="128"/>
      <c r="AFA29" s="128"/>
      <c r="AFB29" s="128"/>
      <c r="AFC29" s="128"/>
      <c r="AFD29" s="128"/>
      <c r="AFE29" s="128"/>
      <c r="AFF29" s="128"/>
      <c r="AFG29" s="128"/>
      <c r="AFH29" s="128"/>
      <c r="AFI29" s="128"/>
      <c r="AFJ29" s="128"/>
      <c r="AFK29" s="128"/>
      <c r="AFL29" s="128"/>
      <c r="AFM29" s="128"/>
      <c r="AFN29" s="128"/>
      <c r="AFO29" s="128"/>
      <c r="AFP29" s="128"/>
      <c r="AFQ29" s="128"/>
      <c r="AFR29" s="128"/>
      <c r="AFS29" s="128"/>
      <c r="AFT29" s="128"/>
      <c r="AFU29" s="128"/>
      <c r="AFV29" s="128"/>
      <c r="AFW29" s="128"/>
      <c r="AFX29" s="128"/>
      <c r="AFY29" s="128"/>
      <c r="AFZ29" s="128"/>
      <c r="AGA29" s="128"/>
      <c r="AGB29" s="128"/>
      <c r="AGC29" s="128"/>
      <c r="AGD29" s="128"/>
      <c r="AGE29" s="128"/>
      <c r="AGF29" s="128"/>
      <c r="AGG29" s="128"/>
      <c r="AGH29" s="128"/>
      <c r="AGI29" s="128"/>
      <c r="AGJ29" s="128"/>
      <c r="AGK29" s="128"/>
      <c r="AGL29" s="128"/>
      <c r="AGM29" s="128"/>
      <c r="AGN29" s="128"/>
      <c r="AGO29" s="128"/>
      <c r="AGP29" s="128"/>
      <c r="AGQ29" s="128"/>
      <c r="AGR29" s="128"/>
      <c r="AGS29" s="128"/>
      <c r="AGT29" s="128"/>
      <c r="AGU29" s="128"/>
      <c r="AGV29" s="128"/>
      <c r="AGW29" s="128"/>
      <c r="AGX29" s="128"/>
      <c r="AGY29" s="128"/>
      <c r="AGZ29" s="128"/>
      <c r="AHA29" s="128"/>
      <c r="AHB29" s="128"/>
      <c r="AHC29" s="128"/>
      <c r="AHD29" s="128"/>
      <c r="AHE29" s="128"/>
      <c r="AHF29" s="128"/>
      <c r="AHG29" s="128"/>
      <c r="AHH29" s="128"/>
      <c r="AHI29" s="128"/>
      <c r="AHJ29" s="128"/>
      <c r="AHK29" s="128"/>
      <c r="AHL29" s="128"/>
      <c r="AHM29" s="128"/>
      <c r="AHN29" s="128"/>
      <c r="AHO29" s="128"/>
      <c r="AHP29" s="128"/>
      <c r="AHQ29" s="128"/>
      <c r="AHR29" s="128"/>
      <c r="AHS29" s="128"/>
      <c r="AHT29" s="128"/>
      <c r="AHU29" s="128"/>
      <c r="AHV29" s="128"/>
      <c r="AHW29" s="128"/>
      <c r="AHX29" s="128"/>
      <c r="AHY29" s="128"/>
      <c r="AHZ29" s="128"/>
      <c r="AIA29" s="128"/>
      <c r="AIB29" s="128"/>
      <c r="AIC29" s="128"/>
      <c r="AID29" s="128"/>
      <c r="AIE29" s="128"/>
      <c r="AIF29" s="128"/>
      <c r="AIG29" s="128"/>
      <c r="AIH29" s="128"/>
      <c r="AII29" s="128"/>
      <c r="AIJ29" s="128"/>
      <c r="AIK29" s="128"/>
      <c r="AIL29" s="128"/>
      <c r="AIM29" s="128"/>
      <c r="AIN29" s="128"/>
      <c r="AIO29" s="128"/>
      <c r="AIP29" s="128"/>
      <c r="AIQ29" s="128"/>
      <c r="AIR29" s="128"/>
      <c r="AIS29" s="128"/>
      <c r="AIT29" s="128"/>
      <c r="AIU29" s="128"/>
      <c r="AIV29" s="128"/>
      <c r="AIW29" s="128"/>
      <c r="AIX29" s="128"/>
      <c r="AIY29" s="128"/>
      <c r="AIZ29" s="128"/>
      <c r="AJA29" s="128"/>
      <c r="AJB29" s="128"/>
      <c r="AJC29" s="128"/>
      <c r="AJD29" s="128"/>
      <c r="AJE29" s="128"/>
      <c r="AJF29" s="128"/>
      <c r="AJG29" s="128"/>
      <c r="AJH29" s="128"/>
      <c r="AJI29" s="128"/>
      <c r="AJJ29" s="128"/>
      <c r="AJK29" s="128"/>
      <c r="AJL29" s="128"/>
      <c r="AJM29" s="128"/>
      <c r="AJN29" s="128"/>
      <c r="AJO29" s="128"/>
      <c r="AJP29" s="128"/>
      <c r="AJQ29" s="128"/>
      <c r="AJR29" s="128"/>
      <c r="AJS29" s="128"/>
      <c r="AJT29" s="128"/>
      <c r="AJU29" s="128"/>
      <c r="AJV29" s="128"/>
      <c r="AJW29" s="128"/>
      <c r="AJX29" s="128"/>
      <c r="AJY29" s="128"/>
      <c r="AJZ29" s="128"/>
      <c r="AKA29" s="128"/>
      <c r="AKB29" s="128"/>
      <c r="AKC29" s="128"/>
      <c r="AKD29" s="128"/>
      <c r="AKE29" s="128"/>
      <c r="AKF29" s="128"/>
      <c r="AKG29" s="128"/>
      <c r="AKH29" s="128"/>
      <c r="AKI29" s="128"/>
      <c r="AKJ29" s="128"/>
      <c r="AKK29" s="128"/>
      <c r="AKL29" s="128"/>
      <c r="AKM29" s="128"/>
      <c r="AKN29" s="128"/>
      <c r="AKO29" s="128"/>
      <c r="AKP29" s="128"/>
      <c r="AKQ29" s="128"/>
      <c r="AKR29" s="128"/>
      <c r="AKS29" s="128"/>
      <c r="AKT29" s="128"/>
      <c r="AKU29" s="128"/>
      <c r="AKV29" s="128"/>
      <c r="AKW29" s="128"/>
      <c r="AKX29" s="128"/>
      <c r="AKY29" s="128"/>
      <c r="AKZ29" s="128"/>
      <c r="ALA29" s="128"/>
      <c r="ALB29" s="128"/>
      <c r="ALC29" s="128"/>
      <c r="ALD29" s="128"/>
      <c r="ALE29" s="128"/>
      <c r="ALF29" s="128"/>
      <c r="ALG29" s="128"/>
      <c r="ALH29" s="128"/>
      <c r="ALI29" s="128"/>
      <c r="ALJ29" s="128"/>
      <c r="ALK29" s="128"/>
      <c r="ALL29" s="128"/>
      <c r="ALM29" s="128"/>
      <c r="ALN29" s="128"/>
      <c r="ALO29" s="128"/>
      <c r="ALP29" s="128"/>
      <c r="ALQ29" s="128"/>
      <c r="ALR29" s="128"/>
      <c r="ALS29" s="128"/>
      <c r="ALT29" s="128"/>
      <c r="ALU29" s="128"/>
      <c r="ALV29" s="128"/>
      <c r="ALW29" s="128"/>
      <c r="ALX29" s="128"/>
      <c r="ALY29" s="128"/>
      <c r="ALZ29" s="128"/>
      <c r="AMA29" s="128"/>
      <c r="AMB29" s="128"/>
      <c r="AMC29" s="128"/>
      <c r="AMD29" s="128"/>
      <c r="AME29" s="128"/>
      <c r="AMF29" s="128"/>
      <c r="AMG29" s="128"/>
      <c r="AMH29" s="128"/>
      <c r="AMI29" s="128"/>
      <c r="AMJ29" s="128"/>
      <c r="AMK29" s="128"/>
      <c r="AML29" s="128"/>
      <c r="AMM29" s="128"/>
      <c r="AMN29" s="128"/>
      <c r="AMO29" s="128"/>
      <c r="AMP29" s="128"/>
      <c r="AMQ29" s="128"/>
      <c r="AMR29" s="128"/>
      <c r="AMS29" s="128"/>
      <c r="AMT29" s="128"/>
      <c r="AMU29" s="128"/>
      <c r="AMV29" s="128"/>
      <c r="AMW29" s="128"/>
      <c r="AMX29" s="128"/>
      <c r="AMY29" s="128"/>
      <c r="AMZ29" s="128"/>
      <c r="ANA29" s="128"/>
      <c r="ANB29" s="128"/>
      <c r="ANC29" s="128"/>
      <c r="AND29" s="128"/>
      <c r="ANE29" s="128"/>
      <c r="ANF29" s="128"/>
      <c r="ANG29" s="128"/>
      <c r="ANH29" s="128"/>
      <c r="ANI29" s="128"/>
      <c r="ANJ29" s="128"/>
      <c r="ANK29" s="128"/>
      <c r="ANL29" s="128"/>
      <c r="ANM29" s="128"/>
      <c r="ANN29" s="128"/>
      <c r="ANO29" s="128"/>
      <c r="ANP29" s="128"/>
      <c r="ANQ29" s="128"/>
      <c r="ANR29" s="128"/>
      <c r="ANS29" s="128"/>
      <c r="ANT29" s="128"/>
      <c r="ANU29" s="128"/>
      <c r="ANV29" s="128"/>
      <c r="ANW29" s="128"/>
      <c r="ANX29" s="128"/>
      <c r="ANY29" s="128"/>
      <c r="ANZ29" s="128"/>
      <c r="AOA29" s="128"/>
      <c r="AOB29" s="128"/>
      <c r="AOC29" s="128"/>
      <c r="AOD29" s="128"/>
      <c r="AOE29" s="128"/>
      <c r="AOF29" s="128"/>
      <c r="AOG29" s="128"/>
      <c r="AOH29" s="128"/>
      <c r="AOI29" s="128"/>
      <c r="AOJ29" s="128"/>
      <c r="AOK29" s="128"/>
      <c r="AOL29" s="128"/>
      <c r="AOM29" s="128"/>
      <c r="AON29" s="128"/>
      <c r="AOO29" s="128"/>
      <c r="AOP29" s="128"/>
      <c r="AOQ29" s="128"/>
      <c r="AOR29" s="128"/>
      <c r="AOS29" s="128"/>
      <c r="AOT29" s="128"/>
      <c r="AOU29" s="128"/>
      <c r="AOV29" s="128"/>
      <c r="AOW29" s="128"/>
      <c r="AOX29" s="128"/>
      <c r="AOY29" s="128"/>
      <c r="AOZ29" s="128"/>
      <c r="APA29" s="128"/>
      <c r="APB29" s="128"/>
      <c r="APC29" s="128"/>
      <c r="APD29" s="128"/>
      <c r="APE29" s="128"/>
      <c r="APF29" s="128"/>
      <c r="APG29" s="128"/>
      <c r="APH29" s="128"/>
      <c r="API29" s="128"/>
      <c r="APJ29" s="128"/>
      <c r="APK29" s="128"/>
      <c r="APL29" s="128"/>
      <c r="APM29" s="128"/>
      <c r="APN29" s="128"/>
      <c r="APO29" s="128"/>
      <c r="APP29" s="128"/>
      <c r="APQ29" s="128"/>
      <c r="APR29" s="128"/>
      <c r="APS29" s="128"/>
      <c r="APT29" s="128"/>
      <c r="APU29" s="128"/>
      <c r="APV29" s="128"/>
      <c r="APW29" s="128"/>
      <c r="APX29" s="128"/>
      <c r="APY29" s="128"/>
      <c r="APZ29" s="128"/>
      <c r="AQA29" s="128"/>
      <c r="AQB29" s="128"/>
      <c r="AQC29" s="128"/>
      <c r="AQD29" s="128"/>
      <c r="AQE29" s="128"/>
      <c r="AQF29" s="128"/>
      <c r="AQG29" s="128"/>
      <c r="AQH29" s="128"/>
      <c r="AQI29" s="128"/>
      <c r="AQJ29" s="128"/>
      <c r="AQK29" s="128"/>
      <c r="AQL29" s="128"/>
      <c r="AQM29" s="128"/>
      <c r="AQN29" s="128"/>
      <c r="AQO29" s="128"/>
      <c r="AQP29" s="128"/>
      <c r="AQQ29" s="128"/>
      <c r="AQR29" s="128"/>
      <c r="AQS29" s="128"/>
      <c r="AQT29" s="128"/>
      <c r="AQU29" s="128"/>
      <c r="AQV29" s="128"/>
      <c r="AQW29" s="128"/>
      <c r="AQX29" s="128"/>
      <c r="AQY29" s="128"/>
      <c r="AQZ29" s="128"/>
      <c r="ARA29" s="128"/>
      <c r="ARB29" s="128"/>
      <c r="ARC29" s="128"/>
      <c r="ARD29" s="128"/>
      <c r="ARE29" s="128"/>
      <c r="ARF29" s="128"/>
      <c r="ARG29" s="128"/>
      <c r="ARH29" s="128"/>
      <c r="ARI29" s="128"/>
      <c r="ARJ29" s="128"/>
      <c r="ARK29" s="128"/>
      <c r="ARL29" s="128"/>
      <c r="ARM29" s="128"/>
      <c r="ARN29" s="128"/>
      <c r="ARO29" s="128"/>
      <c r="ARP29" s="128"/>
      <c r="ARQ29" s="128"/>
      <c r="ARR29" s="128"/>
      <c r="ARS29" s="128"/>
      <c r="ART29" s="128"/>
      <c r="ARU29" s="128"/>
      <c r="ARV29" s="128"/>
      <c r="ARW29" s="128"/>
      <c r="ARX29" s="128"/>
      <c r="ARY29" s="128"/>
      <c r="ARZ29" s="128"/>
      <c r="ASA29" s="128"/>
      <c r="ASB29" s="128"/>
      <c r="ASC29" s="128"/>
      <c r="ASD29" s="128"/>
      <c r="ASE29" s="128"/>
      <c r="ASF29" s="128"/>
      <c r="ASG29" s="128"/>
      <c r="ASH29" s="128"/>
      <c r="ASI29" s="128"/>
      <c r="ASJ29" s="128"/>
      <c r="ASK29" s="128"/>
      <c r="ASL29" s="128"/>
      <c r="ASM29" s="128"/>
      <c r="ASN29" s="128"/>
      <c r="ASO29" s="128"/>
      <c r="ASP29" s="128"/>
      <c r="ASQ29" s="128"/>
      <c r="ASR29" s="128"/>
      <c r="ASS29" s="128"/>
      <c r="AST29" s="128"/>
      <c r="ASU29" s="128"/>
      <c r="ASV29" s="128"/>
      <c r="ASW29" s="128"/>
      <c r="ASX29" s="128"/>
      <c r="ASY29" s="128"/>
      <c r="ASZ29" s="128"/>
      <c r="ATA29" s="128"/>
      <c r="ATB29" s="128"/>
      <c r="ATC29" s="128"/>
      <c r="ATD29" s="128"/>
      <c r="ATE29" s="128"/>
      <c r="ATF29" s="128"/>
      <c r="ATG29" s="128"/>
      <c r="ATH29" s="128"/>
      <c r="ATI29" s="128"/>
      <c r="ATJ29" s="128"/>
      <c r="ATK29" s="128"/>
      <c r="ATL29" s="128"/>
      <c r="ATM29" s="128"/>
      <c r="ATN29" s="128"/>
      <c r="ATO29" s="128"/>
      <c r="ATP29" s="128"/>
      <c r="ATQ29" s="128"/>
      <c r="ATR29" s="128"/>
      <c r="ATS29" s="128"/>
      <c r="ATT29" s="128"/>
      <c r="ATU29" s="128"/>
      <c r="ATV29" s="128"/>
      <c r="ATW29" s="128"/>
      <c r="ATX29" s="128"/>
      <c r="ATY29" s="128"/>
      <c r="ATZ29" s="128"/>
      <c r="AUA29" s="128"/>
      <c r="AUB29" s="128"/>
      <c r="AUC29" s="128"/>
      <c r="AUD29" s="128"/>
      <c r="AUE29" s="128"/>
      <c r="AUF29" s="128"/>
      <c r="AUG29" s="128"/>
      <c r="AUH29" s="128"/>
      <c r="AUI29" s="128"/>
      <c r="AUJ29" s="128"/>
      <c r="AUK29" s="128"/>
      <c r="AUL29" s="128"/>
      <c r="AUM29" s="128"/>
      <c r="AUN29" s="128"/>
      <c r="AUO29" s="128"/>
      <c r="AUP29" s="128"/>
      <c r="AUQ29" s="128"/>
      <c r="AUR29" s="128"/>
      <c r="AUS29" s="128"/>
      <c r="AUT29" s="128"/>
      <c r="AUU29" s="128"/>
      <c r="AUV29" s="128"/>
      <c r="AUW29" s="128"/>
      <c r="AUX29" s="128"/>
      <c r="AUY29" s="128"/>
      <c r="AUZ29" s="128"/>
      <c r="AVA29" s="128"/>
      <c r="AVB29" s="128"/>
      <c r="AVC29" s="128"/>
      <c r="AVD29" s="128"/>
      <c r="AVE29" s="128"/>
      <c r="AVF29" s="128"/>
      <c r="AVG29" s="128"/>
      <c r="AVH29" s="128"/>
      <c r="AVI29" s="128"/>
      <c r="AVJ29" s="128"/>
      <c r="AVK29" s="128"/>
      <c r="AVL29" s="128"/>
      <c r="AVM29" s="128"/>
      <c r="AVN29" s="128"/>
      <c r="AVO29" s="128"/>
      <c r="AVP29" s="128"/>
      <c r="AVQ29" s="128"/>
      <c r="AVR29" s="128"/>
      <c r="AVS29" s="128"/>
      <c r="AVT29" s="128"/>
      <c r="AVU29" s="128"/>
      <c r="AVV29" s="128"/>
      <c r="AVW29" s="128"/>
      <c r="AVX29" s="128"/>
      <c r="AVY29" s="128"/>
      <c r="AVZ29" s="128"/>
      <c r="AWA29" s="128"/>
      <c r="AWB29" s="128"/>
      <c r="AWC29" s="128"/>
      <c r="AWD29" s="128"/>
      <c r="AWE29" s="128"/>
      <c r="AWF29" s="128"/>
      <c r="AWG29" s="128"/>
      <c r="AWH29" s="128"/>
      <c r="AWI29" s="128"/>
      <c r="AWJ29" s="128"/>
      <c r="AWK29" s="128"/>
      <c r="AWL29" s="128"/>
      <c r="AWM29" s="128"/>
      <c r="AWN29" s="128"/>
      <c r="AWO29" s="128"/>
      <c r="AWP29" s="128"/>
      <c r="AWQ29" s="128"/>
      <c r="AWR29" s="128"/>
      <c r="AWS29" s="128"/>
      <c r="AWT29" s="128"/>
      <c r="AWU29" s="128"/>
      <c r="AWV29" s="128"/>
      <c r="AWW29" s="128"/>
      <c r="AWX29" s="128"/>
      <c r="AWY29" s="128"/>
      <c r="AWZ29" s="128"/>
      <c r="AXA29" s="128"/>
      <c r="AXB29" s="128"/>
      <c r="AXC29" s="128"/>
      <c r="AXD29" s="128"/>
      <c r="AXE29" s="128"/>
      <c r="AXF29" s="128"/>
      <c r="AXG29" s="128"/>
      <c r="AXH29" s="128"/>
      <c r="AXI29" s="128"/>
      <c r="AXJ29" s="128"/>
      <c r="AXK29" s="128"/>
      <c r="AXL29" s="128"/>
      <c r="AXM29" s="128"/>
      <c r="AXN29" s="128"/>
      <c r="AXO29" s="128"/>
      <c r="AXP29" s="128"/>
      <c r="AXQ29" s="128"/>
      <c r="AXR29" s="128"/>
      <c r="AXS29" s="128"/>
      <c r="AXT29" s="128"/>
      <c r="AXU29" s="128"/>
      <c r="AXV29" s="128"/>
      <c r="AXW29" s="128"/>
      <c r="AXX29" s="128"/>
      <c r="AXY29" s="128"/>
      <c r="AXZ29" s="128"/>
      <c r="AYA29" s="128"/>
      <c r="AYB29" s="128"/>
      <c r="AYC29" s="128"/>
      <c r="AYD29" s="128"/>
      <c r="AYE29" s="128"/>
      <c r="AYF29" s="128"/>
      <c r="AYG29" s="128"/>
      <c r="AYH29" s="128"/>
      <c r="AYI29" s="128"/>
      <c r="AYJ29" s="128"/>
      <c r="AYK29" s="128"/>
      <c r="AYL29" s="128"/>
      <c r="AYM29" s="128"/>
      <c r="AYN29" s="128"/>
      <c r="AYO29" s="128"/>
      <c r="AYP29" s="128"/>
      <c r="AYQ29" s="128"/>
      <c r="AYR29" s="128"/>
      <c r="AYS29" s="128"/>
      <c r="AYT29" s="128"/>
      <c r="AYU29" s="128"/>
      <c r="AYV29" s="128"/>
      <c r="AYW29" s="128"/>
      <c r="AYX29" s="128"/>
      <c r="AYY29" s="128"/>
      <c r="AYZ29" s="128"/>
      <c r="AZA29" s="128"/>
      <c r="AZB29" s="128"/>
      <c r="AZC29" s="128"/>
      <c r="AZD29" s="128"/>
      <c r="AZE29" s="128"/>
      <c r="AZF29" s="128"/>
      <c r="AZG29" s="128"/>
      <c r="AZH29" s="128"/>
      <c r="AZI29" s="128"/>
      <c r="AZJ29" s="128"/>
      <c r="AZK29" s="128"/>
      <c r="AZL29" s="128"/>
      <c r="AZM29" s="128"/>
      <c r="AZN29" s="128"/>
      <c r="AZO29" s="128"/>
      <c r="AZP29" s="128"/>
      <c r="AZQ29" s="128"/>
      <c r="AZR29" s="128"/>
      <c r="AZS29" s="128"/>
      <c r="AZT29" s="128"/>
      <c r="AZU29" s="128"/>
      <c r="AZV29" s="128"/>
      <c r="AZW29" s="128"/>
      <c r="AZX29" s="128"/>
      <c r="AZY29" s="128"/>
      <c r="AZZ29" s="128"/>
      <c r="BAA29" s="128"/>
      <c r="BAB29" s="128"/>
      <c r="BAC29" s="128"/>
      <c r="BAD29" s="128"/>
      <c r="BAE29" s="128"/>
      <c r="BAF29" s="128"/>
      <c r="BAG29" s="128"/>
      <c r="BAH29" s="128"/>
      <c r="BAI29" s="128"/>
      <c r="BAJ29" s="128"/>
      <c r="BAK29" s="128"/>
      <c r="BAL29" s="128"/>
      <c r="BAM29" s="128"/>
      <c r="BAN29" s="128"/>
      <c r="BAO29" s="128"/>
      <c r="BAP29" s="128"/>
      <c r="BAQ29" s="128"/>
      <c r="BAR29" s="128"/>
      <c r="BAS29" s="128"/>
      <c r="BAT29" s="128"/>
      <c r="BAU29" s="128"/>
      <c r="BAV29" s="128"/>
      <c r="BAW29" s="128"/>
      <c r="BAX29" s="128"/>
      <c r="BAY29" s="128"/>
      <c r="BAZ29" s="128"/>
      <c r="BBA29" s="128"/>
      <c r="BBB29" s="128"/>
      <c r="BBC29" s="128"/>
      <c r="BBD29" s="128"/>
      <c r="BBE29" s="128"/>
      <c r="BBF29" s="128"/>
      <c r="BBG29" s="128"/>
      <c r="BBH29" s="128"/>
      <c r="BBI29" s="128"/>
      <c r="BBJ29" s="128"/>
      <c r="BBK29" s="128"/>
      <c r="BBL29" s="128"/>
      <c r="BBM29" s="128"/>
      <c r="BBN29" s="128"/>
      <c r="BBO29" s="128"/>
      <c r="BBP29" s="128"/>
      <c r="BBQ29" s="128"/>
      <c r="BBR29" s="128"/>
      <c r="BBS29" s="128"/>
      <c r="BBT29" s="128"/>
      <c r="BBU29" s="128"/>
      <c r="BBV29" s="128"/>
      <c r="BBW29" s="128"/>
      <c r="BBX29" s="128"/>
      <c r="BBY29" s="128"/>
      <c r="BBZ29" s="128"/>
      <c r="BCA29" s="128"/>
      <c r="BCB29" s="128"/>
      <c r="BCC29" s="128"/>
      <c r="BCD29" s="128"/>
      <c r="BCE29" s="128"/>
      <c r="BCF29" s="128"/>
      <c r="BCG29" s="128"/>
      <c r="BCH29" s="128"/>
      <c r="BCI29" s="128"/>
      <c r="BCJ29" s="128"/>
      <c r="BCK29" s="128"/>
      <c r="BCL29" s="128"/>
      <c r="BCM29" s="128"/>
      <c r="BCN29" s="128"/>
      <c r="BCO29" s="128"/>
      <c r="BCP29" s="128"/>
      <c r="BCQ29" s="128"/>
      <c r="BCR29" s="128"/>
      <c r="BCS29" s="128"/>
      <c r="BCT29" s="128"/>
      <c r="BCU29" s="128"/>
      <c r="BCV29" s="128"/>
      <c r="BCW29" s="128"/>
      <c r="BCX29" s="128"/>
      <c r="BCY29" s="128"/>
      <c r="BCZ29" s="128"/>
      <c r="BDA29" s="128"/>
      <c r="BDB29" s="128"/>
      <c r="BDC29" s="128"/>
      <c r="BDD29" s="128"/>
      <c r="BDE29" s="128"/>
      <c r="BDF29" s="128"/>
      <c r="BDG29" s="128"/>
      <c r="BDH29" s="128"/>
      <c r="BDI29" s="128"/>
      <c r="BDJ29" s="128"/>
      <c r="BDK29" s="128"/>
      <c r="BDL29" s="128"/>
      <c r="BDM29" s="128"/>
      <c r="BDN29" s="128"/>
      <c r="BDO29" s="128"/>
      <c r="BDP29" s="128"/>
      <c r="BDQ29" s="128"/>
      <c r="BDR29" s="128"/>
      <c r="BDS29" s="128"/>
      <c r="BDT29" s="128"/>
      <c r="BDU29" s="128"/>
      <c r="BDV29" s="128"/>
      <c r="BDW29" s="128"/>
      <c r="BDX29" s="128"/>
      <c r="BDY29" s="128"/>
      <c r="BDZ29" s="128"/>
      <c r="BEA29" s="128"/>
      <c r="BEB29" s="128"/>
      <c r="BEC29" s="128"/>
      <c r="BED29" s="128"/>
      <c r="BEE29" s="128"/>
      <c r="BEF29" s="128"/>
      <c r="BEG29" s="128"/>
      <c r="BEH29" s="128"/>
      <c r="BEI29" s="128"/>
      <c r="BEJ29" s="128"/>
      <c r="BEK29" s="128"/>
      <c r="BEL29" s="128"/>
      <c r="BEM29" s="128"/>
      <c r="BEN29" s="128"/>
      <c r="BEO29" s="128"/>
      <c r="BEP29" s="128"/>
      <c r="BEQ29" s="128"/>
      <c r="BER29" s="128"/>
      <c r="BES29" s="128"/>
      <c r="BET29" s="128"/>
      <c r="BEU29" s="128"/>
      <c r="BEV29" s="128"/>
      <c r="BEW29" s="128"/>
      <c r="BEX29" s="128"/>
      <c r="BEY29" s="128"/>
      <c r="BEZ29" s="128"/>
      <c r="BFA29" s="128"/>
      <c r="BFB29" s="128"/>
      <c r="BFC29" s="128"/>
      <c r="BFD29" s="128"/>
      <c r="BFE29" s="128"/>
      <c r="BFF29" s="128"/>
      <c r="BFG29" s="128"/>
      <c r="BFH29" s="128"/>
      <c r="BFI29" s="128"/>
      <c r="BFJ29" s="128"/>
      <c r="BFK29" s="128"/>
      <c r="BFL29" s="128"/>
      <c r="BFM29" s="128"/>
      <c r="BFN29" s="128"/>
      <c r="BFO29" s="128"/>
      <c r="BFP29" s="128"/>
      <c r="BFQ29" s="128"/>
      <c r="BFR29" s="128"/>
      <c r="BFS29" s="128"/>
      <c r="BFT29" s="128"/>
      <c r="BFU29" s="128"/>
      <c r="BFV29" s="128"/>
      <c r="BFW29" s="128"/>
      <c r="BFX29" s="128"/>
      <c r="BFY29" s="128"/>
      <c r="BFZ29" s="128"/>
      <c r="BGA29" s="128"/>
      <c r="BGB29" s="128"/>
      <c r="BGC29" s="128"/>
      <c r="BGD29" s="128"/>
      <c r="BGE29" s="128"/>
      <c r="BGF29" s="128"/>
      <c r="BGG29" s="128"/>
      <c r="BGH29" s="128"/>
      <c r="BGI29" s="128"/>
      <c r="BGJ29" s="128"/>
      <c r="BGK29" s="128"/>
      <c r="BGL29" s="128"/>
      <c r="BGM29" s="128"/>
      <c r="BGN29" s="128"/>
      <c r="BGO29" s="128"/>
      <c r="BGP29" s="128"/>
      <c r="BGQ29" s="128"/>
      <c r="BGR29" s="128"/>
      <c r="BGS29" s="128"/>
      <c r="BGT29" s="128"/>
      <c r="BGU29" s="128"/>
      <c r="BGV29" s="128"/>
      <c r="BGW29" s="128"/>
      <c r="BGX29" s="128"/>
      <c r="BGY29" s="128"/>
      <c r="BGZ29" s="128"/>
      <c r="BHA29" s="128"/>
      <c r="BHB29" s="128"/>
      <c r="BHC29" s="128"/>
      <c r="BHD29" s="128"/>
      <c r="BHE29" s="128"/>
      <c r="BHF29" s="128"/>
      <c r="BHG29" s="128"/>
      <c r="BHH29" s="128"/>
      <c r="BHI29" s="128"/>
      <c r="BHJ29" s="128"/>
      <c r="BHK29" s="128"/>
      <c r="BHL29" s="128"/>
      <c r="BHM29" s="128"/>
      <c r="BHN29" s="128"/>
      <c r="BHO29" s="128"/>
      <c r="BHP29" s="128"/>
      <c r="BHQ29" s="128"/>
      <c r="BHR29" s="128"/>
      <c r="BHS29" s="128"/>
      <c r="BHT29" s="128"/>
      <c r="BHU29" s="128"/>
      <c r="BHV29" s="128"/>
      <c r="BHW29" s="128"/>
      <c r="BHX29" s="128"/>
      <c r="BHY29" s="128"/>
      <c r="BHZ29" s="128"/>
      <c r="BIA29" s="128"/>
      <c r="BIB29" s="128"/>
      <c r="BIC29" s="128"/>
      <c r="BID29" s="128"/>
      <c r="BIE29" s="128"/>
      <c r="BIF29" s="128"/>
      <c r="BIG29" s="128"/>
      <c r="BIH29" s="128"/>
      <c r="BII29" s="128"/>
      <c r="BIJ29" s="128"/>
      <c r="BIK29" s="128"/>
      <c r="BIL29" s="128"/>
      <c r="BIM29" s="128"/>
      <c r="BIN29" s="128"/>
      <c r="BIO29" s="128"/>
      <c r="BIP29" s="128"/>
      <c r="BIQ29" s="128"/>
      <c r="BIR29" s="128"/>
      <c r="BIS29" s="128"/>
      <c r="BIT29" s="128"/>
      <c r="BIU29" s="128"/>
      <c r="BIV29" s="128"/>
      <c r="BIW29" s="128"/>
      <c r="BIX29" s="128"/>
      <c r="BIY29" s="128"/>
      <c r="BIZ29" s="128"/>
      <c r="BJA29" s="128"/>
      <c r="BJB29" s="128"/>
      <c r="BJC29" s="128"/>
      <c r="BJD29" s="128"/>
      <c r="BJE29" s="128"/>
      <c r="BJF29" s="128"/>
      <c r="BJG29" s="128"/>
      <c r="BJH29" s="128"/>
      <c r="BJI29" s="128"/>
      <c r="BJJ29" s="128"/>
      <c r="BJK29" s="128"/>
      <c r="BJL29" s="128"/>
      <c r="BJM29" s="128"/>
      <c r="BJN29" s="128"/>
      <c r="BJO29" s="128"/>
      <c r="BJP29" s="128"/>
      <c r="BJQ29" s="128"/>
      <c r="BJR29" s="128"/>
      <c r="BJS29" s="128"/>
      <c r="BJT29" s="128"/>
      <c r="BJU29" s="128"/>
      <c r="BJV29" s="128"/>
      <c r="BJW29" s="128"/>
      <c r="BJX29" s="128"/>
      <c r="BJY29" s="128"/>
      <c r="BJZ29" s="128"/>
      <c r="BKA29" s="128"/>
      <c r="BKB29" s="128"/>
      <c r="BKC29" s="128"/>
      <c r="BKD29" s="128"/>
      <c r="BKE29" s="128"/>
      <c r="BKF29" s="128"/>
      <c r="BKG29" s="128"/>
      <c r="BKH29" s="128"/>
      <c r="BKI29" s="128"/>
      <c r="BKJ29" s="128"/>
      <c r="BKK29" s="128"/>
      <c r="BKL29" s="128"/>
      <c r="BKM29" s="128"/>
      <c r="BKN29" s="128"/>
      <c r="BKO29" s="128"/>
      <c r="BKP29" s="128"/>
      <c r="BKQ29" s="128"/>
      <c r="BKR29" s="128"/>
      <c r="BKS29" s="128"/>
      <c r="BKT29" s="128"/>
      <c r="BKU29" s="128"/>
      <c r="BKV29" s="128"/>
      <c r="BKW29" s="128"/>
      <c r="BKX29" s="128"/>
      <c r="BKY29" s="128"/>
      <c r="BKZ29" s="128"/>
      <c r="BLA29" s="128"/>
      <c r="BLB29" s="128"/>
      <c r="BLC29" s="128"/>
      <c r="BLD29" s="128"/>
      <c r="BLE29" s="128"/>
      <c r="BLF29" s="128"/>
      <c r="BLG29" s="128"/>
      <c r="BLH29" s="128"/>
      <c r="BLI29" s="128"/>
      <c r="BLJ29" s="128"/>
      <c r="BLK29" s="128"/>
      <c r="BLL29" s="128"/>
      <c r="BLM29" s="128"/>
      <c r="BLN29" s="128"/>
      <c r="BLO29" s="128"/>
      <c r="BLP29" s="128"/>
      <c r="BLQ29" s="128"/>
      <c r="BLR29" s="128"/>
      <c r="BLS29" s="128"/>
      <c r="BLT29" s="128"/>
      <c r="BLU29" s="128"/>
      <c r="BLV29" s="128"/>
      <c r="BLW29" s="128"/>
      <c r="BLX29" s="128"/>
      <c r="BLY29" s="128"/>
      <c r="BLZ29" s="128"/>
      <c r="BMA29" s="128"/>
      <c r="BMB29" s="128"/>
      <c r="BMC29" s="128"/>
      <c r="BMD29" s="128"/>
      <c r="BME29" s="128"/>
      <c r="BMF29" s="128"/>
      <c r="BMG29" s="128"/>
      <c r="BMH29" s="128"/>
      <c r="BMI29" s="128"/>
      <c r="BMJ29" s="128"/>
      <c r="BMK29" s="128"/>
      <c r="BML29" s="128"/>
      <c r="BMM29" s="128"/>
      <c r="BMN29" s="128"/>
      <c r="BMO29" s="128"/>
      <c r="BMP29" s="128"/>
      <c r="BMQ29" s="128"/>
      <c r="BMR29" s="128"/>
      <c r="BMS29" s="128"/>
      <c r="BMT29" s="128"/>
      <c r="BMU29" s="128"/>
      <c r="BMV29" s="128"/>
      <c r="BMW29" s="128"/>
      <c r="BMX29" s="128"/>
      <c r="BMY29" s="128"/>
      <c r="BMZ29" s="128"/>
      <c r="BNA29" s="128"/>
      <c r="BNB29" s="128"/>
      <c r="BNC29" s="128"/>
      <c r="BND29" s="128"/>
      <c r="BNE29" s="128"/>
      <c r="BNF29" s="128"/>
      <c r="BNG29" s="128"/>
      <c r="BNH29" s="128"/>
      <c r="BNI29" s="128"/>
      <c r="BNJ29" s="128"/>
      <c r="BNK29" s="128"/>
      <c r="BNL29" s="128"/>
      <c r="BNM29" s="128"/>
      <c r="BNN29" s="128"/>
      <c r="BNO29" s="128"/>
      <c r="BNP29" s="128"/>
      <c r="BNQ29" s="128"/>
      <c r="BNR29" s="128"/>
      <c r="BNS29" s="128"/>
      <c r="BNT29" s="128"/>
      <c r="BNU29" s="128"/>
      <c r="BNV29" s="128"/>
      <c r="BNW29" s="128"/>
      <c r="BNX29" s="128"/>
      <c r="BNY29" s="128"/>
      <c r="BNZ29" s="128"/>
      <c r="BOA29" s="128"/>
      <c r="BOB29" s="128"/>
      <c r="BOC29" s="128"/>
      <c r="BOD29" s="128"/>
      <c r="BOE29" s="128"/>
      <c r="BOF29" s="128"/>
      <c r="BOG29" s="128"/>
      <c r="BOH29" s="128"/>
      <c r="BOI29" s="128"/>
      <c r="BOJ29" s="128"/>
      <c r="BOK29" s="128"/>
      <c r="BOL29" s="128"/>
      <c r="BOM29" s="128"/>
      <c r="BON29" s="128"/>
      <c r="BOO29" s="128"/>
      <c r="BOP29" s="128"/>
      <c r="BOQ29" s="128"/>
      <c r="BOR29" s="128"/>
      <c r="BOS29" s="128"/>
      <c r="BOT29" s="128"/>
      <c r="BOU29" s="128"/>
      <c r="BOV29" s="128"/>
      <c r="BOW29" s="128"/>
      <c r="BOX29" s="128"/>
      <c r="BOY29" s="128"/>
      <c r="BOZ29" s="128"/>
      <c r="BPA29" s="128"/>
      <c r="BPB29" s="128"/>
      <c r="BPC29" s="128"/>
      <c r="BPD29" s="128"/>
      <c r="BPE29" s="128"/>
      <c r="BPF29" s="128"/>
      <c r="BPG29" s="128"/>
      <c r="BPH29" s="128"/>
      <c r="BPI29" s="128"/>
      <c r="BPJ29" s="128"/>
      <c r="BPK29" s="128"/>
      <c r="BPL29" s="128"/>
      <c r="BPM29" s="128"/>
      <c r="BPN29" s="128"/>
      <c r="BPO29" s="128"/>
      <c r="BPP29" s="128"/>
      <c r="BPQ29" s="128"/>
      <c r="BPR29" s="128"/>
      <c r="BPS29" s="128"/>
      <c r="BPT29" s="128"/>
      <c r="BPU29" s="128"/>
      <c r="BPV29" s="128"/>
      <c r="BPW29" s="128"/>
      <c r="BPX29" s="128"/>
      <c r="BPY29" s="128"/>
      <c r="BPZ29" s="128"/>
      <c r="BQA29" s="128"/>
      <c r="BQB29" s="128"/>
      <c r="BQC29" s="128"/>
      <c r="BQD29" s="128"/>
      <c r="BQE29" s="128"/>
      <c r="BQF29" s="128"/>
      <c r="BQG29" s="128"/>
      <c r="BQH29" s="128"/>
      <c r="BQI29" s="128"/>
      <c r="BQJ29" s="128"/>
      <c r="BQK29" s="128"/>
      <c r="BQL29" s="128"/>
      <c r="BQM29" s="128"/>
      <c r="BQN29" s="128"/>
      <c r="BQO29" s="128"/>
      <c r="BQP29" s="128"/>
      <c r="BQQ29" s="128"/>
      <c r="BQR29" s="128"/>
      <c r="BQS29" s="128"/>
      <c r="BQT29" s="128"/>
      <c r="BQU29" s="128"/>
      <c r="BQV29" s="128"/>
      <c r="BQW29" s="128"/>
      <c r="BQX29" s="128"/>
      <c r="BQY29" s="128"/>
      <c r="BQZ29" s="128"/>
      <c r="BRA29" s="128"/>
      <c r="BRB29" s="128"/>
      <c r="BRC29" s="128"/>
      <c r="BRD29" s="128"/>
      <c r="BRE29" s="128"/>
      <c r="BRF29" s="128"/>
      <c r="BRG29" s="128"/>
      <c r="BRH29" s="128"/>
      <c r="BRI29" s="128"/>
      <c r="BRJ29" s="128"/>
      <c r="BRK29" s="128"/>
      <c r="BRL29" s="128"/>
      <c r="BRM29" s="128"/>
      <c r="BRN29" s="128"/>
      <c r="BRO29" s="128"/>
      <c r="BRP29" s="128"/>
      <c r="BRQ29" s="128"/>
      <c r="BRR29" s="128"/>
      <c r="BRS29" s="128"/>
      <c r="BRT29" s="128"/>
      <c r="BRU29" s="128"/>
      <c r="BRV29" s="128"/>
      <c r="BRW29" s="128"/>
      <c r="BRX29" s="128"/>
      <c r="BRY29" s="128"/>
      <c r="BRZ29" s="128"/>
      <c r="BSA29" s="128"/>
      <c r="BSB29" s="128"/>
      <c r="BSC29" s="128"/>
      <c r="BSD29" s="128"/>
      <c r="BSE29" s="128"/>
      <c r="BSF29" s="128"/>
      <c r="BSG29" s="128"/>
      <c r="BSH29" s="128"/>
      <c r="BSI29" s="128"/>
      <c r="BSJ29" s="128"/>
      <c r="BSK29" s="128"/>
      <c r="BSL29" s="128"/>
      <c r="BSM29" s="128"/>
      <c r="BSN29" s="128"/>
      <c r="BSO29" s="128"/>
      <c r="BSP29" s="128"/>
      <c r="BSQ29" s="128"/>
      <c r="BSR29" s="128"/>
      <c r="BSS29" s="128"/>
      <c r="BST29" s="128"/>
      <c r="BSU29" s="128"/>
      <c r="BSV29" s="128"/>
      <c r="BSW29" s="128"/>
      <c r="BSX29" s="128"/>
      <c r="BSY29" s="128"/>
      <c r="BSZ29" s="128"/>
      <c r="BTA29" s="128"/>
      <c r="BTB29" s="128"/>
      <c r="BTC29" s="128"/>
      <c r="BTD29" s="128"/>
      <c r="BTE29" s="128"/>
      <c r="BTF29" s="128"/>
      <c r="BTG29" s="128"/>
      <c r="BTH29" s="128"/>
      <c r="BTI29" s="128"/>
      <c r="BTJ29" s="128"/>
      <c r="BTK29" s="128"/>
      <c r="BTL29" s="128"/>
      <c r="BTM29" s="128"/>
      <c r="BTN29" s="128"/>
      <c r="BTO29" s="128"/>
      <c r="BTP29" s="128"/>
      <c r="BTQ29" s="128"/>
      <c r="BTR29" s="128"/>
      <c r="BTS29" s="128"/>
      <c r="BTT29" s="128"/>
      <c r="BTU29" s="128"/>
      <c r="BTV29" s="128"/>
      <c r="BTW29" s="128"/>
      <c r="BTX29" s="128"/>
      <c r="BTY29" s="128"/>
      <c r="BTZ29" s="128"/>
      <c r="BUA29" s="128"/>
      <c r="BUB29" s="128"/>
      <c r="BUC29" s="128"/>
      <c r="BUD29" s="128"/>
      <c r="BUE29" s="128"/>
      <c r="BUF29" s="128"/>
      <c r="BUG29" s="128"/>
      <c r="BUH29" s="128"/>
      <c r="BUI29" s="128"/>
      <c r="BUJ29" s="128"/>
      <c r="BUK29" s="128"/>
      <c r="BUL29" s="128"/>
      <c r="BUM29" s="128"/>
      <c r="BUN29" s="128"/>
      <c r="BUO29" s="128"/>
      <c r="BUP29" s="128"/>
      <c r="BUQ29" s="128"/>
      <c r="BUR29" s="128"/>
      <c r="BUS29" s="128"/>
      <c r="BUT29" s="128"/>
      <c r="BUU29" s="128"/>
      <c r="BUV29" s="128"/>
      <c r="BUW29" s="128"/>
      <c r="BUX29" s="128"/>
      <c r="BUY29" s="128"/>
      <c r="BUZ29" s="128"/>
      <c r="BVA29" s="128"/>
      <c r="BVB29" s="128"/>
      <c r="BVC29" s="128"/>
      <c r="BVD29" s="128"/>
      <c r="BVE29" s="128"/>
      <c r="BVF29" s="128"/>
      <c r="BVG29" s="128"/>
      <c r="BVH29" s="128"/>
      <c r="BVI29" s="128"/>
      <c r="BVJ29" s="128"/>
      <c r="BVK29" s="128"/>
      <c r="BVL29" s="128"/>
      <c r="BVM29" s="128"/>
      <c r="BVN29" s="128"/>
      <c r="BVO29" s="128"/>
      <c r="BVP29" s="128"/>
      <c r="BVQ29" s="128"/>
      <c r="BVR29" s="128"/>
      <c r="BVS29" s="128"/>
      <c r="BVT29" s="128"/>
      <c r="BVU29" s="128"/>
      <c r="BVV29" s="128"/>
      <c r="BVW29" s="128"/>
      <c r="BVX29" s="128"/>
      <c r="BVY29" s="128"/>
      <c r="BVZ29" s="128"/>
      <c r="BWA29" s="128"/>
      <c r="BWB29" s="128"/>
      <c r="BWC29" s="128"/>
      <c r="BWD29" s="128"/>
      <c r="BWE29" s="128"/>
      <c r="BWF29" s="128"/>
      <c r="BWG29" s="128"/>
      <c r="BWH29" s="128"/>
      <c r="BWI29" s="128"/>
      <c r="BWJ29" s="128"/>
      <c r="BWK29" s="128"/>
      <c r="BWL29" s="128"/>
      <c r="BWM29" s="128"/>
      <c r="BWN29" s="128"/>
      <c r="BWO29" s="128"/>
      <c r="BWP29" s="128"/>
      <c r="BWQ29" s="128"/>
      <c r="BWR29" s="128"/>
      <c r="BWS29" s="128"/>
      <c r="BWT29" s="128"/>
      <c r="BWU29" s="128"/>
      <c r="BWV29" s="128"/>
      <c r="BWW29" s="128"/>
      <c r="BWX29" s="128"/>
      <c r="BWY29" s="128"/>
      <c r="BWZ29" s="128"/>
      <c r="BXA29" s="128"/>
      <c r="BXB29" s="128"/>
      <c r="BXC29" s="128"/>
      <c r="BXD29" s="128"/>
      <c r="BXE29" s="128"/>
      <c r="BXF29" s="128"/>
      <c r="BXG29" s="128"/>
      <c r="BXH29" s="128"/>
      <c r="BXI29" s="128"/>
      <c r="BXJ29" s="128"/>
      <c r="BXK29" s="128"/>
      <c r="BXL29" s="128"/>
      <c r="BXM29" s="128"/>
      <c r="BXN29" s="128"/>
      <c r="BXO29" s="128"/>
      <c r="BXP29" s="128"/>
      <c r="BXQ29" s="128"/>
      <c r="BXR29" s="128"/>
      <c r="BXS29" s="128"/>
      <c r="BXT29" s="128"/>
      <c r="BXU29" s="128"/>
      <c r="BXV29" s="128"/>
      <c r="BXW29" s="128"/>
      <c r="BXX29" s="128"/>
      <c r="BXY29" s="128"/>
      <c r="BXZ29" s="128"/>
      <c r="BYA29" s="128"/>
      <c r="BYB29" s="128"/>
      <c r="BYC29" s="128"/>
      <c r="BYD29" s="128"/>
      <c r="BYE29" s="128"/>
      <c r="BYF29" s="128"/>
      <c r="BYG29" s="128"/>
      <c r="BYH29" s="128"/>
      <c r="BYI29" s="128"/>
      <c r="BYJ29" s="128"/>
      <c r="BYK29" s="128"/>
      <c r="BYL29" s="128"/>
      <c r="BYM29" s="128"/>
      <c r="BYN29" s="128"/>
      <c r="BYO29" s="128"/>
      <c r="BYP29" s="128"/>
      <c r="BYQ29" s="128"/>
      <c r="BYR29" s="128"/>
      <c r="BYS29" s="128"/>
      <c r="BYT29" s="128"/>
      <c r="BYU29" s="128"/>
      <c r="BYV29" s="128"/>
      <c r="BYW29" s="128"/>
      <c r="BYX29" s="128"/>
      <c r="BYY29" s="128"/>
      <c r="BYZ29" s="128"/>
      <c r="BZA29" s="128"/>
      <c r="BZB29" s="128"/>
      <c r="BZC29" s="128"/>
      <c r="BZD29" s="128"/>
      <c r="BZE29" s="128"/>
      <c r="BZF29" s="128"/>
      <c r="BZG29" s="128"/>
      <c r="BZH29" s="128"/>
      <c r="BZI29" s="128"/>
      <c r="BZJ29" s="128"/>
      <c r="BZK29" s="128"/>
      <c r="BZL29" s="128"/>
      <c r="BZM29" s="128"/>
      <c r="BZN29" s="128"/>
      <c r="BZO29" s="128"/>
      <c r="BZP29" s="128"/>
      <c r="BZQ29" s="128"/>
      <c r="BZR29" s="128"/>
      <c r="BZS29" s="128"/>
      <c r="BZT29" s="128"/>
      <c r="BZU29" s="128"/>
      <c r="BZV29" s="128"/>
      <c r="BZW29" s="128"/>
      <c r="BZX29" s="128"/>
      <c r="BZY29" s="128"/>
      <c r="BZZ29" s="128"/>
      <c r="CAA29" s="128"/>
      <c r="CAB29" s="128"/>
      <c r="CAC29" s="128"/>
      <c r="CAD29" s="128"/>
      <c r="CAE29" s="128"/>
      <c r="CAF29" s="128"/>
      <c r="CAG29" s="128"/>
      <c r="CAH29" s="128"/>
      <c r="CAI29" s="128"/>
      <c r="CAJ29" s="128"/>
      <c r="CAK29" s="128"/>
      <c r="CAL29" s="128"/>
      <c r="CAM29" s="128"/>
      <c r="CAN29" s="128"/>
      <c r="CAO29" s="128"/>
      <c r="CAP29" s="128"/>
      <c r="CAQ29" s="128"/>
      <c r="CAR29" s="128"/>
      <c r="CAS29" s="128"/>
      <c r="CAT29" s="128"/>
      <c r="CAU29" s="128"/>
      <c r="CAV29" s="128"/>
      <c r="CAW29" s="128"/>
      <c r="CAX29" s="128"/>
      <c r="CAY29" s="128"/>
      <c r="CAZ29" s="128"/>
      <c r="CBA29" s="128"/>
      <c r="CBB29" s="128"/>
      <c r="CBC29" s="128"/>
      <c r="CBD29" s="128"/>
      <c r="CBE29" s="128"/>
      <c r="CBF29" s="128"/>
      <c r="CBG29" s="128"/>
      <c r="CBH29" s="128"/>
      <c r="CBI29" s="128"/>
      <c r="CBJ29" s="128"/>
      <c r="CBK29" s="128"/>
      <c r="CBL29" s="128"/>
      <c r="CBM29" s="128"/>
      <c r="CBN29" s="128"/>
      <c r="CBO29" s="128"/>
      <c r="CBP29" s="128"/>
      <c r="CBQ29" s="128"/>
      <c r="CBR29" s="128"/>
      <c r="CBS29" s="128"/>
      <c r="CBT29" s="128"/>
      <c r="CBU29" s="128"/>
      <c r="CBV29" s="128"/>
      <c r="CBW29" s="128"/>
      <c r="CBX29" s="128"/>
      <c r="CBY29" s="128"/>
      <c r="CBZ29" s="128"/>
      <c r="CCA29" s="128"/>
      <c r="CCB29" s="128"/>
      <c r="CCC29" s="128"/>
      <c r="CCD29" s="128"/>
      <c r="CCE29" s="128"/>
      <c r="CCF29" s="128"/>
      <c r="CCG29" s="128"/>
      <c r="CCH29" s="128"/>
      <c r="CCI29" s="128"/>
      <c r="CCJ29" s="128"/>
      <c r="CCK29" s="128"/>
      <c r="CCL29" s="128"/>
      <c r="CCM29" s="128"/>
      <c r="CCN29" s="128"/>
      <c r="CCO29" s="128"/>
      <c r="CCP29" s="128"/>
      <c r="CCQ29" s="128"/>
      <c r="CCR29" s="128"/>
      <c r="CCS29" s="128"/>
      <c r="CCT29" s="128"/>
      <c r="CCU29" s="128"/>
      <c r="CCV29" s="128"/>
      <c r="CCW29" s="128"/>
      <c r="CCX29" s="128"/>
      <c r="CCY29" s="128"/>
      <c r="CCZ29" s="128"/>
      <c r="CDA29" s="128"/>
      <c r="CDB29" s="128"/>
      <c r="CDC29" s="128"/>
      <c r="CDD29" s="128"/>
      <c r="CDE29" s="128"/>
      <c r="CDF29" s="128"/>
      <c r="CDG29" s="128"/>
      <c r="CDH29" s="128"/>
      <c r="CDI29" s="128"/>
      <c r="CDJ29" s="128"/>
      <c r="CDK29" s="128"/>
      <c r="CDL29" s="128"/>
      <c r="CDM29" s="128"/>
      <c r="CDN29" s="128"/>
      <c r="CDO29" s="128"/>
      <c r="CDP29" s="128"/>
      <c r="CDQ29" s="128"/>
      <c r="CDR29" s="128"/>
      <c r="CDS29" s="128"/>
      <c r="CDT29" s="128"/>
      <c r="CDU29" s="128"/>
      <c r="CDV29" s="128"/>
      <c r="CDW29" s="128"/>
      <c r="CDX29" s="128"/>
      <c r="CDY29" s="128"/>
      <c r="CDZ29" s="128"/>
      <c r="CEA29" s="128"/>
      <c r="CEB29" s="128"/>
      <c r="CEC29" s="128"/>
      <c r="CED29" s="128"/>
      <c r="CEE29" s="128"/>
      <c r="CEF29" s="128"/>
      <c r="CEG29" s="128"/>
      <c r="CEH29" s="128"/>
      <c r="CEI29" s="128"/>
      <c r="CEJ29" s="128"/>
      <c r="CEK29" s="128"/>
      <c r="CEL29" s="128"/>
      <c r="CEM29" s="128"/>
      <c r="CEN29" s="128"/>
      <c r="CEO29" s="128"/>
      <c r="CEP29" s="128"/>
      <c r="CEQ29" s="128"/>
      <c r="CER29" s="128"/>
      <c r="CES29" s="128"/>
      <c r="CET29" s="128"/>
      <c r="CEU29" s="128"/>
      <c r="CEV29" s="128"/>
      <c r="CEW29" s="128"/>
      <c r="CEX29" s="128"/>
      <c r="CEY29" s="128"/>
      <c r="CEZ29" s="128"/>
      <c r="CFA29" s="128"/>
      <c r="CFB29" s="128"/>
      <c r="CFC29" s="128"/>
      <c r="CFD29" s="128"/>
      <c r="CFE29" s="128"/>
      <c r="CFF29" s="128"/>
      <c r="CFG29" s="128"/>
      <c r="CFH29" s="128"/>
      <c r="CFI29" s="128"/>
      <c r="CFJ29" s="128"/>
      <c r="CFK29" s="128"/>
      <c r="CFL29" s="128"/>
      <c r="CFM29" s="128"/>
      <c r="CFN29" s="128"/>
      <c r="CFO29" s="128"/>
      <c r="CFP29" s="128"/>
      <c r="CFQ29" s="128"/>
      <c r="CFR29" s="128"/>
      <c r="CFS29" s="128"/>
      <c r="CFT29" s="128"/>
      <c r="CFU29" s="128"/>
      <c r="CFV29" s="128"/>
      <c r="CFW29" s="128"/>
      <c r="CFX29" s="128"/>
      <c r="CFY29" s="128"/>
      <c r="CFZ29" s="128"/>
      <c r="CGA29" s="128"/>
      <c r="CGB29" s="128"/>
      <c r="CGC29" s="128"/>
      <c r="CGD29" s="128"/>
      <c r="CGE29" s="128"/>
      <c r="CGF29" s="128"/>
      <c r="CGG29" s="128"/>
      <c r="CGH29" s="128"/>
      <c r="CGI29" s="128"/>
      <c r="CGJ29" s="128"/>
      <c r="CGK29" s="128"/>
      <c r="CGL29" s="128"/>
      <c r="CGM29" s="128"/>
      <c r="CGN29" s="128"/>
      <c r="CGO29" s="128"/>
      <c r="CGP29" s="128"/>
      <c r="CGQ29" s="128"/>
      <c r="CGR29" s="128"/>
      <c r="CGS29" s="128"/>
      <c r="CGT29" s="128"/>
      <c r="CGU29" s="128"/>
      <c r="CGV29" s="128"/>
      <c r="CGW29" s="128"/>
      <c r="CGX29" s="128"/>
      <c r="CGY29" s="128"/>
      <c r="CGZ29" s="128"/>
      <c r="CHA29" s="128"/>
      <c r="CHB29" s="128"/>
      <c r="CHC29" s="128"/>
      <c r="CHD29" s="128"/>
      <c r="CHE29" s="128"/>
      <c r="CHF29" s="128"/>
      <c r="CHG29" s="128"/>
      <c r="CHH29" s="128"/>
      <c r="CHI29" s="128"/>
      <c r="CHJ29" s="128"/>
      <c r="CHK29" s="128"/>
      <c r="CHL29" s="128"/>
      <c r="CHM29" s="128"/>
      <c r="CHN29" s="128"/>
      <c r="CHO29" s="128"/>
      <c r="CHP29" s="128"/>
      <c r="CHQ29" s="128"/>
      <c r="CHR29" s="128"/>
      <c r="CHS29" s="128"/>
      <c r="CHT29" s="128"/>
      <c r="CHU29" s="128"/>
      <c r="CHV29" s="128"/>
      <c r="CHW29" s="128"/>
      <c r="CHX29" s="128"/>
      <c r="CHY29" s="128"/>
      <c r="CHZ29" s="128"/>
      <c r="CIA29" s="128"/>
      <c r="CIB29" s="128"/>
      <c r="CIC29" s="128"/>
      <c r="CID29" s="128"/>
      <c r="CIE29" s="128"/>
      <c r="CIF29" s="128"/>
      <c r="CIG29" s="128"/>
      <c r="CIH29" s="128"/>
      <c r="CII29" s="128"/>
      <c r="CIJ29" s="128"/>
      <c r="CIK29" s="128"/>
      <c r="CIL29" s="128"/>
      <c r="CIM29" s="128"/>
      <c r="CIN29" s="128"/>
      <c r="CIO29" s="128"/>
      <c r="CIP29" s="128"/>
      <c r="CIQ29" s="128"/>
      <c r="CIR29" s="128"/>
      <c r="CIS29" s="128"/>
      <c r="CIT29" s="128"/>
      <c r="CIU29" s="128"/>
      <c r="CIV29" s="128"/>
      <c r="CIW29" s="128"/>
      <c r="CIX29" s="128"/>
      <c r="CIY29" s="128"/>
      <c r="CIZ29" s="128"/>
      <c r="CJA29" s="128"/>
      <c r="CJB29" s="128"/>
      <c r="CJC29" s="128"/>
      <c r="CJD29" s="128"/>
      <c r="CJE29" s="128"/>
      <c r="CJF29" s="128"/>
      <c r="CJG29" s="128"/>
      <c r="CJH29" s="128"/>
      <c r="CJI29" s="128"/>
      <c r="CJJ29" s="128"/>
      <c r="CJK29" s="128"/>
      <c r="CJL29" s="128"/>
      <c r="CJM29" s="128"/>
      <c r="CJN29" s="128"/>
      <c r="CJO29" s="128"/>
      <c r="CJP29" s="128"/>
      <c r="CJQ29" s="128"/>
      <c r="CJR29" s="128"/>
      <c r="CJS29" s="128"/>
      <c r="CJT29" s="128"/>
      <c r="CJU29" s="128"/>
      <c r="CJV29" s="128"/>
      <c r="CJW29" s="128"/>
      <c r="CJX29" s="128"/>
      <c r="CJY29" s="128"/>
      <c r="CJZ29" s="128"/>
      <c r="CKA29" s="128"/>
      <c r="CKB29" s="128"/>
      <c r="CKC29" s="128"/>
      <c r="CKD29" s="128"/>
      <c r="CKE29" s="128"/>
      <c r="CKF29" s="128"/>
      <c r="CKG29" s="128"/>
      <c r="CKH29" s="128"/>
      <c r="CKI29" s="128"/>
      <c r="CKJ29" s="128"/>
      <c r="CKK29" s="128"/>
      <c r="CKL29" s="128"/>
      <c r="CKM29" s="128"/>
      <c r="CKN29" s="128"/>
      <c r="CKO29" s="128"/>
      <c r="CKP29" s="128"/>
      <c r="CKQ29" s="128"/>
      <c r="CKR29" s="128"/>
      <c r="CKS29" s="128"/>
      <c r="CKT29" s="128"/>
      <c r="CKU29" s="128"/>
      <c r="CKV29" s="128"/>
      <c r="CKW29" s="128"/>
      <c r="CKX29" s="128"/>
      <c r="CKY29" s="128"/>
      <c r="CKZ29" s="128"/>
      <c r="CLA29" s="128"/>
      <c r="CLB29" s="128"/>
      <c r="CLC29" s="128"/>
      <c r="CLD29" s="128"/>
      <c r="CLE29" s="128"/>
      <c r="CLF29" s="128"/>
      <c r="CLG29" s="128"/>
      <c r="CLH29" s="128"/>
      <c r="CLI29" s="128"/>
      <c r="CLJ29" s="128"/>
      <c r="CLK29" s="128"/>
      <c r="CLL29" s="128"/>
      <c r="CLM29" s="128"/>
      <c r="CLN29" s="128"/>
      <c r="CLO29" s="128"/>
      <c r="CLP29" s="128"/>
      <c r="CLQ29" s="128"/>
      <c r="CLR29" s="128"/>
      <c r="CLS29" s="128"/>
      <c r="CLT29" s="128"/>
      <c r="CLU29" s="128"/>
      <c r="CLV29" s="128"/>
      <c r="CLW29" s="128"/>
      <c r="CLX29" s="128"/>
      <c r="CLY29" s="128"/>
      <c r="CLZ29" s="128"/>
      <c r="CMA29" s="128"/>
      <c r="CMB29" s="128"/>
      <c r="CMC29" s="128"/>
      <c r="CMD29" s="128"/>
      <c r="CME29" s="128"/>
      <c r="CMF29" s="128"/>
      <c r="CMG29" s="128"/>
      <c r="CMH29" s="128"/>
      <c r="CMI29" s="128"/>
      <c r="CMJ29" s="128"/>
      <c r="CMK29" s="128"/>
      <c r="CML29" s="128"/>
      <c r="CMM29" s="128"/>
      <c r="CMN29" s="128"/>
      <c r="CMO29" s="128"/>
      <c r="CMP29" s="128"/>
      <c r="CMQ29" s="128"/>
      <c r="CMR29" s="128"/>
      <c r="CMS29" s="128"/>
      <c r="CMT29" s="128"/>
      <c r="CMU29" s="128"/>
      <c r="CMV29" s="128"/>
      <c r="CMW29" s="128"/>
      <c r="CMX29" s="128"/>
      <c r="CMY29" s="128"/>
      <c r="CMZ29" s="128"/>
      <c r="CNA29" s="128"/>
      <c r="CNB29" s="128"/>
      <c r="CNC29" s="128"/>
      <c r="CND29" s="128"/>
      <c r="CNE29" s="128"/>
      <c r="CNF29" s="128"/>
      <c r="CNG29" s="128"/>
      <c r="CNH29" s="128"/>
      <c r="CNI29" s="128"/>
      <c r="CNJ29" s="128"/>
      <c r="CNK29" s="128"/>
      <c r="CNL29" s="128"/>
      <c r="CNM29" s="128"/>
      <c r="CNN29" s="128"/>
      <c r="CNO29" s="128"/>
      <c r="CNP29" s="128"/>
      <c r="CNQ29" s="128"/>
      <c r="CNR29" s="128"/>
      <c r="CNS29" s="128"/>
      <c r="CNT29" s="128"/>
      <c r="CNU29" s="128"/>
      <c r="CNV29" s="128"/>
      <c r="CNW29" s="128"/>
      <c r="CNX29" s="128"/>
      <c r="CNY29" s="128"/>
      <c r="CNZ29" s="128"/>
      <c r="COA29" s="128"/>
      <c r="COB29" s="128"/>
      <c r="COC29" s="128"/>
      <c r="COD29" s="128"/>
      <c r="COE29" s="128"/>
      <c r="COF29" s="128"/>
      <c r="COG29" s="128"/>
      <c r="COH29" s="128"/>
      <c r="COI29" s="128"/>
      <c r="COJ29" s="128"/>
      <c r="COK29" s="128"/>
      <c r="COL29" s="128"/>
      <c r="COM29" s="128"/>
      <c r="CON29" s="128"/>
      <c r="COO29" s="128"/>
      <c r="COP29" s="128"/>
      <c r="COQ29" s="128"/>
      <c r="COR29" s="128"/>
      <c r="COS29" s="128"/>
      <c r="COT29" s="128"/>
      <c r="COU29" s="128"/>
      <c r="COV29" s="128"/>
      <c r="COW29" s="128"/>
      <c r="COX29" s="128"/>
      <c r="COY29" s="128"/>
      <c r="COZ29" s="128"/>
      <c r="CPA29" s="128"/>
      <c r="CPB29" s="128"/>
      <c r="CPC29" s="128"/>
      <c r="CPD29" s="128"/>
      <c r="CPE29" s="128"/>
      <c r="CPF29" s="128"/>
      <c r="CPG29" s="128"/>
      <c r="CPH29" s="128"/>
      <c r="CPI29" s="128"/>
      <c r="CPJ29" s="128"/>
      <c r="CPK29" s="128"/>
      <c r="CPL29" s="128"/>
      <c r="CPM29" s="128"/>
      <c r="CPN29" s="128"/>
      <c r="CPO29" s="128"/>
      <c r="CPP29" s="128"/>
      <c r="CPQ29" s="128"/>
      <c r="CPR29" s="128"/>
      <c r="CPS29" s="128"/>
      <c r="CPT29" s="128"/>
      <c r="CPU29" s="128"/>
      <c r="CPV29" s="128"/>
      <c r="CPW29" s="128"/>
      <c r="CPX29" s="128"/>
      <c r="CPY29" s="128"/>
      <c r="CPZ29" s="128"/>
      <c r="CQA29" s="128"/>
      <c r="CQB29" s="128"/>
      <c r="CQC29" s="128"/>
      <c r="CQD29" s="128"/>
      <c r="CQE29" s="128"/>
      <c r="CQF29" s="128"/>
      <c r="CQG29" s="128"/>
      <c r="CQH29" s="128"/>
      <c r="CQI29" s="128"/>
      <c r="CQJ29" s="128"/>
      <c r="CQK29" s="128"/>
      <c r="CQL29" s="128"/>
      <c r="CQM29" s="128"/>
      <c r="CQN29" s="128"/>
      <c r="CQO29" s="128"/>
      <c r="CQP29" s="128"/>
      <c r="CQQ29" s="128"/>
      <c r="CQR29" s="128"/>
      <c r="CQS29" s="128"/>
      <c r="CQT29" s="128"/>
      <c r="CQU29" s="128"/>
      <c r="CQV29" s="128"/>
      <c r="CQW29" s="128"/>
      <c r="CQX29" s="128"/>
      <c r="CQY29" s="128"/>
      <c r="CQZ29" s="128"/>
      <c r="CRA29" s="128"/>
      <c r="CRB29" s="128"/>
      <c r="CRC29" s="128"/>
      <c r="CRD29" s="128"/>
      <c r="CRE29" s="128"/>
      <c r="CRF29" s="128"/>
      <c r="CRG29" s="128"/>
      <c r="CRH29" s="128"/>
      <c r="CRI29" s="128"/>
      <c r="CRJ29" s="128"/>
      <c r="CRK29" s="128"/>
      <c r="CRL29" s="128"/>
      <c r="CRM29" s="128"/>
      <c r="CRN29" s="128"/>
      <c r="CRO29" s="128"/>
      <c r="CRP29" s="128"/>
      <c r="CRQ29" s="128"/>
      <c r="CRR29" s="128"/>
      <c r="CRS29" s="128"/>
      <c r="CRT29" s="128"/>
      <c r="CRU29" s="128"/>
      <c r="CRV29" s="128"/>
      <c r="CRW29" s="128"/>
      <c r="CRX29" s="128"/>
      <c r="CRY29" s="128"/>
      <c r="CRZ29" s="128"/>
      <c r="CSA29" s="128"/>
      <c r="CSB29" s="128"/>
      <c r="CSC29" s="128"/>
      <c r="CSD29" s="128"/>
      <c r="CSE29" s="128"/>
      <c r="CSF29" s="128"/>
      <c r="CSG29" s="128"/>
      <c r="CSH29" s="128"/>
      <c r="CSI29" s="128"/>
      <c r="CSJ29" s="128"/>
      <c r="CSK29" s="128"/>
      <c r="CSL29" s="128"/>
      <c r="CSM29" s="128"/>
      <c r="CSN29" s="128"/>
      <c r="CSO29" s="128"/>
      <c r="CSP29" s="128"/>
      <c r="CSQ29" s="128"/>
      <c r="CSR29" s="128"/>
      <c r="CSS29" s="128"/>
      <c r="CST29" s="128"/>
      <c r="CSU29" s="128"/>
      <c r="CSV29" s="128"/>
      <c r="CSW29" s="128"/>
      <c r="CSX29" s="128"/>
      <c r="CSY29" s="128"/>
      <c r="CSZ29" s="128"/>
      <c r="CTA29" s="128"/>
      <c r="CTB29" s="128"/>
      <c r="CTC29" s="128"/>
      <c r="CTD29" s="128"/>
      <c r="CTE29" s="128"/>
      <c r="CTF29" s="128"/>
      <c r="CTG29" s="128"/>
      <c r="CTH29" s="128"/>
      <c r="CTI29" s="128"/>
      <c r="CTJ29" s="128"/>
      <c r="CTK29" s="128"/>
      <c r="CTL29" s="128"/>
      <c r="CTM29" s="128"/>
      <c r="CTN29" s="128"/>
      <c r="CTO29" s="128"/>
      <c r="CTP29" s="128"/>
      <c r="CTQ29" s="128"/>
      <c r="CTR29" s="128"/>
      <c r="CTS29" s="128"/>
      <c r="CTT29" s="128"/>
      <c r="CTU29" s="128"/>
      <c r="CTV29" s="128"/>
      <c r="CTW29" s="128"/>
      <c r="CTX29" s="128"/>
      <c r="CTY29" s="128"/>
      <c r="CTZ29" s="128"/>
      <c r="CUA29" s="128"/>
      <c r="CUB29" s="128"/>
      <c r="CUC29" s="128"/>
      <c r="CUD29" s="128"/>
      <c r="CUE29" s="128"/>
      <c r="CUF29" s="128"/>
      <c r="CUG29" s="128"/>
      <c r="CUH29" s="128"/>
      <c r="CUI29" s="128"/>
      <c r="CUJ29" s="128"/>
      <c r="CUK29" s="128"/>
      <c r="CUL29" s="128"/>
      <c r="CUM29" s="128"/>
      <c r="CUN29" s="128"/>
      <c r="CUO29" s="128"/>
      <c r="CUP29" s="128"/>
      <c r="CUQ29" s="128"/>
      <c r="CUR29" s="128"/>
      <c r="CUS29" s="128"/>
      <c r="CUT29" s="128"/>
      <c r="CUU29" s="128"/>
      <c r="CUV29" s="128"/>
      <c r="CUW29" s="128"/>
      <c r="CUX29" s="128"/>
      <c r="CUY29" s="128"/>
      <c r="CUZ29" s="128"/>
      <c r="CVA29" s="128"/>
      <c r="CVB29" s="128"/>
      <c r="CVC29" s="128"/>
      <c r="CVD29" s="128"/>
      <c r="CVE29" s="128"/>
      <c r="CVF29" s="128"/>
      <c r="CVG29" s="128"/>
      <c r="CVH29" s="128"/>
      <c r="CVI29" s="128"/>
      <c r="CVJ29" s="128"/>
      <c r="CVK29" s="128"/>
      <c r="CVL29" s="128"/>
      <c r="CVM29" s="128"/>
      <c r="CVN29" s="128"/>
      <c r="CVO29" s="128"/>
      <c r="CVP29" s="128"/>
      <c r="CVQ29" s="128"/>
      <c r="CVR29" s="128"/>
      <c r="CVS29" s="128"/>
      <c r="CVT29" s="128"/>
      <c r="CVU29" s="128"/>
      <c r="CVV29" s="128"/>
      <c r="CVW29" s="128"/>
      <c r="CVX29" s="128"/>
      <c r="CVY29" s="128"/>
      <c r="CVZ29" s="128"/>
      <c r="CWA29" s="128"/>
      <c r="CWB29" s="128"/>
      <c r="CWC29" s="128"/>
      <c r="CWD29" s="128"/>
      <c r="CWE29" s="128"/>
      <c r="CWF29" s="128"/>
      <c r="CWG29" s="128"/>
      <c r="CWH29" s="128"/>
      <c r="CWI29" s="128"/>
      <c r="CWJ29" s="128"/>
      <c r="CWK29" s="128"/>
      <c r="CWL29" s="128"/>
      <c r="CWM29" s="128"/>
      <c r="CWN29" s="128"/>
      <c r="CWO29" s="128"/>
      <c r="CWP29" s="128"/>
      <c r="CWQ29" s="128"/>
      <c r="CWR29" s="128"/>
      <c r="CWS29" s="128"/>
      <c r="CWT29" s="128"/>
      <c r="CWU29" s="128"/>
      <c r="CWV29" s="128"/>
      <c r="CWW29" s="128"/>
      <c r="CWX29" s="128"/>
      <c r="CWY29" s="128"/>
      <c r="CWZ29" s="128"/>
      <c r="CXA29" s="128"/>
      <c r="CXB29" s="128"/>
      <c r="CXC29" s="128"/>
      <c r="CXD29" s="128"/>
      <c r="CXE29" s="128"/>
      <c r="CXF29" s="128"/>
      <c r="CXG29" s="128"/>
      <c r="CXH29" s="128"/>
      <c r="CXI29" s="128"/>
      <c r="CXJ29" s="128"/>
      <c r="CXK29" s="128"/>
      <c r="CXL29" s="128"/>
      <c r="CXM29" s="128"/>
      <c r="CXN29" s="128"/>
      <c r="CXO29" s="128"/>
      <c r="CXP29" s="128"/>
      <c r="CXQ29" s="128"/>
      <c r="CXR29" s="128"/>
      <c r="CXS29" s="128"/>
      <c r="CXT29" s="128"/>
      <c r="CXU29" s="128"/>
      <c r="CXV29" s="128"/>
      <c r="CXW29" s="128"/>
      <c r="CXX29" s="128"/>
      <c r="CXY29" s="128"/>
      <c r="CXZ29" s="128"/>
      <c r="CYA29" s="128"/>
      <c r="CYB29" s="128"/>
      <c r="CYC29" s="128"/>
      <c r="CYD29" s="128"/>
      <c r="CYE29" s="128"/>
      <c r="CYF29" s="128"/>
      <c r="CYG29" s="128"/>
      <c r="CYH29" s="128"/>
      <c r="CYI29" s="128"/>
      <c r="CYJ29" s="128"/>
      <c r="CYK29" s="128"/>
      <c r="CYL29" s="128"/>
      <c r="CYM29" s="128"/>
      <c r="CYN29" s="128"/>
      <c r="CYO29" s="128"/>
      <c r="CYP29" s="128"/>
      <c r="CYQ29" s="128"/>
      <c r="CYR29" s="128"/>
      <c r="CYS29" s="128"/>
      <c r="CYT29" s="128"/>
      <c r="CYU29" s="128"/>
      <c r="CYV29" s="128"/>
      <c r="CYW29" s="128"/>
      <c r="CYX29" s="128"/>
      <c r="CYY29" s="128"/>
      <c r="CYZ29" s="128"/>
      <c r="CZA29" s="128"/>
      <c r="CZB29" s="128"/>
      <c r="CZC29" s="128"/>
      <c r="CZD29" s="128"/>
      <c r="CZE29" s="128"/>
      <c r="CZF29" s="128"/>
      <c r="CZG29" s="128"/>
      <c r="CZH29" s="128"/>
      <c r="CZI29" s="128"/>
      <c r="CZJ29" s="128"/>
      <c r="CZK29" s="128"/>
      <c r="CZL29" s="128"/>
      <c r="CZM29" s="128"/>
      <c r="CZN29" s="128"/>
      <c r="CZO29" s="128"/>
      <c r="CZP29" s="128"/>
      <c r="CZQ29" s="128"/>
      <c r="CZR29" s="128"/>
      <c r="CZS29" s="128"/>
      <c r="CZT29" s="128"/>
      <c r="CZU29" s="128"/>
      <c r="CZV29" s="128"/>
      <c r="CZW29" s="128"/>
      <c r="CZX29" s="128"/>
      <c r="CZY29" s="128"/>
      <c r="CZZ29" s="128"/>
      <c r="DAA29" s="128"/>
      <c r="DAB29" s="128"/>
      <c r="DAC29" s="128"/>
      <c r="DAD29" s="128"/>
      <c r="DAE29" s="128"/>
      <c r="DAF29" s="128"/>
      <c r="DAG29" s="128"/>
      <c r="DAH29" s="128"/>
      <c r="DAI29" s="128"/>
      <c r="DAJ29" s="128"/>
      <c r="DAK29" s="128"/>
      <c r="DAL29" s="128"/>
      <c r="DAM29" s="128"/>
      <c r="DAN29" s="128"/>
      <c r="DAO29" s="128"/>
      <c r="DAP29" s="128"/>
      <c r="DAQ29" s="128"/>
      <c r="DAR29" s="128"/>
      <c r="DAS29" s="128"/>
      <c r="DAT29" s="128"/>
      <c r="DAU29" s="128"/>
      <c r="DAV29" s="128"/>
      <c r="DAW29" s="128"/>
      <c r="DAX29" s="128"/>
      <c r="DAY29" s="128"/>
      <c r="DAZ29" s="128"/>
      <c r="DBA29" s="128"/>
      <c r="DBB29" s="128"/>
      <c r="DBC29" s="128"/>
      <c r="DBD29" s="128"/>
      <c r="DBE29" s="128"/>
      <c r="DBF29" s="128"/>
      <c r="DBG29" s="128"/>
      <c r="DBH29" s="128"/>
      <c r="DBI29" s="128"/>
      <c r="DBJ29" s="128"/>
      <c r="DBK29" s="128"/>
      <c r="DBL29" s="128"/>
      <c r="DBM29" s="128"/>
      <c r="DBN29" s="128"/>
      <c r="DBO29" s="128"/>
      <c r="DBP29" s="128"/>
      <c r="DBQ29" s="128"/>
      <c r="DBR29" s="128"/>
      <c r="DBS29" s="128"/>
      <c r="DBT29" s="128"/>
      <c r="DBU29" s="128"/>
      <c r="DBV29" s="128"/>
      <c r="DBW29" s="128"/>
      <c r="DBX29" s="128"/>
      <c r="DBY29" s="128"/>
      <c r="DBZ29" s="128"/>
      <c r="DCA29" s="128"/>
      <c r="DCB29" s="128"/>
      <c r="DCC29" s="128"/>
      <c r="DCD29" s="128"/>
      <c r="DCE29" s="128"/>
      <c r="DCF29" s="128"/>
      <c r="DCG29" s="128"/>
      <c r="DCH29" s="128"/>
      <c r="DCI29" s="128"/>
      <c r="DCJ29" s="128"/>
      <c r="DCK29" s="128"/>
      <c r="DCL29" s="128"/>
      <c r="DCM29" s="128"/>
      <c r="DCN29" s="128"/>
      <c r="DCO29" s="128"/>
      <c r="DCP29" s="128"/>
      <c r="DCQ29" s="128"/>
      <c r="DCR29" s="128"/>
      <c r="DCS29" s="128"/>
      <c r="DCT29" s="128"/>
      <c r="DCU29" s="128"/>
      <c r="DCV29" s="128"/>
      <c r="DCW29" s="128"/>
      <c r="DCX29" s="128"/>
      <c r="DCY29" s="128"/>
      <c r="DCZ29" s="128"/>
      <c r="DDA29" s="128"/>
      <c r="DDB29" s="128"/>
      <c r="DDC29" s="128"/>
      <c r="DDD29" s="128"/>
      <c r="DDE29" s="128"/>
      <c r="DDF29" s="128"/>
      <c r="DDG29" s="128"/>
      <c r="DDH29" s="128"/>
      <c r="DDI29" s="128"/>
      <c r="DDJ29" s="128"/>
      <c r="DDK29" s="128"/>
      <c r="DDL29" s="128"/>
      <c r="DDM29" s="128"/>
      <c r="DDN29" s="128"/>
      <c r="DDO29" s="128"/>
      <c r="DDP29" s="128"/>
      <c r="DDQ29" s="128"/>
      <c r="DDR29" s="128"/>
      <c r="DDS29" s="128"/>
      <c r="DDT29" s="128"/>
      <c r="DDU29" s="128"/>
      <c r="DDV29" s="128"/>
      <c r="DDW29" s="128"/>
      <c r="DDX29" s="128"/>
      <c r="DDY29" s="128"/>
      <c r="DDZ29" s="128"/>
      <c r="DEA29" s="128"/>
      <c r="DEB29" s="128"/>
      <c r="DEC29" s="128"/>
      <c r="DED29" s="128"/>
      <c r="DEE29" s="128"/>
      <c r="DEF29" s="128"/>
      <c r="DEG29" s="128"/>
      <c r="DEH29" s="128"/>
      <c r="DEI29" s="128"/>
      <c r="DEJ29" s="128"/>
      <c r="DEK29" s="128"/>
      <c r="DEL29" s="128"/>
      <c r="DEM29" s="128"/>
      <c r="DEN29" s="128"/>
      <c r="DEO29" s="128"/>
      <c r="DEP29" s="128"/>
      <c r="DEQ29" s="128"/>
      <c r="DER29" s="128"/>
      <c r="DES29" s="128"/>
      <c r="DET29" s="128"/>
      <c r="DEU29" s="128"/>
      <c r="DEV29" s="128"/>
      <c r="DEW29" s="128"/>
      <c r="DEX29" s="128"/>
      <c r="DEY29" s="128"/>
      <c r="DEZ29" s="128"/>
      <c r="DFA29" s="128"/>
      <c r="DFB29" s="128"/>
      <c r="DFC29" s="128"/>
      <c r="DFD29" s="128"/>
      <c r="DFE29" s="128"/>
      <c r="DFF29" s="128"/>
      <c r="DFG29" s="128"/>
      <c r="DFH29" s="128"/>
      <c r="DFI29" s="128"/>
      <c r="DFJ29" s="128"/>
      <c r="DFK29" s="128"/>
      <c r="DFL29" s="128"/>
      <c r="DFM29" s="128"/>
      <c r="DFN29" s="128"/>
      <c r="DFO29" s="128"/>
      <c r="DFP29" s="128"/>
      <c r="DFQ29" s="128"/>
      <c r="DFR29" s="128"/>
      <c r="DFS29" s="128"/>
      <c r="DFT29" s="128"/>
      <c r="DFU29" s="128"/>
      <c r="DFV29" s="128"/>
      <c r="DFW29" s="128"/>
      <c r="DFX29" s="128"/>
      <c r="DFY29" s="128"/>
      <c r="DFZ29" s="128"/>
      <c r="DGA29" s="128"/>
      <c r="DGB29" s="128"/>
      <c r="DGC29" s="128"/>
      <c r="DGD29" s="128"/>
      <c r="DGE29" s="128"/>
      <c r="DGF29" s="128"/>
      <c r="DGG29" s="128"/>
      <c r="DGH29" s="128"/>
      <c r="DGI29" s="128"/>
      <c r="DGJ29" s="128"/>
      <c r="DGK29" s="128"/>
      <c r="DGL29" s="128"/>
      <c r="DGM29" s="128"/>
      <c r="DGN29" s="128"/>
      <c r="DGO29" s="128"/>
      <c r="DGP29" s="128"/>
      <c r="DGQ29" s="128"/>
      <c r="DGR29" s="128"/>
      <c r="DGS29" s="128"/>
      <c r="DGT29" s="128"/>
      <c r="DGU29" s="128"/>
      <c r="DGV29" s="128"/>
      <c r="DGW29" s="128"/>
      <c r="DGX29" s="128"/>
      <c r="DGY29" s="128"/>
      <c r="DGZ29" s="128"/>
      <c r="DHA29" s="128"/>
      <c r="DHB29" s="128"/>
      <c r="DHC29" s="128"/>
      <c r="DHD29" s="128"/>
      <c r="DHE29" s="128"/>
      <c r="DHF29" s="128"/>
      <c r="DHG29" s="128"/>
      <c r="DHH29" s="128"/>
      <c r="DHI29" s="128"/>
      <c r="DHJ29" s="128"/>
      <c r="DHK29" s="128"/>
      <c r="DHL29" s="128"/>
      <c r="DHM29" s="128"/>
      <c r="DHN29" s="128"/>
      <c r="DHO29" s="128"/>
      <c r="DHP29" s="128"/>
      <c r="DHQ29" s="128"/>
      <c r="DHR29" s="128"/>
      <c r="DHS29" s="128"/>
      <c r="DHT29" s="128"/>
      <c r="DHU29" s="128"/>
      <c r="DHV29" s="128"/>
      <c r="DHW29" s="128"/>
      <c r="DHX29" s="128"/>
      <c r="DHY29" s="128"/>
      <c r="DHZ29" s="128"/>
      <c r="DIA29" s="128"/>
      <c r="DIB29" s="128"/>
      <c r="DIC29" s="128"/>
    </row>
    <row r="30" spans="1:2941" s="154" customFormat="1" ht="12" x14ac:dyDescent="0.2">
      <c r="A30" s="156" t="s">
        <v>203</v>
      </c>
      <c r="B30" s="156" t="s">
        <v>166</v>
      </c>
      <c r="C30" s="157" t="s">
        <v>199</v>
      </c>
      <c r="D30" s="157" t="s">
        <v>200</v>
      </c>
      <c r="E30" s="157" t="s">
        <v>201</v>
      </c>
      <c r="F30" s="157" t="s">
        <v>11</v>
      </c>
      <c r="G30" s="157" t="s">
        <v>136</v>
      </c>
      <c r="H30" s="234">
        <v>57800</v>
      </c>
      <c r="I30" s="147" t="s">
        <v>11</v>
      </c>
      <c r="J30" s="147" t="s">
        <v>155</v>
      </c>
      <c r="K30" s="147" t="s">
        <v>147</v>
      </c>
      <c r="L30" s="147" t="s">
        <v>138</v>
      </c>
      <c r="M30" s="147" t="s">
        <v>147</v>
      </c>
      <c r="N30" s="147" t="s">
        <v>11</v>
      </c>
      <c r="O30" s="192" t="s">
        <v>139</v>
      </c>
      <c r="P30" s="190" t="s">
        <v>140</v>
      </c>
      <c r="Q30" s="190" t="s">
        <v>11</v>
      </c>
      <c r="R30" s="190" t="s">
        <v>148</v>
      </c>
      <c r="S30" s="190" t="s">
        <v>148</v>
      </c>
      <c r="T30" s="190" t="s">
        <v>140</v>
      </c>
      <c r="U30" s="190" t="s">
        <v>140</v>
      </c>
      <c r="V30" s="190" t="s">
        <v>11</v>
      </c>
      <c r="W30" s="190" t="s">
        <v>140</v>
      </c>
      <c r="X30" s="190" t="s">
        <v>140</v>
      </c>
      <c r="Y30" s="190" t="s">
        <v>140</v>
      </c>
      <c r="Z30" s="190" t="s">
        <v>140</v>
      </c>
      <c r="AA30" s="190" t="s">
        <v>140</v>
      </c>
      <c r="AB30" s="190" t="s">
        <v>140</v>
      </c>
      <c r="AC30" s="190" t="s">
        <v>11</v>
      </c>
      <c r="AD30" s="190" t="s">
        <v>11</v>
      </c>
      <c r="AE30" s="190" t="s">
        <v>140</v>
      </c>
      <c r="AF30" s="190" t="s">
        <v>140</v>
      </c>
      <c r="AG30" s="190" t="s">
        <v>140</v>
      </c>
      <c r="AH30" s="278">
        <v>11</v>
      </c>
      <c r="AI30" s="278" t="s">
        <v>147</v>
      </c>
      <c r="AJ30" s="196"/>
      <c r="AK30" s="190" t="s">
        <v>140</v>
      </c>
      <c r="AL30" s="190" t="s">
        <v>140</v>
      </c>
      <c r="AM30" s="249"/>
      <c r="AN30" s="190" t="s">
        <v>11</v>
      </c>
      <c r="AO30" s="207" t="s">
        <v>140</v>
      </c>
      <c r="AP30" s="207" t="s">
        <v>140</v>
      </c>
      <c r="AQ30" s="207" t="s">
        <v>140</v>
      </c>
      <c r="AR30" s="207" t="s">
        <v>140</v>
      </c>
      <c r="AS30" s="190" t="s">
        <v>140</v>
      </c>
      <c r="AT30" s="190" t="s">
        <v>11</v>
      </c>
      <c r="AU30" s="190" t="s">
        <v>140</v>
      </c>
      <c r="AV30" s="190" t="s">
        <v>148</v>
      </c>
      <c r="AW30" s="204" t="s">
        <v>140</v>
      </c>
      <c r="AX30" s="204"/>
      <c r="AY30" s="204"/>
      <c r="AZ30" s="204"/>
      <c r="BA30" s="204"/>
      <c r="BB30" s="190" t="s">
        <v>140</v>
      </c>
      <c r="BC30" s="190"/>
      <c r="BD30" s="207"/>
      <c r="BE30" s="207"/>
      <c r="BF30" s="207"/>
      <c r="BG30" s="243"/>
      <c r="BH30" s="190" t="s">
        <v>204</v>
      </c>
      <c r="BI30" s="190" t="s">
        <v>205</v>
      </c>
      <c r="BJ30" s="190" t="s">
        <v>206</v>
      </c>
      <c r="BK30" s="190" t="s">
        <v>207</v>
      </c>
      <c r="BL30" s="190" t="s">
        <v>140</v>
      </c>
      <c r="BM30" s="190" t="s">
        <v>140</v>
      </c>
      <c r="BN30" s="190" t="s">
        <v>208</v>
      </c>
      <c r="BO30" s="190" t="s">
        <v>140</v>
      </c>
      <c r="BP30" s="190" t="s">
        <v>140</v>
      </c>
      <c r="BQ30" s="243"/>
      <c r="BR30" s="190" t="s">
        <v>141</v>
      </c>
      <c r="BS30" s="190" t="s">
        <v>141</v>
      </c>
      <c r="BT30" s="190" t="s">
        <v>141</v>
      </c>
      <c r="BU30" s="190" t="s">
        <v>141</v>
      </c>
      <c r="BV30" s="190" t="s">
        <v>141</v>
      </c>
      <c r="BW30" s="190" t="s">
        <v>141</v>
      </c>
      <c r="BX30" s="190" t="s">
        <v>11</v>
      </c>
      <c r="BY30" s="190" t="s">
        <v>141</v>
      </c>
      <c r="BZ30" s="190" t="s">
        <v>141</v>
      </c>
      <c r="CA30" s="190" t="s">
        <v>11</v>
      </c>
      <c r="CB30" s="190" t="s">
        <v>141</v>
      </c>
      <c r="CC30" s="243"/>
      <c r="CD30" s="190" t="s">
        <v>141</v>
      </c>
      <c r="CE30" s="190" t="s">
        <v>141</v>
      </c>
      <c r="CF30" s="190" t="s">
        <v>141</v>
      </c>
      <c r="CG30" s="190" t="s">
        <v>141</v>
      </c>
      <c r="CH30" s="190" t="s">
        <v>141</v>
      </c>
      <c r="CI30" s="190" t="s">
        <v>141</v>
      </c>
      <c r="CJ30" s="190" t="s">
        <v>141</v>
      </c>
      <c r="CK30" s="190" t="s">
        <v>11</v>
      </c>
      <c r="CL30" s="190" t="s">
        <v>141</v>
      </c>
      <c r="CM30" s="190" t="s">
        <v>141</v>
      </c>
      <c r="CN30" s="190" t="s">
        <v>141</v>
      </c>
      <c r="CO30" s="222"/>
      <c r="CP30" s="197" t="s">
        <v>140</v>
      </c>
      <c r="CQ30" s="197" t="s">
        <v>140</v>
      </c>
      <c r="CR30" s="197" t="s">
        <v>11</v>
      </c>
      <c r="CS30" s="197" t="s">
        <v>147</v>
      </c>
      <c r="CT30" s="209" t="s">
        <v>209</v>
      </c>
      <c r="CU30" s="197" t="s">
        <v>140</v>
      </c>
      <c r="CV30" s="197" t="s">
        <v>140</v>
      </c>
      <c r="CW30" s="206"/>
      <c r="CX30" s="197" t="s">
        <v>11</v>
      </c>
      <c r="CY30" s="197" t="s">
        <v>11</v>
      </c>
      <c r="CZ30" s="197" t="s">
        <v>11</v>
      </c>
      <c r="DA30" s="197" t="s">
        <v>11</v>
      </c>
      <c r="DB30" s="197" t="s">
        <v>11</v>
      </c>
      <c r="DC30" s="197" t="s">
        <v>11</v>
      </c>
      <c r="DD30" s="197" t="s">
        <v>11</v>
      </c>
      <c r="DE30" s="249"/>
      <c r="DF30" s="190" t="s">
        <v>11</v>
      </c>
      <c r="DG30" s="241"/>
      <c r="DH30" s="241"/>
      <c r="DI30" s="242"/>
      <c r="DJ30" s="242"/>
      <c r="DK30" s="128"/>
      <c r="DL30" s="128"/>
      <c r="DM30" s="128"/>
      <c r="DN30" s="128"/>
      <c r="DO30" s="128"/>
      <c r="DP30" s="128"/>
      <c r="DQ30" s="128"/>
      <c r="DR30" s="128"/>
      <c r="DS30" s="128"/>
      <c r="DT30" s="128"/>
      <c r="DU30" s="128"/>
      <c r="DV30" s="128"/>
      <c r="DW30" s="128"/>
      <c r="DX30" s="128"/>
      <c r="DY30" s="128"/>
      <c r="DZ30" s="128"/>
      <c r="EA30" s="128"/>
      <c r="EB30" s="128"/>
      <c r="EC30" s="128"/>
      <c r="ED30" s="128"/>
      <c r="EE30" s="128"/>
      <c r="EF30" s="128"/>
      <c r="EG30" s="128"/>
      <c r="EH30" s="128"/>
      <c r="EI30" s="128"/>
      <c r="EJ30" s="128"/>
      <c r="EK30" s="128"/>
      <c r="EL30" s="128"/>
      <c r="EM30" s="128"/>
      <c r="EN30" s="128"/>
      <c r="EO30" s="128"/>
      <c r="EP30" s="128"/>
      <c r="EQ30" s="128"/>
      <c r="ER30" s="128"/>
      <c r="ES30" s="128"/>
      <c r="ET30" s="128"/>
      <c r="EU30" s="128"/>
      <c r="EV30" s="128"/>
      <c r="EW30" s="128"/>
      <c r="EX30" s="128"/>
      <c r="EY30" s="128"/>
      <c r="EZ30" s="128"/>
      <c r="FA30" s="128"/>
      <c r="FB30" s="128"/>
      <c r="FC30" s="128"/>
      <c r="FD30" s="128"/>
      <c r="FE30" s="128"/>
      <c r="FF30" s="128"/>
      <c r="FG30" s="128"/>
      <c r="FH30" s="128"/>
      <c r="FI30" s="128"/>
      <c r="FJ30" s="128"/>
      <c r="FK30" s="128"/>
      <c r="FL30" s="128"/>
      <c r="FM30" s="128"/>
      <c r="FN30" s="128"/>
      <c r="FO30" s="128"/>
      <c r="FP30" s="128"/>
      <c r="FQ30" s="128"/>
      <c r="FR30" s="128"/>
      <c r="FS30" s="128"/>
      <c r="FT30" s="128"/>
      <c r="FU30" s="128"/>
      <c r="FV30" s="128"/>
      <c r="FW30" s="128"/>
      <c r="FX30" s="128"/>
      <c r="FY30" s="128"/>
      <c r="FZ30" s="128"/>
      <c r="GA30" s="128"/>
      <c r="GB30" s="128"/>
      <c r="GC30" s="128"/>
      <c r="GD30" s="128"/>
      <c r="GE30" s="128"/>
      <c r="GF30" s="128"/>
      <c r="GG30" s="128"/>
      <c r="GH30" s="128"/>
      <c r="GI30" s="128"/>
      <c r="GJ30" s="128"/>
      <c r="GK30" s="128"/>
      <c r="GL30" s="128"/>
      <c r="GM30" s="128"/>
      <c r="GN30" s="128"/>
      <c r="GO30" s="128"/>
      <c r="GP30" s="128"/>
      <c r="GQ30" s="128"/>
      <c r="GR30" s="128"/>
      <c r="GS30" s="128"/>
      <c r="GT30" s="128"/>
      <c r="GU30" s="128"/>
      <c r="GV30" s="128"/>
      <c r="GW30" s="128"/>
      <c r="GX30" s="128"/>
      <c r="GY30" s="128"/>
      <c r="GZ30" s="128"/>
      <c r="HA30" s="128"/>
      <c r="HB30" s="128"/>
      <c r="HC30" s="128"/>
      <c r="HD30" s="128"/>
      <c r="HE30" s="128"/>
      <c r="HF30" s="128"/>
      <c r="HG30" s="128"/>
      <c r="HH30" s="128"/>
      <c r="HI30" s="128"/>
      <c r="HJ30" s="128"/>
      <c r="HK30" s="128"/>
      <c r="HL30" s="128"/>
      <c r="HM30" s="128"/>
      <c r="HN30" s="128"/>
      <c r="HO30" s="128"/>
      <c r="HP30" s="128"/>
      <c r="HQ30" s="128"/>
      <c r="HR30" s="128"/>
      <c r="HS30" s="128"/>
      <c r="HT30" s="128"/>
      <c r="HU30" s="128"/>
      <c r="HV30" s="128"/>
      <c r="HW30" s="128"/>
      <c r="HX30" s="128"/>
      <c r="HY30" s="128"/>
      <c r="HZ30" s="128"/>
      <c r="IA30" s="128"/>
      <c r="IB30" s="128"/>
      <c r="IC30" s="128"/>
      <c r="ID30" s="128"/>
      <c r="IE30" s="128"/>
      <c r="IF30" s="128"/>
      <c r="IG30" s="128"/>
      <c r="IH30" s="128"/>
      <c r="II30" s="128"/>
      <c r="IJ30" s="128"/>
      <c r="IK30" s="128"/>
      <c r="IL30" s="128"/>
      <c r="IM30" s="128"/>
      <c r="IN30" s="128"/>
      <c r="IO30" s="128"/>
      <c r="IP30" s="128"/>
      <c r="IQ30" s="128"/>
      <c r="IR30" s="128"/>
      <c r="IS30" s="128"/>
      <c r="IT30" s="128"/>
      <c r="IU30" s="128"/>
      <c r="IV30" s="128"/>
      <c r="IW30" s="128"/>
      <c r="IX30" s="128"/>
      <c r="IY30" s="128"/>
      <c r="IZ30" s="128"/>
      <c r="JA30" s="128"/>
      <c r="JB30" s="128"/>
      <c r="JC30" s="128"/>
      <c r="JD30" s="128"/>
      <c r="JE30" s="128"/>
      <c r="JF30" s="128"/>
      <c r="JG30" s="128"/>
      <c r="JH30" s="128"/>
      <c r="JI30" s="128"/>
      <c r="JJ30" s="128"/>
      <c r="JK30" s="128"/>
      <c r="JL30" s="128"/>
      <c r="JM30" s="128"/>
      <c r="JN30" s="128"/>
      <c r="JO30" s="128"/>
      <c r="JP30" s="128"/>
      <c r="JQ30" s="128"/>
      <c r="JR30" s="128"/>
      <c r="JS30" s="128"/>
      <c r="JT30" s="128"/>
      <c r="JU30" s="128"/>
      <c r="JV30" s="128"/>
      <c r="JW30" s="128"/>
      <c r="JX30" s="128"/>
      <c r="JY30" s="128"/>
      <c r="JZ30" s="128"/>
      <c r="KA30" s="128"/>
      <c r="KB30" s="128"/>
      <c r="KC30" s="128"/>
      <c r="KD30" s="128"/>
      <c r="KE30" s="128"/>
      <c r="KF30" s="128"/>
      <c r="KG30" s="128"/>
      <c r="KH30" s="128"/>
      <c r="KI30" s="128"/>
      <c r="KJ30" s="128"/>
      <c r="KK30" s="128"/>
      <c r="KL30" s="128"/>
      <c r="KM30" s="128"/>
      <c r="KN30" s="128"/>
      <c r="KO30" s="128"/>
      <c r="KP30" s="128"/>
      <c r="KQ30" s="128"/>
      <c r="KR30" s="128"/>
      <c r="KS30" s="128"/>
      <c r="KT30" s="128"/>
      <c r="KU30" s="128"/>
      <c r="KV30" s="128"/>
      <c r="KW30" s="128"/>
      <c r="KX30" s="128"/>
      <c r="KY30" s="128"/>
      <c r="KZ30" s="128"/>
      <c r="LA30" s="128"/>
      <c r="LB30" s="128"/>
      <c r="LC30" s="128"/>
      <c r="LD30" s="128"/>
      <c r="LE30" s="128"/>
      <c r="LF30" s="128"/>
      <c r="LG30" s="128"/>
      <c r="LH30" s="128"/>
      <c r="LI30" s="128"/>
      <c r="LJ30" s="128"/>
      <c r="LK30" s="128"/>
      <c r="LL30" s="128"/>
      <c r="LM30" s="128"/>
      <c r="LN30" s="128"/>
      <c r="LO30" s="128"/>
      <c r="LP30" s="128"/>
      <c r="LQ30" s="128"/>
      <c r="LR30" s="128"/>
      <c r="LS30" s="128"/>
      <c r="LT30" s="128"/>
      <c r="LU30" s="128"/>
      <c r="LV30" s="128"/>
      <c r="LW30" s="128"/>
      <c r="LX30" s="128"/>
      <c r="LY30" s="128"/>
      <c r="LZ30" s="128"/>
      <c r="MA30" s="128"/>
      <c r="MB30" s="128"/>
      <c r="MC30" s="128"/>
      <c r="MD30" s="128"/>
      <c r="ME30" s="128"/>
      <c r="MF30" s="128"/>
      <c r="MG30" s="128"/>
      <c r="MH30" s="128"/>
      <c r="MI30" s="128"/>
      <c r="MJ30" s="128"/>
      <c r="MK30" s="128"/>
      <c r="ML30" s="128"/>
      <c r="MM30" s="128"/>
      <c r="MN30" s="128"/>
      <c r="MO30" s="128"/>
      <c r="MP30" s="128"/>
      <c r="MQ30" s="128"/>
      <c r="MR30" s="128"/>
      <c r="MS30" s="128"/>
      <c r="MT30" s="128"/>
      <c r="MU30" s="128"/>
      <c r="MV30" s="128"/>
      <c r="MW30" s="128"/>
      <c r="MX30" s="128"/>
      <c r="MY30" s="128"/>
      <c r="MZ30" s="128"/>
      <c r="NA30" s="128"/>
      <c r="NB30" s="128"/>
      <c r="NC30" s="128"/>
      <c r="ND30" s="128"/>
      <c r="NE30" s="128"/>
      <c r="NF30" s="128"/>
      <c r="NG30" s="128"/>
      <c r="NH30" s="128"/>
      <c r="NI30" s="128"/>
      <c r="NJ30" s="128"/>
      <c r="NK30" s="128"/>
      <c r="NL30" s="128"/>
      <c r="NM30" s="128"/>
      <c r="NN30" s="128"/>
      <c r="NO30" s="128"/>
      <c r="NP30" s="128"/>
      <c r="NQ30" s="128"/>
      <c r="NR30" s="128"/>
      <c r="NS30" s="128"/>
      <c r="NT30" s="128"/>
      <c r="NU30" s="128"/>
      <c r="NV30" s="128"/>
      <c r="NW30" s="128"/>
      <c r="NX30" s="128"/>
      <c r="NY30" s="128"/>
      <c r="NZ30" s="128"/>
      <c r="OA30" s="128"/>
      <c r="OB30" s="128"/>
      <c r="OC30" s="128"/>
      <c r="OD30" s="128"/>
      <c r="OE30" s="128"/>
      <c r="OF30" s="128"/>
      <c r="OG30" s="128"/>
      <c r="OH30" s="128"/>
      <c r="OI30" s="128"/>
      <c r="OJ30" s="128"/>
      <c r="OK30" s="128"/>
      <c r="OL30" s="128"/>
      <c r="OM30" s="128"/>
      <c r="ON30" s="128"/>
      <c r="OO30" s="128"/>
      <c r="OP30" s="128"/>
      <c r="OQ30" s="128"/>
      <c r="OR30" s="128"/>
      <c r="OS30" s="128"/>
      <c r="OT30" s="128"/>
      <c r="OU30" s="128"/>
      <c r="OV30" s="128"/>
      <c r="OW30" s="128"/>
      <c r="OX30" s="128"/>
      <c r="OY30" s="128"/>
      <c r="OZ30" s="128"/>
      <c r="PA30" s="128"/>
      <c r="PB30" s="128"/>
      <c r="PC30" s="128"/>
      <c r="PD30" s="128"/>
      <c r="PE30" s="128"/>
      <c r="PF30" s="128"/>
      <c r="PG30" s="128"/>
      <c r="PH30" s="128"/>
      <c r="PI30" s="128"/>
      <c r="PJ30" s="128"/>
      <c r="PK30" s="128"/>
      <c r="PL30" s="128"/>
      <c r="PM30" s="128"/>
      <c r="PN30" s="128"/>
      <c r="PO30" s="128"/>
      <c r="PP30" s="128"/>
      <c r="PQ30" s="128"/>
      <c r="PR30" s="128"/>
      <c r="PS30" s="128"/>
      <c r="PT30" s="128"/>
      <c r="PU30" s="128"/>
      <c r="PV30" s="128"/>
      <c r="PW30" s="128"/>
      <c r="PX30" s="128"/>
      <c r="PY30" s="128"/>
      <c r="PZ30" s="128"/>
      <c r="QA30" s="128"/>
      <c r="QB30" s="128"/>
      <c r="QC30" s="128"/>
      <c r="QD30" s="128"/>
      <c r="QE30" s="128"/>
      <c r="QF30" s="128"/>
      <c r="QG30" s="128"/>
      <c r="QH30" s="128"/>
      <c r="QI30" s="128"/>
      <c r="QJ30" s="128"/>
      <c r="QK30" s="128"/>
      <c r="QL30" s="128"/>
      <c r="QM30" s="128"/>
      <c r="QN30" s="128"/>
      <c r="QO30" s="128"/>
      <c r="QP30" s="128"/>
      <c r="QQ30" s="128"/>
      <c r="QR30" s="128"/>
      <c r="QS30" s="128"/>
      <c r="QT30" s="128"/>
      <c r="QU30" s="128"/>
      <c r="QV30" s="128"/>
      <c r="QW30" s="128"/>
      <c r="QX30" s="128"/>
      <c r="QY30" s="128"/>
      <c r="QZ30" s="128"/>
      <c r="RA30" s="128"/>
      <c r="RB30" s="128"/>
      <c r="RC30" s="128"/>
      <c r="RD30" s="128"/>
      <c r="RE30" s="128"/>
      <c r="RF30" s="128"/>
      <c r="RG30" s="128"/>
      <c r="RH30" s="128"/>
      <c r="RI30" s="128"/>
      <c r="RJ30" s="128"/>
      <c r="RK30" s="128"/>
      <c r="RL30" s="128"/>
      <c r="RM30" s="128"/>
      <c r="RN30" s="128"/>
      <c r="RO30" s="128"/>
      <c r="RP30" s="128"/>
      <c r="RQ30" s="128"/>
      <c r="RR30" s="128"/>
      <c r="RS30" s="128"/>
      <c r="RT30" s="128"/>
      <c r="RU30" s="128"/>
      <c r="RV30" s="128"/>
      <c r="RW30" s="128"/>
      <c r="RX30" s="128"/>
      <c r="RY30" s="128"/>
      <c r="RZ30" s="128"/>
      <c r="SA30" s="128"/>
      <c r="SB30" s="128"/>
      <c r="SC30" s="128"/>
      <c r="SD30" s="128"/>
      <c r="SE30" s="128"/>
      <c r="SF30" s="128"/>
      <c r="SG30" s="128"/>
      <c r="SH30" s="128"/>
      <c r="SI30" s="128"/>
      <c r="SJ30" s="128"/>
      <c r="SK30" s="128"/>
      <c r="SL30" s="128"/>
      <c r="SM30" s="128"/>
      <c r="SN30" s="128"/>
      <c r="SO30" s="128"/>
      <c r="SP30" s="128"/>
      <c r="SQ30" s="128"/>
      <c r="SR30" s="128"/>
      <c r="SS30" s="128"/>
      <c r="ST30" s="128"/>
      <c r="SU30" s="128"/>
      <c r="SV30" s="128"/>
      <c r="SW30" s="128"/>
      <c r="SX30" s="128"/>
      <c r="SY30" s="128"/>
      <c r="SZ30" s="128"/>
      <c r="TA30" s="128"/>
      <c r="TB30" s="128"/>
      <c r="TC30" s="128"/>
      <c r="TD30" s="128"/>
      <c r="TE30" s="128"/>
      <c r="TF30" s="128"/>
      <c r="TG30" s="128"/>
      <c r="TH30" s="128"/>
      <c r="TI30" s="128"/>
      <c r="TJ30" s="128"/>
      <c r="TK30" s="128"/>
      <c r="TL30" s="128"/>
      <c r="TM30" s="128"/>
      <c r="TN30" s="128"/>
      <c r="TO30" s="128"/>
      <c r="TP30" s="128"/>
      <c r="TQ30" s="128"/>
      <c r="TR30" s="128"/>
      <c r="TS30" s="128"/>
      <c r="TT30" s="128"/>
      <c r="TU30" s="128"/>
      <c r="TV30" s="128"/>
      <c r="TW30" s="128"/>
      <c r="TX30" s="128"/>
      <c r="TY30" s="128"/>
      <c r="TZ30" s="128"/>
      <c r="UA30" s="128"/>
      <c r="UB30" s="128"/>
      <c r="UC30" s="128"/>
      <c r="UD30" s="128"/>
      <c r="UE30" s="128"/>
      <c r="UF30" s="128"/>
      <c r="UG30" s="128"/>
      <c r="UH30" s="128"/>
      <c r="UI30" s="128"/>
      <c r="UJ30" s="128"/>
      <c r="UK30" s="128"/>
      <c r="UL30" s="128"/>
      <c r="UM30" s="128"/>
      <c r="UN30" s="128"/>
      <c r="UO30" s="128"/>
      <c r="UP30" s="128"/>
      <c r="UQ30" s="128"/>
      <c r="UR30" s="128"/>
      <c r="US30" s="128"/>
      <c r="UT30" s="128"/>
      <c r="UU30" s="128"/>
      <c r="UV30" s="128"/>
      <c r="UW30" s="128"/>
      <c r="UX30" s="128"/>
      <c r="UY30" s="128"/>
      <c r="UZ30" s="128"/>
      <c r="VA30" s="128"/>
      <c r="VB30" s="128"/>
      <c r="VC30" s="128"/>
      <c r="VD30" s="128"/>
      <c r="VE30" s="128"/>
      <c r="VF30" s="128"/>
      <c r="VG30" s="128"/>
      <c r="VH30" s="128"/>
      <c r="VI30" s="128"/>
      <c r="VJ30" s="128"/>
      <c r="VK30" s="128"/>
      <c r="VL30" s="128"/>
      <c r="VM30" s="128"/>
      <c r="VN30" s="128"/>
      <c r="VO30" s="128"/>
      <c r="VP30" s="128"/>
      <c r="VQ30" s="128"/>
      <c r="VR30" s="128"/>
      <c r="VS30" s="128"/>
      <c r="VT30" s="128"/>
      <c r="VU30" s="128"/>
      <c r="VV30" s="128"/>
      <c r="VW30" s="128"/>
      <c r="VX30" s="128"/>
      <c r="VY30" s="128"/>
      <c r="VZ30" s="128"/>
      <c r="WA30" s="128"/>
      <c r="WB30" s="128"/>
      <c r="WC30" s="128"/>
      <c r="WD30" s="128"/>
      <c r="WE30" s="128"/>
      <c r="WF30" s="128"/>
      <c r="WG30" s="128"/>
      <c r="WH30" s="128"/>
      <c r="WI30" s="128"/>
      <c r="WJ30" s="128"/>
      <c r="WK30" s="128"/>
      <c r="WL30" s="128"/>
      <c r="WM30" s="128"/>
      <c r="WN30" s="128"/>
      <c r="WO30" s="128"/>
      <c r="WP30" s="128"/>
      <c r="WQ30" s="128"/>
      <c r="WR30" s="128"/>
      <c r="WS30" s="128"/>
      <c r="WT30" s="128"/>
      <c r="WU30" s="128"/>
      <c r="WV30" s="128"/>
      <c r="WW30" s="128"/>
      <c r="WX30" s="128"/>
      <c r="WY30" s="128"/>
      <c r="WZ30" s="128"/>
      <c r="XA30" s="128"/>
      <c r="XB30" s="128"/>
      <c r="XC30" s="128"/>
      <c r="XD30" s="128"/>
      <c r="XE30" s="128"/>
      <c r="XF30" s="128"/>
      <c r="XG30" s="128"/>
      <c r="XH30" s="128"/>
      <c r="XI30" s="128"/>
      <c r="XJ30" s="128"/>
      <c r="XK30" s="128"/>
      <c r="XL30" s="128"/>
      <c r="XM30" s="128"/>
      <c r="XN30" s="128"/>
      <c r="XO30" s="128"/>
      <c r="XP30" s="128"/>
      <c r="XQ30" s="128"/>
      <c r="XR30" s="128"/>
      <c r="XS30" s="128"/>
      <c r="XT30" s="128"/>
      <c r="XU30" s="128"/>
      <c r="XV30" s="128"/>
      <c r="XW30" s="128"/>
      <c r="XX30" s="128"/>
      <c r="XY30" s="128"/>
      <c r="XZ30" s="128"/>
      <c r="YA30" s="128"/>
      <c r="YB30" s="128"/>
      <c r="YC30" s="128"/>
      <c r="YD30" s="128"/>
      <c r="YE30" s="128"/>
      <c r="YF30" s="128"/>
      <c r="YG30" s="128"/>
      <c r="YH30" s="128"/>
      <c r="YI30" s="128"/>
      <c r="YJ30" s="128"/>
      <c r="YK30" s="128"/>
      <c r="YL30" s="128"/>
      <c r="YM30" s="128"/>
      <c r="YN30" s="128"/>
      <c r="YO30" s="128"/>
      <c r="YP30" s="128"/>
      <c r="YQ30" s="128"/>
      <c r="YR30" s="128"/>
      <c r="YS30" s="128"/>
      <c r="YT30" s="128"/>
      <c r="YU30" s="128"/>
      <c r="YV30" s="128"/>
      <c r="YW30" s="128"/>
      <c r="YX30" s="128"/>
      <c r="YY30" s="128"/>
      <c r="YZ30" s="128"/>
      <c r="ZA30" s="128"/>
      <c r="ZB30" s="128"/>
      <c r="ZC30" s="128"/>
      <c r="ZD30" s="128"/>
      <c r="ZE30" s="128"/>
      <c r="ZF30" s="128"/>
      <c r="ZG30" s="128"/>
      <c r="ZH30" s="128"/>
      <c r="ZI30" s="128"/>
      <c r="ZJ30" s="128"/>
      <c r="ZK30" s="128"/>
      <c r="ZL30" s="128"/>
      <c r="ZM30" s="128"/>
      <c r="ZN30" s="128"/>
      <c r="ZO30" s="128"/>
      <c r="ZP30" s="128"/>
      <c r="ZQ30" s="128"/>
      <c r="ZR30" s="128"/>
      <c r="ZS30" s="128"/>
      <c r="ZT30" s="128"/>
      <c r="ZU30" s="128"/>
      <c r="ZV30" s="128"/>
      <c r="ZW30" s="128"/>
      <c r="ZX30" s="128"/>
      <c r="ZY30" s="128"/>
      <c r="ZZ30" s="128"/>
      <c r="AAA30" s="128"/>
      <c r="AAB30" s="128"/>
      <c r="AAC30" s="128"/>
      <c r="AAD30" s="128"/>
      <c r="AAE30" s="128"/>
      <c r="AAF30" s="128"/>
      <c r="AAG30" s="128"/>
      <c r="AAH30" s="128"/>
      <c r="AAI30" s="128"/>
      <c r="AAJ30" s="128"/>
      <c r="AAK30" s="128"/>
      <c r="AAL30" s="128"/>
      <c r="AAM30" s="128"/>
      <c r="AAN30" s="128"/>
      <c r="AAO30" s="128"/>
      <c r="AAP30" s="128"/>
      <c r="AAQ30" s="128"/>
      <c r="AAR30" s="128"/>
      <c r="AAS30" s="128"/>
      <c r="AAT30" s="128"/>
      <c r="AAU30" s="128"/>
      <c r="AAV30" s="128"/>
      <c r="AAW30" s="128"/>
      <c r="AAX30" s="128"/>
      <c r="AAY30" s="128"/>
      <c r="AAZ30" s="128"/>
      <c r="ABA30" s="128"/>
      <c r="ABB30" s="128"/>
      <c r="ABC30" s="128"/>
      <c r="ABD30" s="128"/>
      <c r="ABE30" s="128"/>
      <c r="ABF30" s="128"/>
      <c r="ABG30" s="128"/>
      <c r="ABH30" s="128"/>
      <c r="ABI30" s="128"/>
      <c r="ABJ30" s="128"/>
      <c r="ABK30" s="128"/>
      <c r="ABL30" s="128"/>
      <c r="ABM30" s="128"/>
      <c r="ABN30" s="128"/>
      <c r="ABO30" s="128"/>
      <c r="ABP30" s="128"/>
      <c r="ABQ30" s="128"/>
      <c r="ABR30" s="128"/>
      <c r="ABS30" s="128"/>
      <c r="ABT30" s="128"/>
      <c r="ABU30" s="128"/>
      <c r="ABV30" s="128"/>
      <c r="ABW30" s="128"/>
      <c r="ABX30" s="128"/>
      <c r="ABY30" s="128"/>
      <c r="ABZ30" s="128"/>
      <c r="ACA30" s="128"/>
      <c r="ACB30" s="128"/>
      <c r="ACC30" s="128"/>
      <c r="ACD30" s="128"/>
      <c r="ACE30" s="128"/>
      <c r="ACF30" s="128"/>
      <c r="ACG30" s="128"/>
      <c r="ACH30" s="128"/>
      <c r="ACI30" s="128"/>
      <c r="ACJ30" s="128"/>
      <c r="ACK30" s="128"/>
      <c r="ACL30" s="128"/>
      <c r="ACM30" s="128"/>
      <c r="ACN30" s="128"/>
      <c r="ACO30" s="128"/>
      <c r="ACP30" s="128"/>
      <c r="ACQ30" s="128"/>
      <c r="ACR30" s="128"/>
      <c r="ACS30" s="128"/>
      <c r="ACT30" s="128"/>
      <c r="ACU30" s="128"/>
      <c r="ACV30" s="128"/>
      <c r="ACW30" s="128"/>
      <c r="ACX30" s="128"/>
      <c r="ACY30" s="128"/>
      <c r="ACZ30" s="128"/>
      <c r="ADA30" s="128"/>
      <c r="ADB30" s="128"/>
      <c r="ADC30" s="128"/>
      <c r="ADD30" s="128"/>
      <c r="ADE30" s="128"/>
      <c r="ADF30" s="128"/>
      <c r="ADG30" s="128"/>
      <c r="ADH30" s="128"/>
      <c r="ADI30" s="128"/>
      <c r="ADJ30" s="128"/>
      <c r="ADK30" s="128"/>
      <c r="ADL30" s="128"/>
      <c r="ADM30" s="128"/>
      <c r="ADN30" s="128"/>
      <c r="ADO30" s="128"/>
      <c r="ADP30" s="128"/>
      <c r="ADQ30" s="128"/>
      <c r="ADR30" s="128"/>
      <c r="ADS30" s="128"/>
      <c r="ADT30" s="128"/>
      <c r="ADU30" s="128"/>
      <c r="ADV30" s="128"/>
      <c r="ADW30" s="128"/>
      <c r="ADX30" s="128"/>
      <c r="ADY30" s="128"/>
      <c r="ADZ30" s="128"/>
      <c r="AEA30" s="128"/>
      <c r="AEB30" s="128"/>
      <c r="AEC30" s="128"/>
      <c r="AED30" s="128"/>
      <c r="AEE30" s="128"/>
      <c r="AEF30" s="128"/>
      <c r="AEG30" s="128"/>
      <c r="AEH30" s="128"/>
      <c r="AEI30" s="128"/>
      <c r="AEJ30" s="128"/>
      <c r="AEK30" s="128"/>
      <c r="AEL30" s="128"/>
      <c r="AEM30" s="128"/>
      <c r="AEN30" s="128"/>
      <c r="AEO30" s="128"/>
      <c r="AEP30" s="128"/>
      <c r="AEQ30" s="128"/>
      <c r="AER30" s="128"/>
      <c r="AES30" s="128"/>
      <c r="AET30" s="128"/>
      <c r="AEU30" s="128"/>
      <c r="AEV30" s="128"/>
      <c r="AEW30" s="128"/>
      <c r="AEX30" s="128"/>
      <c r="AEY30" s="128"/>
      <c r="AEZ30" s="128"/>
      <c r="AFA30" s="128"/>
      <c r="AFB30" s="128"/>
      <c r="AFC30" s="128"/>
      <c r="AFD30" s="128"/>
      <c r="AFE30" s="128"/>
      <c r="AFF30" s="128"/>
      <c r="AFG30" s="128"/>
      <c r="AFH30" s="128"/>
      <c r="AFI30" s="128"/>
      <c r="AFJ30" s="128"/>
      <c r="AFK30" s="128"/>
      <c r="AFL30" s="128"/>
      <c r="AFM30" s="128"/>
      <c r="AFN30" s="128"/>
      <c r="AFO30" s="128"/>
      <c r="AFP30" s="128"/>
      <c r="AFQ30" s="128"/>
      <c r="AFR30" s="128"/>
      <c r="AFS30" s="128"/>
      <c r="AFT30" s="128"/>
      <c r="AFU30" s="128"/>
      <c r="AFV30" s="128"/>
      <c r="AFW30" s="128"/>
      <c r="AFX30" s="128"/>
      <c r="AFY30" s="128"/>
      <c r="AFZ30" s="128"/>
      <c r="AGA30" s="128"/>
      <c r="AGB30" s="128"/>
      <c r="AGC30" s="128"/>
      <c r="AGD30" s="128"/>
      <c r="AGE30" s="128"/>
      <c r="AGF30" s="128"/>
      <c r="AGG30" s="128"/>
      <c r="AGH30" s="128"/>
      <c r="AGI30" s="128"/>
      <c r="AGJ30" s="128"/>
      <c r="AGK30" s="128"/>
      <c r="AGL30" s="128"/>
      <c r="AGM30" s="128"/>
      <c r="AGN30" s="128"/>
      <c r="AGO30" s="128"/>
      <c r="AGP30" s="128"/>
      <c r="AGQ30" s="128"/>
      <c r="AGR30" s="128"/>
      <c r="AGS30" s="128"/>
      <c r="AGT30" s="128"/>
      <c r="AGU30" s="128"/>
      <c r="AGV30" s="128"/>
      <c r="AGW30" s="128"/>
      <c r="AGX30" s="128"/>
      <c r="AGY30" s="128"/>
      <c r="AGZ30" s="128"/>
      <c r="AHA30" s="128"/>
      <c r="AHB30" s="128"/>
      <c r="AHC30" s="128"/>
      <c r="AHD30" s="128"/>
      <c r="AHE30" s="128"/>
      <c r="AHF30" s="128"/>
      <c r="AHG30" s="128"/>
      <c r="AHH30" s="128"/>
      <c r="AHI30" s="128"/>
      <c r="AHJ30" s="128"/>
      <c r="AHK30" s="128"/>
      <c r="AHL30" s="128"/>
      <c r="AHM30" s="128"/>
      <c r="AHN30" s="128"/>
      <c r="AHO30" s="128"/>
      <c r="AHP30" s="128"/>
      <c r="AHQ30" s="128"/>
      <c r="AHR30" s="128"/>
      <c r="AHS30" s="128"/>
      <c r="AHT30" s="128"/>
      <c r="AHU30" s="128"/>
      <c r="AHV30" s="128"/>
      <c r="AHW30" s="128"/>
      <c r="AHX30" s="128"/>
      <c r="AHY30" s="128"/>
      <c r="AHZ30" s="128"/>
      <c r="AIA30" s="128"/>
      <c r="AIB30" s="128"/>
      <c r="AIC30" s="128"/>
      <c r="AID30" s="128"/>
      <c r="AIE30" s="128"/>
      <c r="AIF30" s="128"/>
      <c r="AIG30" s="128"/>
      <c r="AIH30" s="128"/>
      <c r="AII30" s="128"/>
      <c r="AIJ30" s="128"/>
      <c r="AIK30" s="128"/>
      <c r="AIL30" s="128"/>
      <c r="AIM30" s="128"/>
      <c r="AIN30" s="128"/>
      <c r="AIO30" s="128"/>
      <c r="AIP30" s="128"/>
      <c r="AIQ30" s="128"/>
      <c r="AIR30" s="128"/>
      <c r="AIS30" s="128"/>
      <c r="AIT30" s="128"/>
      <c r="AIU30" s="128"/>
      <c r="AIV30" s="128"/>
      <c r="AIW30" s="128"/>
      <c r="AIX30" s="128"/>
      <c r="AIY30" s="128"/>
      <c r="AIZ30" s="128"/>
      <c r="AJA30" s="128"/>
      <c r="AJB30" s="128"/>
      <c r="AJC30" s="128"/>
      <c r="AJD30" s="128"/>
      <c r="AJE30" s="128"/>
      <c r="AJF30" s="128"/>
      <c r="AJG30" s="128"/>
      <c r="AJH30" s="128"/>
      <c r="AJI30" s="128"/>
      <c r="AJJ30" s="128"/>
      <c r="AJK30" s="128"/>
      <c r="AJL30" s="128"/>
      <c r="AJM30" s="128"/>
      <c r="AJN30" s="128"/>
      <c r="AJO30" s="128"/>
      <c r="AJP30" s="128"/>
      <c r="AJQ30" s="128"/>
      <c r="AJR30" s="128"/>
      <c r="AJS30" s="128"/>
      <c r="AJT30" s="128"/>
      <c r="AJU30" s="128"/>
      <c r="AJV30" s="128"/>
      <c r="AJW30" s="128"/>
      <c r="AJX30" s="128"/>
      <c r="AJY30" s="128"/>
      <c r="AJZ30" s="128"/>
      <c r="AKA30" s="128"/>
      <c r="AKB30" s="128"/>
      <c r="AKC30" s="128"/>
      <c r="AKD30" s="128"/>
      <c r="AKE30" s="128"/>
      <c r="AKF30" s="128"/>
      <c r="AKG30" s="128"/>
      <c r="AKH30" s="128"/>
      <c r="AKI30" s="128"/>
      <c r="AKJ30" s="128"/>
      <c r="AKK30" s="128"/>
      <c r="AKL30" s="128"/>
      <c r="AKM30" s="128"/>
      <c r="AKN30" s="128"/>
      <c r="AKO30" s="128"/>
      <c r="AKP30" s="128"/>
      <c r="AKQ30" s="128"/>
      <c r="AKR30" s="128"/>
      <c r="AKS30" s="128"/>
      <c r="AKT30" s="128"/>
      <c r="AKU30" s="128"/>
      <c r="AKV30" s="128"/>
      <c r="AKW30" s="128"/>
      <c r="AKX30" s="128"/>
      <c r="AKY30" s="128"/>
      <c r="AKZ30" s="128"/>
      <c r="ALA30" s="128"/>
      <c r="ALB30" s="128"/>
      <c r="ALC30" s="128"/>
      <c r="ALD30" s="128"/>
      <c r="ALE30" s="128"/>
      <c r="ALF30" s="128"/>
      <c r="ALG30" s="128"/>
      <c r="ALH30" s="128"/>
      <c r="ALI30" s="128"/>
      <c r="ALJ30" s="128"/>
      <c r="ALK30" s="128"/>
      <c r="ALL30" s="128"/>
      <c r="ALM30" s="128"/>
      <c r="ALN30" s="128"/>
      <c r="ALO30" s="128"/>
      <c r="ALP30" s="128"/>
      <c r="ALQ30" s="128"/>
      <c r="ALR30" s="128"/>
      <c r="ALS30" s="128"/>
      <c r="ALT30" s="128"/>
      <c r="ALU30" s="128"/>
      <c r="ALV30" s="128"/>
      <c r="ALW30" s="128"/>
      <c r="ALX30" s="128"/>
      <c r="ALY30" s="128"/>
      <c r="ALZ30" s="128"/>
      <c r="AMA30" s="128"/>
      <c r="AMB30" s="128"/>
      <c r="AMC30" s="128"/>
      <c r="AMD30" s="128"/>
      <c r="AME30" s="128"/>
      <c r="AMF30" s="128"/>
      <c r="AMG30" s="128"/>
      <c r="AMH30" s="128"/>
      <c r="AMI30" s="128"/>
      <c r="AMJ30" s="128"/>
      <c r="AMK30" s="128"/>
      <c r="AML30" s="128"/>
      <c r="AMM30" s="128"/>
      <c r="AMN30" s="128"/>
      <c r="AMO30" s="128"/>
      <c r="AMP30" s="128"/>
      <c r="AMQ30" s="128"/>
      <c r="AMR30" s="128"/>
      <c r="AMS30" s="128"/>
      <c r="AMT30" s="128"/>
      <c r="AMU30" s="128"/>
      <c r="AMV30" s="128"/>
      <c r="AMW30" s="128"/>
      <c r="AMX30" s="128"/>
      <c r="AMY30" s="128"/>
      <c r="AMZ30" s="128"/>
      <c r="ANA30" s="128"/>
      <c r="ANB30" s="128"/>
      <c r="ANC30" s="128"/>
      <c r="AND30" s="128"/>
      <c r="ANE30" s="128"/>
      <c r="ANF30" s="128"/>
      <c r="ANG30" s="128"/>
      <c r="ANH30" s="128"/>
      <c r="ANI30" s="128"/>
      <c r="ANJ30" s="128"/>
      <c r="ANK30" s="128"/>
      <c r="ANL30" s="128"/>
      <c r="ANM30" s="128"/>
      <c r="ANN30" s="128"/>
      <c r="ANO30" s="128"/>
      <c r="ANP30" s="128"/>
      <c r="ANQ30" s="128"/>
      <c r="ANR30" s="128"/>
      <c r="ANS30" s="128"/>
      <c r="ANT30" s="128"/>
      <c r="ANU30" s="128"/>
      <c r="ANV30" s="128"/>
      <c r="ANW30" s="128"/>
      <c r="ANX30" s="128"/>
      <c r="ANY30" s="128"/>
      <c r="ANZ30" s="128"/>
      <c r="AOA30" s="128"/>
      <c r="AOB30" s="128"/>
      <c r="AOC30" s="128"/>
      <c r="AOD30" s="128"/>
      <c r="AOE30" s="128"/>
      <c r="AOF30" s="128"/>
      <c r="AOG30" s="128"/>
      <c r="AOH30" s="128"/>
      <c r="AOI30" s="128"/>
      <c r="AOJ30" s="128"/>
      <c r="AOK30" s="128"/>
      <c r="AOL30" s="128"/>
      <c r="AOM30" s="128"/>
      <c r="AON30" s="128"/>
      <c r="AOO30" s="128"/>
      <c r="AOP30" s="128"/>
      <c r="AOQ30" s="128"/>
      <c r="AOR30" s="128"/>
      <c r="AOS30" s="128"/>
      <c r="AOT30" s="128"/>
      <c r="AOU30" s="128"/>
      <c r="AOV30" s="128"/>
      <c r="AOW30" s="128"/>
      <c r="AOX30" s="128"/>
      <c r="AOY30" s="128"/>
      <c r="AOZ30" s="128"/>
      <c r="APA30" s="128"/>
      <c r="APB30" s="128"/>
      <c r="APC30" s="128"/>
      <c r="APD30" s="128"/>
      <c r="APE30" s="128"/>
      <c r="APF30" s="128"/>
      <c r="APG30" s="128"/>
      <c r="APH30" s="128"/>
      <c r="API30" s="128"/>
      <c r="APJ30" s="128"/>
      <c r="APK30" s="128"/>
      <c r="APL30" s="128"/>
      <c r="APM30" s="128"/>
      <c r="APN30" s="128"/>
      <c r="APO30" s="128"/>
      <c r="APP30" s="128"/>
      <c r="APQ30" s="128"/>
      <c r="APR30" s="128"/>
      <c r="APS30" s="128"/>
      <c r="APT30" s="128"/>
      <c r="APU30" s="128"/>
      <c r="APV30" s="128"/>
      <c r="APW30" s="128"/>
      <c r="APX30" s="128"/>
      <c r="APY30" s="128"/>
      <c r="APZ30" s="128"/>
      <c r="AQA30" s="128"/>
      <c r="AQB30" s="128"/>
      <c r="AQC30" s="128"/>
      <c r="AQD30" s="128"/>
      <c r="AQE30" s="128"/>
      <c r="AQF30" s="128"/>
      <c r="AQG30" s="128"/>
      <c r="AQH30" s="128"/>
      <c r="AQI30" s="128"/>
      <c r="AQJ30" s="128"/>
      <c r="AQK30" s="128"/>
      <c r="AQL30" s="128"/>
      <c r="AQM30" s="128"/>
      <c r="AQN30" s="128"/>
      <c r="AQO30" s="128"/>
      <c r="AQP30" s="128"/>
      <c r="AQQ30" s="128"/>
      <c r="AQR30" s="128"/>
      <c r="AQS30" s="128"/>
      <c r="AQT30" s="128"/>
      <c r="AQU30" s="128"/>
      <c r="AQV30" s="128"/>
      <c r="AQW30" s="128"/>
      <c r="AQX30" s="128"/>
      <c r="AQY30" s="128"/>
      <c r="AQZ30" s="128"/>
      <c r="ARA30" s="128"/>
      <c r="ARB30" s="128"/>
      <c r="ARC30" s="128"/>
      <c r="ARD30" s="128"/>
      <c r="ARE30" s="128"/>
      <c r="ARF30" s="128"/>
      <c r="ARG30" s="128"/>
      <c r="ARH30" s="128"/>
      <c r="ARI30" s="128"/>
      <c r="ARJ30" s="128"/>
      <c r="ARK30" s="128"/>
      <c r="ARL30" s="128"/>
      <c r="ARM30" s="128"/>
      <c r="ARN30" s="128"/>
      <c r="ARO30" s="128"/>
      <c r="ARP30" s="128"/>
      <c r="ARQ30" s="128"/>
      <c r="ARR30" s="128"/>
      <c r="ARS30" s="128"/>
      <c r="ART30" s="128"/>
      <c r="ARU30" s="128"/>
      <c r="ARV30" s="128"/>
      <c r="ARW30" s="128"/>
      <c r="ARX30" s="128"/>
      <c r="ARY30" s="128"/>
      <c r="ARZ30" s="128"/>
      <c r="ASA30" s="128"/>
      <c r="ASB30" s="128"/>
      <c r="ASC30" s="128"/>
      <c r="ASD30" s="128"/>
      <c r="ASE30" s="128"/>
      <c r="ASF30" s="128"/>
      <c r="ASG30" s="128"/>
      <c r="ASH30" s="128"/>
      <c r="ASI30" s="128"/>
      <c r="ASJ30" s="128"/>
      <c r="ASK30" s="128"/>
      <c r="ASL30" s="128"/>
      <c r="ASM30" s="128"/>
      <c r="ASN30" s="128"/>
      <c r="ASO30" s="128"/>
      <c r="ASP30" s="128"/>
      <c r="ASQ30" s="128"/>
      <c r="ASR30" s="128"/>
      <c r="ASS30" s="128"/>
      <c r="AST30" s="128"/>
      <c r="ASU30" s="128"/>
      <c r="ASV30" s="128"/>
      <c r="ASW30" s="128"/>
      <c r="ASX30" s="128"/>
      <c r="ASY30" s="128"/>
      <c r="ASZ30" s="128"/>
      <c r="ATA30" s="128"/>
      <c r="ATB30" s="128"/>
      <c r="ATC30" s="128"/>
      <c r="ATD30" s="128"/>
      <c r="ATE30" s="128"/>
      <c r="ATF30" s="128"/>
      <c r="ATG30" s="128"/>
      <c r="ATH30" s="128"/>
      <c r="ATI30" s="128"/>
      <c r="ATJ30" s="128"/>
      <c r="ATK30" s="128"/>
      <c r="ATL30" s="128"/>
      <c r="ATM30" s="128"/>
      <c r="ATN30" s="128"/>
      <c r="ATO30" s="128"/>
      <c r="ATP30" s="128"/>
      <c r="ATQ30" s="128"/>
      <c r="ATR30" s="128"/>
      <c r="ATS30" s="128"/>
      <c r="ATT30" s="128"/>
      <c r="ATU30" s="128"/>
      <c r="ATV30" s="128"/>
      <c r="ATW30" s="128"/>
      <c r="ATX30" s="128"/>
      <c r="ATY30" s="128"/>
      <c r="ATZ30" s="128"/>
      <c r="AUA30" s="128"/>
      <c r="AUB30" s="128"/>
      <c r="AUC30" s="128"/>
      <c r="AUD30" s="128"/>
      <c r="AUE30" s="128"/>
      <c r="AUF30" s="128"/>
      <c r="AUG30" s="128"/>
      <c r="AUH30" s="128"/>
      <c r="AUI30" s="128"/>
      <c r="AUJ30" s="128"/>
      <c r="AUK30" s="128"/>
      <c r="AUL30" s="128"/>
      <c r="AUM30" s="128"/>
      <c r="AUN30" s="128"/>
      <c r="AUO30" s="128"/>
      <c r="AUP30" s="128"/>
      <c r="AUQ30" s="128"/>
      <c r="AUR30" s="128"/>
      <c r="AUS30" s="128"/>
      <c r="AUT30" s="128"/>
      <c r="AUU30" s="128"/>
      <c r="AUV30" s="128"/>
      <c r="AUW30" s="128"/>
      <c r="AUX30" s="128"/>
      <c r="AUY30" s="128"/>
      <c r="AUZ30" s="128"/>
      <c r="AVA30" s="128"/>
      <c r="AVB30" s="128"/>
      <c r="AVC30" s="128"/>
      <c r="AVD30" s="128"/>
      <c r="AVE30" s="128"/>
      <c r="AVF30" s="128"/>
      <c r="AVG30" s="128"/>
      <c r="AVH30" s="128"/>
      <c r="AVI30" s="128"/>
      <c r="AVJ30" s="128"/>
      <c r="AVK30" s="128"/>
      <c r="AVL30" s="128"/>
      <c r="AVM30" s="128"/>
      <c r="AVN30" s="128"/>
      <c r="AVO30" s="128"/>
      <c r="AVP30" s="128"/>
      <c r="AVQ30" s="128"/>
      <c r="AVR30" s="128"/>
      <c r="AVS30" s="128"/>
      <c r="AVT30" s="128"/>
      <c r="AVU30" s="128"/>
      <c r="AVV30" s="128"/>
      <c r="AVW30" s="128"/>
      <c r="AVX30" s="128"/>
      <c r="AVY30" s="128"/>
      <c r="AVZ30" s="128"/>
      <c r="AWA30" s="128"/>
      <c r="AWB30" s="128"/>
      <c r="AWC30" s="128"/>
      <c r="AWD30" s="128"/>
      <c r="AWE30" s="128"/>
      <c r="AWF30" s="128"/>
      <c r="AWG30" s="128"/>
      <c r="AWH30" s="128"/>
      <c r="AWI30" s="128"/>
      <c r="AWJ30" s="128"/>
      <c r="AWK30" s="128"/>
      <c r="AWL30" s="128"/>
      <c r="AWM30" s="128"/>
      <c r="AWN30" s="128"/>
      <c r="AWO30" s="128"/>
      <c r="AWP30" s="128"/>
      <c r="AWQ30" s="128"/>
      <c r="AWR30" s="128"/>
      <c r="AWS30" s="128"/>
      <c r="AWT30" s="128"/>
      <c r="AWU30" s="128"/>
      <c r="AWV30" s="128"/>
      <c r="AWW30" s="128"/>
      <c r="AWX30" s="128"/>
      <c r="AWY30" s="128"/>
      <c r="AWZ30" s="128"/>
      <c r="AXA30" s="128"/>
      <c r="AXB30" s="128"/>
      <c r="AXC30" s="128"/>
      <c r="AXD30" s="128"/>
      <c r="AXE30" s="128"/>
      <c r="AXF30" s="128"/>
      <c r="AXG30" s="128"/>
      <c r="AXH30" s="128"/>
      <c r="AXI30" s="128"/>
      <c r="AXJ30" s="128"/>
      <c r="AXK30" s="128"/>
      <c r="AXL30" s="128"/>
      <c r="AXM30" s="128"/>
      <c r="AXN30" s="128"/>
      <c r="AXO30" s="128"/>
      <c r="AXP30" s="128"/>
      <c r="AXQ30" s="128"/>
      <c r="AXR30" s="128"/>
      <c r="AXS30" s="128"/>
      <c r="AXT30" s="128"/>
      <c r="AXU30" s="128"/>
      <c r="AXV30" s="128"/>
      <c r="AXW30" s="128"/>
      <c r="AXX30" s="128"/>
      <c r="AXY30" s="128"/>
      <c r="AXZ30" s="128"/>
      <c r="AYA30" s="128"/>
      <c r="AYB30" s="128"/>
      <c r="AYC30" s="128"/>
      <c r="AYD30" s="128"/>
      <c r="AYE30" s="128"/>
      <c r="AYF30" s="128"/>
      <c r="AYG30" s="128"/>
      <c r="AYH30" s="128"/>
      <c r="AYI30" s="128"/>
      <c r="AYJ30" s="128"/>
      <c r="AYK30" s="128"/>
      <c r="AYL30" s="128"/>
      <c r="AYM30" s="128"/>
      <c r="AYN30" s="128"/>
      <c r="AYO30" s="128"/>
      <c r="AYP30" s="128"/>
      <c r="AYQ30" s="128"/>
      <c r="AYR30" s="128"/>
      <c r="AYS30" s="128"/>
      <c r="AYT30" s="128"/>
      <c r="AYU30" s="128"/>
      <c r="AYV30" s="128"/>
      <c r="AYW30" s="128"/>
      <c r="AYX30" s="128"/>
      <c r="AYY30" s="128"/>
      <c r="AYZ30" s="128"/>
      <c r="AZA30" s="128"/>
      <c r="AZB30" s="128"/>
      <c r="AZC30" s="128"/>
      <c r="AZD30" s="128"/>
      <c r="AZE30" s="128"/>
      <c r="AZF30" s="128"/>
      <c r="AZG30" s="128"/>
      <c r="AZH30" s="128"/>
      <c r="AZI30" s="128"/>
      <c r="AZJ30" s="128"/>
      <c r="AZK30" s="128"/>
      <c r="AZL30" s="128"/>
      <c r="AZM30" s="128"/>
      <c r="AZN30" s="128"/>
      <c r="AZO30" s="128"/>
      <c r="AZP30" s="128"/>
      <c r="AZQ30" s="128"/>
      <c r="AZR30" s="128"/>
      <c r="AZS30" s="128"/>
      <c r="AZT30" s="128"/>
      <c r="AZU30" s="128"/>
      <c r="AZV30" s="128"/>
      <c r="AZW30" s="128"/>
      <c r="AZX30" s="128"/>
      <c r="AZY30" s="128"/>
      <c r="AZZ30" s="128"/>
      <c r="BAA30" s="128"/>
      <c r="BAB30" s="128"/>
      <c r="BAC30" s="128"/>
      <c r="BAD30" s="128"/>
      <c r="BAE30" s="128"/>
      <c r="BAF30" s="128"/>
      <c r="BAG30" s="128"/>
      <c r="BAH30" s="128"/>
      <c r="BAI30" s="128"/>
      <c r="BAJ30" s="128"/>
      <c r="BAK30" s="128"/>
      <c r="BAL30" s="128"/>
      <c r="BAM30" s="128"/>
      <c r="BAN30" s="128"/>
      <c r="BAO30" s="128"/>
      <c r="BAP30" s="128"/>
      <c r="BAQ30" s="128"/>
      <c r="BAR30" s="128"/>
      <c r="BAS30" s="128"/>
      <c r="BAT30" s="128"/>
      <c r="BAU30" s="128"/>
      <c r="BAV30" s="128"/>
      <c r="BAW30" s="128"/>
      <c r="BAX30" s="128"/>
      <c r="BAY30" s="128"/>
      <c r="BAZ30" s="128"/>
      <c r="BBA30" s="128"/>
      <c r="BBB30" s="128"/>
      <c r="BBC30" s="128"/>
      <c r="BBD30" s="128"/>
      <c r="BBE30" s="128"/>
      <c r="BBF30" s="128"/>
      <c r="BBG30" s="128"/>
      <c r="BBH30" s="128"/>
      <c r="BBI30" s="128"/>
      <c r="BBJ30" s="128"/>
      <c r="BBK30" s="128"/>
      <c r="BBL30" s="128"/>
      <c r="BBM30" s="128"/>
      <c r="BBN30" s="128"/>
      <c r="BBO30" s="128"/>
      <c r="BBP30" s="128"/>
      <c r="BBQ30" s="128"/>
      <c r="BBR30" s="128"/>
      <c r="BBS30" s="128"/>
      <c r="BBT30" s="128"/>
      <c r="BBU30" s="128"/>
      <c r="BBV30" s="128"/>
      <c r="BBW30" s="128"/>
      <c r="BBX30" s="128"/>
      <c r="BBY30" s="128"/>
      <c r="BBZ30" s="128"/>
      <c r="BCA30" s="128"/>
      <c r="BCB30" s="128"/>
      <c r="BCC30" s="128"/>
      <c r="BCD30" s="128"/>
      <c r="BCE30" s="128"/>
      <c r="BCF30" s="128"/>
      <c r="BCG30" s="128"/>
      <c r="BCH30" s="128"/>
      <c r="BCI30" s="128"/>
      <c r="BCJ30" s="128"/>
      <c r="BCK30" s="128"/>
      <c r="BCL30" s="128"/>
      <c r="BCM30" s="128"/>
      <c r="BCN30" s="128"/>
      <c r="BCO30" s="128"/>
      <c r="BCP30" s="128"/>
      <c r="BCQ30" s="128"/>
      <c r="BCR30" s="128"/>
      <c r="BCS30" s="128"/>
      <c r="BCT30" s="128"/>
      <c r="BCU30" s="128"/>
      <c r="BCV30" s="128"/>
      <c r="BCW30" s="128"/>
      <c r="BCX30" s="128"/>
      <c r="BCY30" s="128"/>
      <c r="BCZ30" s="128"/>
      <c r="BDA30" s="128"/>
      <c r="BDB30" s="128"/>
      <c r="BDC30" s="128"/>
      <c r="BDD30" s="128"/>
      <c r="BDE30" s="128"/>
      <c r="BDF30" s="128"/>
      <c r="BDG30" s="128"/>
      <c r="BDH30" s="128"/>
      <c r="BDI30" s="128"/>
      <c r="BDJ30" s="128"/>
      <c r="BDK30" s="128"/>
      <c r="BDL30" s="128"/>
      <c r="BDM30" s="128"/>
      <c r="BDN30" s="128"/>
      <c r="BDO30" s="128"/>
      <c r="BDP30" s="128"/>
      <c r="BDQ30" s="128"/>
      <c r="BDR30" s="128"/>
      <c r="BDS30" s="128"/>
      <c r="BDT30" s="128"/>
      <c r="BDU30" s="128"/>
      <c r="BDV30" s="128"/>
      <c r="BDW30" s="128"/>
      <c r="BDX30" s="128"/>
      <c r="BDY30" s="128"/>
      <c r="BDZ30" s="128"/>
      <c r="BEA30" s="128"/>
      <c r="BEB30" s="128"/>
      <c r="BEC30" s="128"/>
      <c r="BED30" s="128"/>
      <c r="BEE30" s="128"/>
      <c r="BEF30" s="128"/>
      <c r="BEG30" s="128"/>
      <c r="BEH30" s="128"/>
      <c r="BEI30" s="128"/>
      <c r="BEJ30" s="128"/>
      <c r="BEK30" s="128"/>
      <c r="BEL30" s="128"/>
      <c r="BEM30" s="128"/>
      <c r="BEN30" s="128"/>
      <c r="BEO30" s="128"/>
      <c r="BEP30" s="128"/>
      <c r="BEQ30" s="128"/>
      <c r="BER30" s="128"/>
      <c r="BES30" s="128"/>
      <c r="BET30" s="128"/>
      <c r="BEU30" s="128"/>
      <c r="BEV30" s="128"/>
      <c r="BEW30" s="128"/>
      <c r="BEX30" s="128"/>
      <c r="BEY30" s="128"/>
      <c r="BEZ30" s="128"/>
      <c r="BFA30" s="128"/>
      <c r="BFB30" s="128"/>
      <c r="BFC30" s="128"/>
      <c r="BFD30" s="128"/>
      <c r="BFE30" s="128"/>
      <c r="BFF30" s="128"/>
      <c r="BFG30" s="128"/>
      <c r="BFH30" s="128"/>
      <c r="BFI30" s="128"/>
      <c r="BFJ30" s="128"/>
      <c r="BFK30" s="128"/>
      <c r="BFL30" s="128"/>
      <c r="BFM30" s="128"/>
      <c r="BFN30" s="128"/>
      <c r="BFO30" s="128"/>
      <c r="BFP30" s="128"/>
      <c r="BFQ30" s="128"/>
      <c r="BFR30" s="128"/>
      <c r="BFS30" s="128"/>
      <c r="BFT30" s="128"/>
      <c r="BFU30" s="128"/>
      <c r="BFV30" s="128"/>
      <c r="BFW30" s="128"/>
      <c r="BFX30" s="128"/>
      <c r="BFY30" s="128"/>
      <c r="BFZ30" s="128"/>
      <c r="BGA30" s="128"/>
      <c r="BGB30" s="128"/>
      <c r="BGC30" s="128"/>
      <c r="BGD30" s="128"/>
      <c r="BGE30" s="128"/>
      <c r="BGF30" s="128"/>
      <c r="BGG30" s="128"/>
      <c r="BGH30" s="128"/>
      <c r="BGI30" s="128"/>
      <c r="BGJ30" s="128"/>
      <c r="BGK30" s="128"/>
      <c r="BGL30" s="128"/>
      <c r="BGM30" s="128"/>
      <c r="BGN30" s="128"/>
      <c r="BGO30" s="128"/>
      <c r="BGP30" s="128"/>
      <c r="BGQ30" s="128"/>
      <c r="BGR30" s="128"/>
      <c r="BGS30" s="128"/>
      <c r="BGT30" s="128"/>
      <c r="BGU30" s="128"/>
      <c r="BGV30" s="128"/>
      <c r="BGW30" s="128"/>
      <c r="BGX30" s="128"/>
      <c r="BGY30" s="128"/>
      <c r="BGZ30" s="128"/>
      <c r="BHA30" s="128"/>
      <c r="BHB30" s="128"/>
      <c r="BHC30" s="128"/>
      <c r="BHD30" s="128"/>
      <c r="BHE30" s="128"/>
      <c r="BHF30" s="128"/>
      <c r="BHG30" s="128"/>
      <c r="BHH30" s="128"/>
      <c r="BHI30" s="128"/>
      <c r="BHJ30" s="128"/>
      <c r="BHK30" s="128"/>
      <c r="BHL30" s="128"/>
      <c r="BHM30" s="128"/>
      <c r="BHN30" s="128"/>
      <c r="BHO30" s="128"/>
      <c r="BHP30" s="128"/>
      <c r="BHQ30" s="128"/>
      <c r="BHR30" s="128"/>
      <c r="BHS30" s="128"/>
      <c r="BHT30" s="128"/>
      <c r="BHU30" s="128"/>
      <c r="BHV30" s="128"/>
      <c r="BHW30" s="128"/>
      <c r="BHX30" s="128"/>
      <c r="BHY30" s="128"/>
      <c r="BHZ30" s="128"/>
      <c r="BIA30" s="128"/>
      <c r="BIB30" s="128"/>
      <c r="BIC30" s="128"/>
      <c r="BID30" s="128"/>
      <c r="BIE30" s="128"/>
      <c r="BIF30" s="128"/>
      <c r="BIG30" s="128"/>
      <c r="BIH30" s="128"/>
      <c r="BII30" s="128"/>
      <c r="BIJ30" s="128"/>
      <c r="BIK30" s="128"/>
      <c r="BIL30" s="128"/>
      <c r="BIM30" s="128"/>
      <c r="BIN30" s="128"/>
      <c r="BIO30" s="128"/>
      <c r="BIP30" s="128"/>
      <c r="BIQ30" s="128"/>
      <c r="BIR30" s="128"/>
      <c r="BIS30" s="128"/>
      <c r="BIT30" s="128"/>
      <c r="BIU30" s="128"/>
      <c r="BIV30" s="128"/>
      <c r="BIW30" s="128"/>
      <c r="BIX30" s="128"/>
      <c r="BIY30" s="128"/>
      <c r="BIZ30" s="128"/>
      <c r="BJA30" s="128"/>
      <c r="BJB30" s="128"/>
      <c r="BJC30" s="128"/>
      <c r="BJD30" s="128"/>
      <c r="BJE30" s="128"/>
      <c r="BJF30" s="128"/>
      <c r="BJG30" s="128"/>
      <c r="BJH30" s="128"/>
      <c r="BJI30" s="128"/>
      <c r="BJJ30" s="128"/>
      <c r="BJK30" s="128"/>
      <c r="BJL30" s="128"/>
      <c r="BJM30" s="128"/>
      <c r="BJN30" s="128"/>
      <c r="BJO30" s="128"/>
      <c r="BJP30" s="128"/>
      <c r="BJQ30" s="128"/>
      <c r="BJR30" s="128"/>
      <c r="BJS30" s="128"/>
      <c r="BJT30" s="128"/>
      <c r="BJU30" s="128"/>
      <c r="BJV30" s="128"/>
      <c r="BJW30" s="128"/>
      <c r="BJX30" s="128"/>
      <c r="BJY30" s="128"/>
      <c r="BJZ30" s="128"/>
      <c r="BKA30" s="128"/>
      <c r="BKB30" s="128"/>
      <c r="BKC30" s="128"/>
      <c r="BKD30" s="128"/>
      <c r="BKE30" s="128"/>
      <c r="BKF30" s="128"/>
      <c r="BKG30" s="128"/>
      <c r="BKH30" s="128"/>
      <c r="BKI30" s="128"/>
      <c r="BKJ30" s="128"/>
      <c r="BKK30" s="128"/>
      <c r="BKL30" s="128"/>
      <c r="BKM30" s="128"/>
      <c r="BKN30" s="128"/>
      <c r="BKO30" s="128"/>
      <c r="BKP30" s="128"/>
      <c r="BKQ30" s="128"/>
      <c r="BKR30" s="128"/>
      <c r="BKS30" s="128"/>
      <c r="BKT30" s="128"/>
      <c r="BKU30" s="128"/>
      <c r="BKV30" s="128"/>
      <c r="BKW30" s="128"/>
      <c r="BKX30" s="128"/>
      <c r="BKY30" s="128"/>
      <c r="BKZ30" s="128"/>
      <c r="BLA30" s="128"/>
      <c r="BLB30" s="128"/>
      <c r="BLC30" s="128"/>
      <c r="BLD30" s="128"/>
      <c r="BLE30" s="128"/>
      <c r="BLF30" s="128"/>
      <c r="BLG30" s="128"/>
      <c r="BLH30" s="128"/>
      <c r="BLI30" s="128"/>
      <c r="BLJ30" s="128"/>
      <c r="BLK30" s="128"/>
      <c r="BLL30" s="128"/>
      <c r="BLM30" s="128"/>
      <c r="BLN30" s="128"/>
      <c r="BLO30" s="128"/>
      <c r="BLP30" s="128"/>
      <c r="BLQ30" s="128"/>
      <c r="BLR30" s="128"/>
      <c r="BLS30" s="128"/>
      <c r="BLT30" s="128"/>
      <c r="BLU30" s="128"/>
      <c r="BLV30" s="128"/>
      <c r="BLW30" s="128"/>
      <c r="BLX30" s="128"/>
      <c r="BLY30" s="128"/>
      <c r="BLZ30" s="128"/>
      <c r="BMA30" s="128"/>
      <c r="BMB30" s="128"/>
      <c r="BMC30" s="128"/>
      <c r="BMD30" s="128"/>
      <c r="BME30" s="128"/>
      <c r="BMF30" s="128"/>
      <c r="BMG30" s="128"/>
      <c r="BMH30" s="128"/>
      <c r="BMI30" s="128"/>
      <c r="BMJ30" s="128"/>
      <c r="BMK30" s="128"/>
      <c r="BML30" s="128"/>
      <c r="BMM30" s="128"/>
      <c r="BMN30" s="128"/>
      <c r="BMO30" s="128"/>
      <c r="BMP30" s="128"/>
      <c r="BMQ30" s="128"/>
      <c r="BMR30" s="128"/>
      <c r="BMS30" s="128"/>
      <c r="BMT30" s="128"/>
      <c r="BMU30" s="128"/>
      <c r="BMV30" s="128"/>
      <c r="BMW30" s="128"/>
      <c r="BMX30" s="128"/>
      <c r="BMY30" s="128"/>
      <c r="BMZ30" s="128"/>
      <c r="BNA30" s="128"/>
      <c r="BNB30" s="128"/>
      <c r="BNC30" s="128"/>
      <c r="BND30" s="128"/>
      <c r="BNE30" s="128"/>
      <c r="BNF30" s="128"/>
      <c r="BNG30" s="128"/>
      <c r="BNH30" s="128"/>
      <c r="BNI30" s="128"/>
      <c r="BNJ30" s="128"/>
      <c r="BNK30" s="128"/>
      <c r="BNL30" s="128"/>
      <c r="BNM30" s="128"/>
      <c r="BNN30" s="128"/>
      <c r="BNO30" s="128"/>
      <c r="BNP30" s="128"/>
      <c r="BNQ30" s="128"/>
      <c r="BNR30" s="128"/>
      <c r="BNS30" s="128"/>
      <c r="BNT30" s="128"/>
      <c r="BNU30" s="128"/>
      <c r="BNV30" s="128"/>
      <c r="BNW30" s="128"/>
      <c r="BNX30" s="128"/>
      <c r="BNY30" s="128"/>
      <c r="BNZ30" s="128"/>
      <c r="BOA30" s="128"/>
      <c r="BOB30" s="128"/>
      <c r="BOC30" s="128"/>
      <c r="BOD30" s="128"/>
      <c r="BOE30" s="128"/>
      <c r="BOF30" s="128"/>
      <c r="BOG30" s="128"/>
      <c r="BOH30" s="128"/>
      <c r="BOI30" s="128"/>
      <c r="BOJ30" s="128"/>
      <c r="BOK30" s="128"/>
      <c r="BOL30" s="128"/>
      <c r="BOM30" s="128"/>
      <c r="BON30" s="128"/>
      <c r="BOO30" s="128"/>
      <c r="BOP30" s="128"/>
      <c r="BOQ30" s="128"/>
      <c r="BOR30" s="128"/>
      <c r="BOS30" s="128"/>
      <c r="BOT30" s="128"/>
      <c r="BOU30" s="128"/>
      <c r="BOV30" s="128"/>
      <c r="BOW30" s="128"/>
      <c r="BOX30" s="128"/>
      <c r="BOY30" s="128"/>
      <c r="BOZ30" s="128"/>
      <c r="BPA30" s="128"/>
      <c r="BPB30" s="128"/>
      <c r="BPC30" s="128"/>
      <c r="BPD30" s="128"/>
      <c r="BPE30" s="128"/>
      <c r="BPF30" s="128"/>
      <c r="BPG30" s="128"/>
      <c r="BPH30" s="128"/>
      <c r="BPI30" s="128"/>
      <c r="BPJ30" s="128"/>
      <c r="BPK30" s="128"/>
      <c r="BPL30" s="128"/>
      <c r="BPM30" s="128"/>
      <c r="BPN30" s="128"/>
      <c r="BPO30" s="128"/>
      <c r="BPP30" s="128"/>
      <c r="BPQ30" s="128"/>
      <c r="BPR30" s="128"/>
      <c r="BPS30" s="128"/>
      <c r="BPT30" s="128"/>
      <c r="BPU30" s="128"/>
      <c r="BPV30" s="128"/>
      <c r="BPW30" s="128"/>
      <c r="BPX30" s="128"/>
      <c r="BPY30" s="128"/>
      <c r="BPZ30" s="128"/>
      <c r="BQA30" s="128"/>
      <c r="BQB30" s="128"/>
      <c r="BQC30" s="128"/>
      <c r="BQD30" s="128"/>
      <c r="BQE30" s="128"/>
      <c r="BQF30" s="128"/>
      <c r="BQG30" s="128"/>
      <c r="BQH30" s="128"/>
      <c r="BQI30" s="128"/>
      <c r="BQJ30" s="128"/>
      <c r="BQK30" s="128"/>
      <c r="BQL30" s="128"/>
      <c r="BQM30" s="128"/>
      <c r="BQN30" s="128"/>
      <c r="BQO30" s="128"/>
      <c r="BQP30" s="128"/>
      <c r="BQQ30" s="128"/>
      <c r="BQR30" s="128"/>
      <c r="BQS30" s="128"/>
      <c r="BQT30" s="128"/>
      <c r="BQU30" s="128"/>
      <c r="BQV30" s="128"/>
      <c r="BQW30" s="128"/>
      <c r="BQX30" s="128"/>
      <c r="BQY30" s="128"/>
      <c r="BQZ30" s="128"/>
      <c r="BRA30" s="128"/>
      <c r="BRB30" s="128"/>
      <c r="BRC30" s="128"/>
      <c r="BRD30" s="128"/>
      <c r="BRE30" s="128"/>
      <c r="BRF30" s="128"/>
      <c r="BRG30" s="128"/>
      <c r="BRH30" s="128"/>
      <c r="BRI30" s="128"/>
      <c r="BRJ30" s="128"/>
      <c r="BRK30" s="128"/>
      <c r="BRL30" s="128"/>
      <c r="BRM30" s="128"/>
      <c r="BRN30" s="128"/>
      <c r="BRO30" s="128"/>
      <c r="BRP30" s="128"/>
      <c r="BRQ30" s="128"/>
      <c r="BRR30" s="128"/>
      <c r="BRS30" s="128"/>
      <c r="BRT30" s="128"/>
      <c r="BRU30" s="128"/>
      <c r="BRV30" s="128"/>
      <c r="BRW30" s="128"/>
      <c r="BRX30" s="128"/>
      <c r="BRY30" s="128"/>
      <c r="BRZ30" s="128"/>
      <c r="BSA30" s="128"/>
      <c r="BSB30" s="128"/>
      <c r="BSC30" s="128"/>
      <c r="BSD30" s="128"/>
      <c r="BSE30" s="128"/>
      <c r="BSF30" s="128"/>
      <c r="BSG30" s="128"/>
      <c r="BSH30" s="128"/>
      <c r="BSI30" s="128"/>
      <c r="BSJ30" s="128"/>
      <c r="BSK30" s="128"/>
      <c r="BSL30" s="128"/>
      <c r="BSM30" s="128"/>
      <c r="BSN30" s="128"/>
      <c r="BSO30" s="128"/>
      <c r="BSP30" s="128"/>
      <c r="BSQ30" s="128"/>
      <c r="BSR30" s="128"/>
      <c r="BSS30" s="128"/>
      <c r="BST30" s="128"/>
      <c r="BSU30" s="128"/>
      <c r="BSV30" s="128"/>
      <c r="BSW30" s="128"/>
      <c r="BSX30" s="128"/>
      <c r="BSY30" s="128"/>
      <c r="BSZ30" s="128"/>
      <c r="BTA30" s="128"/>
      <c r="BTB30" s="128"/>
      <c r="BTC30" s="128"/>
      <c r="BTD30" s="128"/>
      <c r="BTE30" s="128"/>
      <c r="BTF30" s="128"/>
      <c r="BTG30" s="128"/>
      <c r="BTH30" s="128"/>
      <c r="BTI30" s="128"/>
      <c r="BTJ30" s="128"/>
      <c r="BTK30" s="128"/>
      <c r="BTL30" s="128"/>
      <c r="BTM30" s="128"/>
      <c r="BTN30" s="128"/>
      <c r="BTO30" s="128"/>
      <c r="BTP30" s="128"/>
      <c r="BTQ30" s="128"/>
      <c r="BTR30" s="128"/>
      <c r="BTS30" s="128"/>
      <c r="BTT30" s="128"/>
      <c r="BTU30" s="128"/>
      <c r="BTV30" s="128"/>
      <c r="BTW30" s="128"/>
      <c r="BTX30" s="128"/>
      <c r="BTY30" s="128"/>
      <c r="BTZ30" s="128"/>
      <c r="BUA30" s="128"/>
      <c r="BUB30" s="128"/>
      <c r="BUC30" s="128"/>
      <c r="BUD30" s="128"/>
      <c r="BUE30" s="128"/>
      <c r="BUF30" s="128"/>
      <c r="BUG30" s="128"/>
      <c r="BUH30" s="128"/>
      <c r="BUI30" s="128"/>
      <c r="BUJ30" s="128"/>
      <c r="BUK30" s="128"/>
      <c r="BUL30" s="128"/>
      <c r="BUM30" s="128"/>
      <c r="BUN30" s="128"/>
      <c r="BUO30" s="128"/>
      <c r="BUP30" s="128"/>
      <c r="BUQ30" s="128"/>
      <c r="BUR30" s="128"/>
      <c r="BUS30" s="128"/>
      <c r="BUT30" s="128"/>
      <c r="BUU30" s="128"/>
      <c r="BUV30" s="128"/>
      <c r="BUW30" s="128"/>
      <c r="BUX30" s="128"/>
      <c r="BUY30" s="128"/>
      <c r="BUZ30" s="128"/>
      <c r="BVA30" s="128"/>
      <c r="BVB30" s="128"/>
      <c r="BVC30" s="128"/>
      <c r="BVD30" s="128"/>
      <c r="BVE30" s="128"/>
      <c r="BVF30" s="128"/>
      <c r="BVG30" s="128"/>
      <c r="BVH30" s="128"/>
      <c r="BVI30" s="128"/>
      <c r="BVJ30" s="128"/>
      <c r="BVK30" s="128"/>
      <c r="BVL30" s="128"/>
      <c r="BVM30" s="128"/>
      <c r="BVN30" s="128"/>
      <c r="BVO30" s="128"/>
      <c r="BVP30" s="128"/>
      <c r="BVQ30" s="128"/>
      <c r="BVR30" s="128"/>
      <c r="BVS30" s="128"/>
      <c r="BVT30" s="128"/>
      <c r="BVU30" s="128"/>
      <c r="BVV30" s="128"/>
      <c r="BVW30" s="128"/>
      <c r="BVX30" s="128"/>
      <c r="BVY30" s="128"/>
      <c r="BVZ30" s="128"/>
      <c r="BWA30" s="128"/>
      <c r="BWB30" s="128"/>
      <c r="BWC30" s="128"/>
      <c r="BWD30" s="128"/>
      <c r="BWE30" s="128"/>
      <c r="BWF30" s="128"/>
      <c r="BWG30" s="128"/>
      <c r="BWH30" s="128"/>
      <c r="BWI30" s="128"/>
      <c r="BWJ30" s="128"/>
      <c r="BWK30" s="128"/>
      <c r="BWL30" s="128"/>
      <c r="BWM30" s="128"/>
      <c r="BWN30" s="128"/>
      <c r="BWO30" s="128"/>
      <c r="BWP30" s="128"/>
      <c r="BWQ30" s="128"/>
      <c r="BWR30" s="128"/>
      <c r="BWS30" s="128"/>
      <c r="BWT30" s="128"/>
      <c r="BWU30" s="128"/>
      <c r="BWV30" s="128"/>
      <c r="BWW30" s="128"/>
      <c r="BWX30" s="128"/>
      <c r="BWY30" s="128"/>
      <c r="BWZ30" s="128"/>
      <c r="BXA30" s="128"/>
      <c r="BXB30" s="128"/>
      <c r="BXC30" s="128"/>
      <c r="BXD30" s="128"/>
      <c r="BXE30" s="128"/>
      <c r="BXF30" s="128"/>
      <c r="BXG30" s="128"/>
      <c r="BXH30" s="128"/>
      <c r="BXI30" s="128"/>
      <c r="BXJ30" s="128"/>
      <c r="BXK30" s="128"/>
      <c r="BXL30" s="128"/>
      <c r="BXM30" s="128"/>
      <c r="BXN30" s="128"/>
      <c r="BXO30" s="128"/>
      <c r="BXP30" s="128"/>
      <c r="BXQ30" s="128"/>
      <c r="BXR30" s="128"/>
      <c r="BXS30" s="128"/>
      <c r="BXT30" s="128"/>
      <c r="BXU30" s="128"/>
      <c r="BXV30" s="128"/>
      <c r="BXW30" s="128"/>
      <c r="BXX30" s="128"/>
      <c r="BXY30" s="128"/>
      <c r="BXZ30" s="128"/>
      <c r="BYA30" s="128"/>
      <c r="BYB30" s="128"/>
      <c r="BYC30" s="128"/>
      <c r="BYD30" s="128"/>
      <c r="BYE30" s="128"/>
      <c r="BYF30" s="128"/>
      <c r="BYG30" s="128"/>
      <c r="BYH30" s="128"/>
      <c r="BYI30" s="128"/>
      <c r="BYJ30" s="128"/>
      <c r="BYK30" s="128"/>
      <c r="BYL30" s="128"/>
      <c r="BYM30" s="128"/>
      <c r="BYN30" s="128"/>
      <c r="BYO30" s="128"/>
      <c r="BYP30" s="128"/>
      <c r="BYQ30" s="128"/>
      <c r="BYR30" s="128"/>
      <c r="BYS30" s="128"/>
      <c r="BYT30" s="128"/>
      <c r="BYU30" s="128"/>
      <c r="BYV30" s="128"/>
      <c r="BYW30" s="128"/>
      <c r="BYX30" s="128"/>
      <c r="BYY30" s="128"/>
      <c r="BYZ30" s="128"/>
      <c r="BZA30" s="128"/>
      <c r="BZB30" s="128"/>
      <c r="BZC30" s="128"/>
      <c r="BZD30" s="128"/>
      <c r="BZE30" s="128"/>
      <c r="BZF30" s="128"/>
      <c r="BZG30" s="128"/>
      <c r="BZH30" s="128"/>
      <c r="BZI30" s="128"/>
      <c r="BZJ30" s="128"/>
      <c r="BZK30" s="128"/>
      <c r="BZL30" s="128"/>
      <c r="BZM30" s="128"/>
      <c r="BZN30" s="128"/>
      <c r="BZO30" s="128"/>
      <c r="BZP30" s="128"/>
      <c r="BZQ30" s="128"/>
      <c r="BZR30" s="128"/>
      <c r="BZS30" s="128"/>
      <c r="BZT30" s="128"/>
      <c r="BZU30" s="128"/>
      <c r="BZV30" s="128"/>
      <c r="BZW30" s="128"/>
      <c r="BZX30" s="128"/>
      <c r="BZY30" s="128"/>
      <c r="BZZ30" s="128"/>
      <c r="CAA30" s="128"/>
      <c r="CAB30" s="128"/>
      <c r="CAC30" s="128"/>
      <c r="CAD30" s="128"/>
      <c r="CAE30" s="128"/>
      <c r="CAF30" s="128"/>
      <c r="CAG30" s="128"/>
      <c r="CAH30" s="128"/>
      <c r="CAI30" s="128"/>
      <c r="CAJ30" s="128"/>
      <c r="CAK30" s="128"/>
      <c r="CAL30" s="128"/>
      <c r="CAM30" s="128"/>
      <c r="CAN30" s="128"/>
      <c r="CAO30" s="128"/>
      <c r="CAP30" s="128"/>
      <c r="CAQ30" s="128"/>
      <c r="CAR30" s="128"/>
      <c r="CAS30" s="128"/>
      <c r="CAT30" s="128"/>
      <c r="CAU30" s="128"/>
      <c r="CAV30" s="128"/>
      <c r="CAW30" s="128"/>
      <c r="CAX30" s="128"/>
      <c r="CAY30" s="128"/>
      <c r="CAZ30" s="128"/>
      <c r="CBA30" s="128"/>
      <c r="CBB30" s="128"/>
      <c r="CBC30" s="128"/>
      <c r="CBD30" s="128"/>
      <c r="CBE30" s="128"/>
      <c r="CBF30" s="128"/>
      <c r="CBG30" s="128"/>
      <c r="CBH30" s="128"/>
      <c r="CBI30" s="128"/>
      <c r="CBJ30" s="128"/>
      <c r="CBK30" s="128"/>
      <c r="CBL30" s="128"/>
      <c r="CBM30" s="128"/>
      <c r="CBN30" s="128"/>
      <c r="CBO30" s="128"/>
      <c r="CBP30" s="128"/>
      <c r="CBQ30" s="128"/>
      <c r="CBR30" s="128"/>
      <c r="CBS30" s="128"/>
      <c r="CBT30" s="128"/>
      <c r="CBU30" s="128"/>
      <c r="CBV30" s="128"/>
      <c r="CBW30" s="128"/>
      <c r="CBX30" s="128"/>
      <c r="CBY30" s="128"/>
      <c r="CBZ30" s="128"/>
      <c r="CCA30" s="128"/>
      <c r="CCB30" s="128"/>
      <c r="CCC30" s="128"/>
      <c r="CCD30" s="128"/>
      <c r="CCE30" s="128"/>
      <c r="CCF30" s="128"/>
      <c r="CCG30" s="128"/>
      <c r="CCH30" s="128"/>
      <c r="CCI30" s="128"/>
      <c r="CCJ30" s="128"/>
      <c r="CCK30" s="128"/>
      <c r="CCL30" s="128"/>
      <c r="CCM30" s="128"/>
      <c r="CCN30" s="128"/>
      <c r="CCO30" s="128"/>
      <c r="CCP30" s="128"/>
      <c r="CCQ30" s="128"/>
      <c r="CCR30" s="128"/>
      <c r="CCS30" s="128"/>
      <c r="CCT30" s="128"/>
      <c r="CCU30" s="128"/>
      <c r="CCV30" s="128"/>
      <c r="CCW30" s="128"/>
      <c r="CCX30" s="128"/>
      <c r="CCY30" s="128"/>
      <c r="CCZ30" s="128"/>
      <c r="CDA30" s="128"/>
      <c r="CDB30" s="128"/>
      <c r="CDC30" s="128"/>
      <c r="CDD30" s="128"/>
      <c r="CDE30" s="128"/>
      <c r="CDF30" s="128"/>
      <c r="CDG30" s="128"/>
      <c r="CDH30" s="128"/>
      <c r="CDI30" s="128"/>
      <c r="CDJ30" s="128"/>
      <c r="CDK30" s="128"/>
      <c r="CDL30" s="128"/>
      <c r="CDM30" s="128"/>
      <c r="CDN30" s="128"/>
      <c r="CDO30" s="128"/>
      <c r="CDP30" s="128"/>
      <c r="CDQ30" s="128"/>
      <c r="CDR30" s="128"/>
      <c r="CDS30" s="128"/>
      <c r="CDT30" s="128"/>
      <c r="CDU30" s="128"/>
      <c r="CDV30" s="128"/>
      <c r="CDW30" s="128"/>
      <c r="CDX30" s="128"/>
      <c r="CDY30" s="128"/>
      <c r="CDZ30" s="128"/>
      <c r="CEA30" s="128"/>
      <c r="CEB30" s="128"/>
      <c r="CEC30" s="128"/>
      <c r="CED30" s="128"/>
      <c r="CEE30" s="128"/>
      <c r="CEF30" s="128"/>
      <c r="CEG30" s="128"/>
      <c r="CEH30" s="128"/>
      <c r="CEI30" s="128"/>
      <c r="CEJ30" s="128"/>
      <c r="CEK30" s="128"/>
      <c r="CEL30" s="128"/>
      <c r="CEM30" s="128"/>
      <c r="CEN30" s="128"/>
      <c r="CEO30" s="128"/>
      <c r="CEP30" s="128"/>
      <c r="CEQ30" s="128"/>
      <c r="CER30" s="128"/>
      <c r="CES30" s="128"/>
      <c r="CET30" s="128"/>
      <c r="CEU30" s="128"/>
      <c r="CEV30" s="128"/>
      <c r="CEW30" s="128"/>
      <c r="CEX30" s="128"/>
      <c r="CEY30" s="128"/>
      <c r="CEZ30" s="128"/>
      <c r="CFA30" s="128"/>
      <c r="CFB30" s="128"/>
      <c r="CFC30" s="128"/>
      <c r="CFD30" s="128"/>
      <c r="CFE30" s="128"/>
      <c r="CFF30" s="128"/>
      <c r="CFG30" s="128"/>
      <c r="CFH30" s="128"/>
      <c r="CFI30" s="128"/>
      <c r="CFJ30" s="128"/>
      <c r="CFK30" s="128"/>
      <c r="CFL30" s="128"/>
      <c r="CFM30" s="128"/>
      <c r="CFN30" s="128"/>
      <c r="CFO30" s="128"/>
      <c r="CFP30" s="128"/>
      <c r="CFQ30" s="128"/>
      <c r="CFR30" s="128"/>
      <c r="CFS30" s="128"/>
      <c r="CFT30" s="128"/>
      <c r="CFU30" s="128"/>
      <c r="CFV30" s="128"/>
      <c r="CFW30" s="128"/>
      <c r="CFX30" s="128"/>
      <c r="CFY30" s="128"/>
      <c r="CFZ30" s="128"/>
      <c r="CGA30" s="128"/>
      <c r="CGB30" s="128"/>
      <c r="CGC30" s="128"/>
      <c r="CGD30" s="128"/>
      <c r="CGE30" s="128"/>
      <c r="CGF30" s="128"/>
      <c r="CGG30" s="128"/>
      <c r="CGH30" s="128"/>
      <c r="CGI30" s="128"/>
      <c r="CGJ30" s="128"/>
      <c r="CGK30" s="128"/>
      <c r="CGL30" s="128"/>
      <c r="CGM30" s="128"/>
      <c r="CGN30" s="128"/>
      <c r="CGO30" s="128"/>
      <c r="CGP30" s="128"/>
      <c r="CGQ30" s="128"/>
      <c r="CGR30" s="128"/>
      <c r="CGS30" s="128"/>
      <c r="CGT30" s="128"/>
      <c r="CGU30" s="128"/>
      <c r="CGV30" s="128"/>
      <c r="CGW30" s="128"/>
      <c r="CGX30" s="128"/>
      <c r="CGY30" s="128"/>
      <c r="CGZ30" s="128"/>
      <c r="CHA30" s="128"/>
      <c r="CHB30" s="128"/>
      <c r="CHC30" s="128"/>
      <c r="CHD30" s="128"/>
      <c r="CHE30" s="128"/>
      <c r="CHF30" s="128"/>
      <c r="CHG30" s="128"/>
      <c r="CHH30" s="128"/>
      <c r="CHI30" s="128"/>
      <c r="CHJ30" s="128"/>
      <c r="CHK30" s="128"/>
      <c r="CHL30" s="128"/>
      <c r="CHM30" s="128"/>
      <c r="CHN30" s="128"/>
      <c r="CHO30" s="128"/>
      <c r="CHP30" s="128"/>
      <c r="CHQ30" s="128"/>
      <c r="CHR30" s="128"/>
      <c r="CHS30" s="128"/>
      <c r="CHT30" s="128"/>
      <c r="CHU30" s="128"/>
      <c r="CHV30" s="128"/>
      <c r="CHW30" s="128"/>
      <c r="CHX30" s="128"/>
      <c r="CHY30" s="128"/>
      <c r="CHZ30" s="128"/>
      <c r="CIA30" s="128"/>
      <c r="CIB30" s="128"/>
      <c r="CIC30" s="128"/>
      <c r="CID30" s="128"/>
      <c r="CIE30" s="128"/>
      <c r="CIF30" s="128"/>
      <c r="CIG30" s="128"/>
      <c r="CIH30" s="128"/>
      <c r="CII30" s="128"/>
      <c r="CIJ30" s="128"/>
      <c r="CIK30" s="128"/>
      <c r="CIL30" s="128"/>
      <c r="CIM30" s="128"/>
      <c r="CIN30" s="128"/>
      <c r="CIO30" s="128"/>
      <c r="CIP30" s="128"/>
      <c r="CIQ30" s="128"/>
      <c r="CIR30" s="128"/>
      <c r="CIS30" s="128"/>
      <c r="CIT30" s="128"/>
      <c r="CIU30" s="128"/>
      <c r="CIV30" s="128"/>
      <c r="CIW30" s="128"/>
      <c r="CIX30" s="128"/>
      <c r="CIY30" s="128"/>
      <c r="CIZ30" s="128"/>
      <c r="CJA30" s="128"/>
      <c r="CJB30" s="128"/>
      <c r="CJC30" s="128"/>
      <c r="CJD30" s="128"/>
      <c r="CJE30" s="128"/>
      <c r="CJF30" s="128"/>
      <c r="CJG30" s="128"/>
      <c r="CJH30" s="128"/>
      <c r="CJI30" s="128"/>
      <c r="CJJ30" s="128"/>
      <c r="CJK30" s="128"/>
      <c r="CJL30" s="128"/>
      <c r="CJM30" s="128"/>
      <c r="CJN30" s="128"/>
      <c r="CJO30" s="128"/>
      <c r="CJP30" s="128"/>
      <c r="CJQ30" s="128"/>
      <c r="CJR30" s="128"/>
      <c r="CJS30" s="128"/>
      <c r="CJT30" s="128"/>
      <c r="CJU30" s="128"/>
      <c r="CJV30" s="128"/>
      <c r="CJW30" s="128"/>
      <c r="CJX30" s="128"/>
      <c r="CJY30" s="128"/>
      <c r="CJZ30" s="128"/>
      <c r="CKA30" s="128"/>
      <c r="CKB30" s="128"/>
      <c r="CKC30" s="128"/>
      <c r="CKD30" s="128"/>
      <c r="CKE30" s="128"/>
      <c r="CKF30" s="128"/>
      <c r="CKG30" s="128"/>
      <c r="CKH30" s="128"/>
      <c r="CKI30" s="128"/>
      <c r="CKJ30" s="128"/>
      <c r="CKK30" s="128"/>
      <c r="CKL30" s="128"/>
      <c r="CKM30" s="128"/>
      <c r="CKN30" s="128"/>
      <c r="CKO30" s="128"/>
      <c r="CKP30" s="128"/>
      <c r="CKQ30" s="128"/>
      <c r="CKR30" s="128"/>
      <c r="CKS30" s="128"/>
      <c r="CKT30" s="128"/>
      <c r="CKU30" s="128"/>
      <c r="CKV30" s="128"/>
      <c r="CKW30" s="128"/>
      <c r="CKX30" s="128"/>
      <c r="CKY30" s="128"/>
      <c r="CKZ30" s="128"/>
      <c r="CLA30" s="128"/>
      <c r="CLB30" s="128"/>
      <c r="CLC30" s="128"/>
      <c r="CLD30" s="128"/>
      <c r="CLE30" s="128"/>
      <c r="CLF30" s="128"/>
      <c r="CLG30" s="128"/>
      <c r="CLH30" s="128"/>
      <c r="CLI30" s="128"/>
      <c r="CLJ30" s="128"/>
      <c r="CLK30" s="128"/>
      <c r="CLL30" s="128"/>
      <c r="CLM30" s="128"/>
      <c r="CLN30" s="128"/>
      <c r="CLO30" s="128"/>
      <c r="CLP30" s="128"/>
      <c r="CLQ30" s="128"/>
      <c r="CLR30" s="128"/>
      <c r="CLS30" s="128"/>
      <c r="CLT30" s="128"/>
      <c r="CLU30" s="128"/>
      <c r="CLV30" s="128"/>
      <c r="CLW30" s="128"/>
      <c r="CLX30" s="128"/>
      <c r="CLY30" s="128"/>
      <c r="CLZ30" s="128"/>
      <c r="CMA30" s="128"/>
      <c r="CMB30" s="128"/>
      <c r="CMC30" s="128"/>
      <c r="CMD30" s="128"/>
      <c r="CME30" s="128"/>
      <c r="CMF30" s="128"/>
      <c r="CMG30" s="128"/>
      <c r="CMH30" s="128"/>
      <c r="CMI30" s="128"/>
      <c r="CMJ30" s="128"/>
      <c r="CMK30" s="128"/>
      <c r="CML30" s="128"/>
      <c r="CMM30" s="128"/>
      <c r="CMN30" s="128"/>
      <c r="CMO30" s="128"/>
      <c r="CMP30" s="128"/>
      <c r="CMQ30" s="128"/>
      <c r="CMR30" s="128"/>
      <c r="CMS30" s="128"/>
      <c r="CMT30" s="128"/>
      <c r="CMU30" s="128"/>
      <c r="CMV30" s="128"/>
      <c r="CMW30" s="128"/>
      <c r="CMX30" s="128"/>
      <c r="CMY30" s="128"/>
      <c r="CMZ30" s="128"/>
      <c r="CNA30" s="128"/>
      <c r="CNB30" s="128"/>
      <c r="CNC30" s="128"/>
      <c r="CND30" s="128"/>
      <c r="CNE30" s="128"/>
      <c r="CNF30" s="128"/>
      <c r="CNG30" s="128"/>
      <c r="CNH30" s="128"/>
      <c r="CNI30" s="128"/>
      <c r="CNJ30" s="128"/>
      <c r="CNK30" s="128"/>
      <c r="CNL30" s="128"/>
      <c r="CNM30" s="128"/>
      <c r="CNN30" s="128"/>
      <c r="CNO30" s="128"/>
      <c r="CNP30" s="128"/>
      <c r="CNQ30" s="128"/>
      <c r="CNR30" s="128"/>
      <c r="CNS30" s="128"/>
      <c r="CNT30" s="128"/>
      <c r="CNU30" s="128"/>
      <c r="CNV30" s="128"/>
      <c r="CNW30" s="128"/>
      <c r="CNX30" s="128"/>
      <c r="CNY30" s="128"/>
      <c r="CNZ30" s="128"/>
      <c r="COA30" s="128"/>
      <c r="COB30" s="128"/>
      <c r="COC30" s="128"/>
      <c r="COD30" s="128"/>
      <c r="COE30" s="128"/>
      <c r="COF30" s="128"/>
      <c r="COG30" s="128"/>
      <c r="COH30" s="128"/>
      <c r="COI30" s="128"/>
      <c r="COJ30" s="128"/>
      <c r="COK30" s="128"/>
      <c r="COL30" s="128"/>
      <c r="COM30" s="128"/>
      <c r="CON30" s="128"/>
      <c r="COO30" s="128"/>
      <c r="COP30" s="128"/>
      <c r="COQ30" s="128"/>
      <c r="COR30" s="128"/>
      <c r="COS30" s="128"/>
      <c r="COT30" s="128"/>
      <c r="COU30" s="128"/>
      <c r="COV30" s="128"/>
      <c r="COW30" s="128"/>
      <c r="COX30" s="128"/>
      <c r="COY30" s="128"/>
      <c r="COZ30" s="128"/>
      <c r="CPA30" s="128"/>
      <c r="CPB30" s="128"/>
      <c r="CPC30" s="128"/>
      <c r="CPD30" s="128"/>
      <c r="CPE30" s="128"/>
      <c r="CPF30" s="128"/>
      <c r="CPG30" s="128"/>
      <c r="CPH30" s="128"/>
      <c r="CPI30" s="128"/>
      <c r="CPJ30" s="128"/>
      <c r="CPK30" s="128"/>
      <c r="CPL30" s="128"/>
      <c r="CPM30" s="128"/>
      <c r="CPN30" s="128"/>
      <c r="CPO30" s="128"/>
      <c r="CPP30" s="128"/>
      <c r="CPQ30" s="128"/>
      <c r="CPR30" s="128"/>
      <c r="CPS30" s="128"/>
      <c r="CPT30" s="128"/>
      <c r="CPU30" s="128"/>
      <c r="CPV30" s="128"/>
      <c r="CPW30" s="128"/>
      <c r="CPX30" s="128"/>
      <c r="CPY30" s="128"/>
      <c r="CPZ30" s="128"/>
      <c r="CQA30" s="128"/>
      <c r="CQB30" s="128"/>
      <c r="CQC30" s="128"/>
      <c r="CQD30" s="128"/>
      <c r="CQE30" s="128"/>
      <c r="CQF30" s="128"/>
      <c r="CQG30" s="128"/>
      <c r="CQH30" s="128"/>
      <c r="CQI30" s="128"/>
      <c r="CQJ30" s="128"/>
      <c r="CQK30" s="128"/>
      <c r="CQL30" s="128"/>
      <c r="CQM30" s="128"/>
      <c r="CQN30" s="128"/>
      <c r="CQO30" s="128"/>
      <c r="CQP30" s="128"/>
      <c r="CQQ30" s="128"/>
      <c r="CQR30" s="128"/>
      <c r="CQS30" s="128"/>
      <c r="CQT30" s="128"/>
      <c r="CQU30" s="128"/>
      <c r="CQV30" s="128"/>
      <c r="CQW30" s="128"/>
      <c r="CQX30" s="128"/>
      <c r="CQY30" s="128"/>
      <c r="CQZ30" s="128"/>
      <c r="CRA30" s="128"/>
      <c r="CRB30" s="128"/>
      <c r="CRC30" s="128"/>
      <c r="CRD30" s="128"/>
      <c r="CRE30" s="128"/>
      <c r="CRF30" s="128"/>
      <c r="CRG30" s="128"/>
      <c r="CRH30" s="128"/>
      <c r="CRI30" s="128"/>
      <c r="CRJ30" s="128"/>
      <c r="CRK30" s="128"/>
      <c r="CRL30" s="128"/>
      <c r="CRM30" s="128"/>
      <c r="CRN30" s="128"/>
      <c r="CRO30" s="128"/>
      <c r="CRP30" s="128"/>
      <c r="CRQ30" s="128"/>
      <c r="CRR30" s="128"/>
      <c r="CRS30" s="128"/>
      <c r="CRT30" s="128"/>
      <c r="CRU30" s="128"/>
      <c r="CRV30" s="128"/>
      <c r="CRW30" s="128"/>
      <c r="CRX30" s="128"/>
      <c r="CRY30" s="128"/>
      <c r="CRZ30" s="128"/>
      <c r="CSA30" s="128"/>
      <c r="CSB30" s="128"/>
      <c r="CSC30" s="128"/>
      <c r="CSD30" s="128"/>
      <c r="CSE30" s="128"/>
      <c r="CSF30" s="128"/>
      <c r="CSG30" s="128"/>
      <c r="CSH30" s="128"/>
      <c r="CSI30" s="128"/>
      <c r="CSJ30" s="128"/>
      <c r="CSK30" s="128"/>
      <c r="CSL30" s="128"/>
      <c r="CSM30" s="128"/>
      <c r="CSN30" s="128"/>
      <c r="CSO30" s="128"/>
      <c r="CSP30" s="128"/>
      <c r="CSQ30" s="128"/>
      <c r="CSR30" s="128"/>
      <c r="CSS30" s="128"/>
      <c r="CST30" s="128"/>
      <c r="CSU30" s="128"/>
      <c r="CSV30" s="128"/>
      <c r="CSW30" s="128"/>
      <c r="CSX30" s="128"/>
      <c r="CSY30" s="128"/>
      <c r="CSZ30" s="128"/>
      <c r="CTA30" s="128"/>
      <c r="CTB30" s="128"/>
      <c r="CTC30" s="128"/>
      <c r="CTD30" s="128"/>
      <c r="CTE30" s="128"/>
      <c r="CTF30" s="128"/>
      <c r="CTG30" s="128"/>
      <c r="CTH30" s="128"/>
      <c r="CTI30" s="128"/>
      <c r="CTJ30" s="128"/>
      <c r="CTK30" s="128"/>
      <c r="CTL30" s="128"/>
      <c r="CTM30" s="128"/>
      <c r="CTN30" s="128"/>
      <c r="CTO30" s="128"/>
      <c r="CTP30" s="128"/>
      <c r="CTQ30" s="128"/>
      <c r="CTR30" s="128"/>
      <c r="CTS30" s="128"/>
      <c r="CTT30" s="128"/>
      <c r="CTU30" s="128"/>
      <c r="CTV30" s="128"/>
      <c r="CTW30" s="128"/>
      <c r="CTX30" s="128"/>
      <c r="CTY30" s="128"/>
      <c r="CTZ30" s="128"/>
      <c r="CUA30" s="128"/>
      <c r="CUB30" s="128"/>
      <c r="CUC30" s="128"/>
      <c r="CUD30" s="128"/>
      <c r="CUE30" s="128"/>
      <c r="CUF30" s="128"/>
      <c r="CUG30" s="128"/>
      <c r="CUH30" s="128"/>
      <c r="CUI30" s="128"/>
      <c r="CUJ30" s="128"/>
      <c r="CUK30" s="128"/>
      <c r="CUL30" s="128"/>
      <c r="CUM30" s="128"/>
      <c r="CUN30" s="128"/>
      <c r="CUO30" s="128"/>
      <c r="CUP30" s="128"/>
      <c r="CUQ30" s="128"/>
      <c r="CUR30" s="128"/>
      <c r="CUS30" s="128"/>
      <c r="CUT30" s="128"/>
      <c r="CUU30" s="128"/>
      <c r="CUV30" s="128"/>
      <c r="CUW30" s="128"/>
      <c r="CUX30" s="128"/>
      <c r="CUY30" s="128"/>
      <c r="CUZ30" s="128"/>
      <c r="CVA30" s="128"/>
      <c r="CVB30" s="128"/>
      <c r="CVC30" s="128"/>
      <c r="CVD30" s="128"/>
      <c r="CVE30" s="128"/>
      <c r="CVF30" s="128"/>
      <c r="CVG30" s="128"/>
      <c r="CVH30" s="128"/>
      <c r="CVI30" s="128"/>
      <c r="CVJ30" s="128"/>
      <c r="CVK30" s="128"/>
      <c r="CVL30" s="128"/>
      <c r="CVM30" s="128"/>
      <c r="CVN30" s="128"/>
      <c r="CVO30" s="128"/>
      <c r="CVP30" s="128"/>
      <c r="CVQ30" s="128"/>
      <c r="CVR30" s="128"/>
      <c r="CVS30" s="128"/>
      <c r="CVT30" s="128"/>
      <c r="CVU30" s="128"/>
      <c r="CVV30" s="128"/>
      <c r="CVW30" s="128"/>
      <c r="CVX30" s="128"/>
      <c r="CVY30" s="128"/>
      <c r="CVZ30" s="128"/>
      <c r="CWA30" s="128"/>
      <c r="CWB30" s="128"/>
      <c r="CWC30" s="128"/>
      <c r="CWD30" s="128"/>
      <c r="CWE30" s="128"/>
      <c r="CWF30" s="128"/>
      <c r="CWG30" s="128"/>
      <c r="CWH30" s="128"/>
      <c r="CWI30" s="128"/>
      <c r="CWJ30" s="128"/>
      <c r="CWK30" s="128"/>
      <c r="CWL30" s="128"/>
      <c r="CWM30" s="128"/>
      <c r="CWN30" s="128"/>
      <c r="CWO30" s="128"/>
      <c r="CWP30" s="128"/>
      <c r="CWQ30" s="128"/>
      <c r="CWR30" s="128"/>
      <c r="CWS30" s="128"/>
      <c r="CWT30" s="128"/>
      <c r="CWU30" s="128"/>
      <c r="CWV30" s="128"/>
      <c r="CWW30" s="128"/>
      <c r="CWX30" s="128"/>
      <c r="CWY30" s="128"/>
      <c r="CWZ30" s="128"/>
      <c r="CXA30" s="128"/>
      <c r="CXB30" s="128"/>
      <c r="CXC30" s="128"/>
      <c r="CXD30" s="128"/>
      <c r="CXE30" s="128"/>
      <c r="CXF30" s="128"/>
      <c r="CXG30" s="128"/>
      <c r="CXH30" s="128"/>
      <c r="CXI30" s="128"/>
      <c r="CXJ30" s="128"/>
      <c r="CXK30" s="128"/>
      <c r="CXL30" s="128"/>
      <c r="CXM30" s="128"/>
      <c r="CXN30" s="128"/>
      <c r="CXO30" s="128"/>
      <c r="CXP30" s="128"/>
      <c r="CXQ30" s="128"/>
      <c r="CXR30" s="128"/>
      <c r="CXS30" s="128"/>
      <c r="CXT30" s="128"/>
      <c r="CXU30" s="128"/>
      <c r="CXV30" s="128"/>
      <c r="CXW30" s="128"/>
      <c r="CXX30" s="128"/>
      <c r="CXY30" s="128"/>
      <c r="CXZ30" s="128"/>
      <c r="CYA30" s="128"/>
      <c r="CYB30" s="128"/>
      <c r="CYC30" s="128"/>
      <c r="CYD30" s="128"/>
      <c r="CYE30" s="128"/>
      <c r="CYF30" s="128"/>
      <c r="CYG30" s="128"/>
      <c r="CYH30" s="128"/>
      <c r="CYI30" s="128"/>
      <c r="CYJ30" s="128"/>
      <c r="CYK30" s="128"/>
      <c r="CYL30" s="128"/>
      <c r="CYM30" s="128"/>
      <c r="CYN30" s="128"/>
      <c r="CYO30" s="128"/>
      <c r="CYP30" s="128"/>
      <c r="CYQ30" s="128"/>
      <c r="CYR30" s="128"/>
      <c r="CYS30" s="128"/>
      <c r="CYT30" s="128"/>
      <c r="CYU30" s="128"/>
      <c r="CYV30" s="128"/>
      <c r="CYW30" s="128"/>
      <c r="CYX30" s="128"/>
      <c r="CYY30" s="128"/>
      <c r="CYZ30" s="128"/>
      <c r="CZA30" s="128"/>
      <c r="CZB30" s="128"/>
      <c r="CZC30" s="128"/>
      <c r="CZD30" s="128"/>
      <c r="CZE30" s="128"/>
      <c r="CZF30" s="128"/>
      <c r="CZG30" s="128"/>
      <c r="CZH30" s="128"/>
      <c r="CZI30" s="128"/>
      <c r="CZJ30" s="128"/>
      <c r="CZK30" s="128"/>
      <c r="CZL30" s="128"/>
      <c r="CZM30" s="128"/>
      <c r="CZN30" s="128"/>
      <c r="CZO30" s="128"/>
      <c r="CZP30" s="128"/>
      <c r="CZQ30" s="128"/>
      <c r="CZR30" s="128"/>
      <c r="CZS30" s="128"/>
      <c r="CZT30" s="128"/>
      <c r="CZU30" s="128"/>
      <c r="CZV30" s="128"/>
      <c r="CZW30" s="128"/>
      <c r="CZX30" s="128"/>
      <c r="CZY30" s="128"/>
      <c r="CZZ30" s="128"/>
      <c r="DAA30" s="128"/>
      <c r="DAB30" s="128"/>
      <c r="DAC30" s="128"/>
      <c r="DAD30" s="128"/>
      <c r="DAE30" s="128"/>
      <c r="DAF30" s="128"/>
      <c r="DAG30" s="128"/>
      <c r="DAH30" s="128"/>
      <c r="DAI30" s="128"/>
      <c r="DAJ30" s="128"/>
      <c r="DAK30" s="128"/>
      <c r="DAL30" s="128"/>
      <c r="DAM30" s="128"/>
      <c r="DAN30" s="128"/>
      <c r="DAO30" s="128"/>
      <c r="DAP30" s="128"/>
      <c r="DAQ30" s="128"/>
      <c r="DAR30" s="128"/>
      <c r="DAS30" s="128"/>
      <c r="DAT30" s="128"/>
      <c r="DAU30" s="128"/>
      <c r="DAV30" s="128"/>
      <c r="DAW30" s="128"/>
      <c r="DAX30" s="128"/>
      <c r="DAY30" s="128"/>
      <c r="DAZ30" s="128"/>
      <c r="DBA30" s="128"/>
      <c r="DBB30" s="128"/>
      <c r="DBC30" s="128"/>
      <c r="DBD30" s="128"/>
      <c r="DBE30" s="128"/>
      <c r="DBF30" s="128"/>
      <c r="DBG30" s="128"/>
      <c r="DBH30" s="128"/>
      <c r="DBI30" s="128"/>
      <c r="DBJ30" s="128"/>
      <c r="DBK30" s="128"/>
      <c r="DBL30" s="128"/>
      <c r="DBM30" s="128"/>
      <c r="DBN30" s="128"/>
      <c r="DBO30" s="128"/>
      <c r="DBP30" s="128"/>
      <c r="DBQ30" s="128"/>
      <c r="DBR30" s="128"/>
      <c r="DBS30" s="128"/>
      <c r="DBT30" s="128"/>
      <c r="DBU30" s="128"/>
      <c r="DBV30" s="128"/>
      <c r="DBW30" s="128"/>
      <c r="DBX30" s="128"/>
      <c r="DBY30" s="128"/>
      <c r="DBZ30" s="128"/>
      <c r="DCA30" s="128"/>
      <c r="DCB30" s="128"/>
      <c r="DCC30" s="128"/>
      <c r="DCD30" s="128"/>
      <c r="DCE30" s="128"/>
      <c r="DCF30" s="128"/>
      <c r="DCG30" s="128"/>
      <c r="DCH30" s="128"/>
      <c r="DCI30" s="128"/>
      <c r="DCJ30" s="128"/>
      <c r="DCK30" s="128"/>
      <c r="DCL30" s="128"/>
      <c r="DCM30" s="128"/>
      <c r="DCN30" s="128"/>
      <c r="DCO30" s="128"/>
      <c r="DCP30" s="128"/>
      <c r="DCQ30" s="128"/>
      <c r="DCR30" s="128"/>
      <c r="DCS30" s="128"/>
      <c r="DCT30" s="128"/>
      <c r="DCU30" s="128"/>
      <c r="DCV30" s="128"/>
      <c r="DCW30" s="128"/>
      <c r="DCX30" s="128"/>
      <c r="DCY30" s="128"/>
      <c r="DCZ30" s="128"/>
      <c r="DDA30" s="128"/>
      <c r="DDB30" s="128"/>
      <c r="DDC30" s="128"/>
      <c r="DDD30" s="128"/>
      <c r="DDE30" s="128"/>
      <c r="DDF30" s="128"/>
      <c r="DDG30" s="128"/>
      <c r="DDH30" s="128"/>
      <c r="DDI30" s="128"/>
      <c r="DDJ30" s="128"/>
      <c r="DDK30" s="128"/>
      <c r="DDL30" s="128"/>
      <c r="DDM30" s="128"/>
      <c r="DDN30" s="128"/>
      <c r="DDO30" s="128"/>
      <c r="DDP30" s="128"/>
      <c r="DDQ30" s="128"/>
      <c r="DDR30" s="128"/>
      <c r="DDS30" s="128"/>
      <c r="DDT30" s="128"/>
      <c r="DDU30" s="128"/>
      <c r="DDV30" s="128"/>
      <c r="DDW30" s="128"/>
      <c r="DDX30" s="128"/>
      <c r="DDY30" s="128"/>
      <c r="DDZ30" s="128"/>
      <c r="DEA30" s="128"/>
      <c r="DEB30" s="128"/>
      <c r="DEC30" s="128"/>
      <c r="DED30" s="128"/>
      <c r="DEE30" s="128"/>
      <c r="DEF30" s="128"/>
      <c r="DEG30" s="128"/>
      <c r="DEH30" s="128"/>
      <c r="DEI30" s="128"/>
      <c r="DEJ30" s="128"/>
      <c r="DEK30" s="128"/>
      <c r="DEL30" s="128"/>
      <c r="DEM30" s="128"/>
      <c r="DEN30" s="128"/>
      <c r="DEO30" s="128"/>
      <c r="DEP30" s="128"/>
      <c r="DEQ30" s="128"/>
      <c r="DER30" s="128"/>
      <c r="DES30" s="128"/>
      <c r="DET30" s="128"/>
      <c r="DEU30" s="128"/>
      <c r="DEV30" s="128"/>
      <c r="DEW30" s="128"/>
      <c r="DEX30" s="128"/>
      <c r="DEY30" s="128"/>
      <c r="DEZ30" s="128"/>
      <c r="DFA30" s="128"/>
      <c r="DFB30" s="128"/>
      <c r="DFC30" s="128"/>
      <c r="DFD30" s="128"/>
      <c r="DFE30" s="128"/>
      <c r="DFF30" s="128"/>
      <c r="DFG30" s="128"/>
      <c r="DFH30" s="128"/>
      <c r="DFI30" s="128"/>
      <c r="DFJ30" s="128"/>
      <c r="DFK30" s="128"/>
      <c r="DFL30" s="128"/>
      <c r="DFM30" s="128"/>
      <c r="DFN30" s="128"/>
      <c r="DFO30" s="128"/>
      <c r="DFP30" s="128"/>
      <c r="DFQ30" s="128"/>
      <c r="DFR30" s="128"/>
      <c r="DFS30" s="128"/>
      <c r="DFT30" s="128"/>
      <c r="DFU30" s="128"/>
      <c r="DFV30" s="128"/>
      <c r="DFW30" s="128"/>
      <c r="DFX30" s="128"/>
      <c r="DFY30" s="128"/>
      <c r="DFZ30" s="128"/>
      <c r="DGA30" s="128"/>
      <c r="DGB30" s="128"/>
      <c r="DGC30" s="128"/>
      <c r="DGD30" s="128"/>
      <c r="DGE30" s="128"/>
      <c r="DGF30" s="128"/>
      <c r="DGG30" s="128"/>
      <c r="DGH30" s="128"/>
      <c r="DGI30" s="128"/>
      <c r="DGJ30" s="128"/>
      <c r="DGK30" s="128"/>
      <c r="DGL30" s="128"/>
      <c r="DGM30" s="128"/>
      <c r="DGN30" s="128"/>
      <c r="DGO30" s="128"/>
      <c r="DGP30" s="128"/>
      <c r="DGQ30" s="128"/>
      <c r="DGR30" s="128"/>
      <c r="DGS30" s="128"/>
      <c r="DGT30" s="128"/>
      <c r="DGU30" s="128"/>
      <c r="DGV30" s="128"/>
      <c r="DGW30" s="128"/>
      <c r="DGX30" s="128"/>
      <c r="DGY30" s="128"/>
      <c r="DGZ30" s="128"/>
      <c r="DHA30" s="128"/>
      <c r="DHB30" s="128"/>
      <c r="DHC30" s="128"/>
      <c r="DHD30" s="128"/>
      <c r="DHE30" s="128"/>
      <c r="DHF30" s="128"/>
      <c r="DHG30" s="128"/>
      <c r="DHH30" s="128"/>
      <c r="DHI30" s="128"/>
      <c r="DHJ30" s="128"/>
      <c r="DHK30" s="128"/>
      <c r="DHL30" s="128"/>
      <c r="DHM30" s="128"/>
      <c r="DHN30" s="128"/>
      <c r="DHO30" s="128"/>
      <c r="DHP30" s="128"/>
      <c r="DHQ30" s="128"/>
      <c r="DHR30" s="128"/>
      <c r="DHS30" s="128"/>
      <c r="DHT30" s="128"/>
      <c r="DHU30" s="128"/>
      <c r="DHV30" s="128"/>
      <c r="DHW30" s="128"/>
      <c r="DHX30" s="128"/>
      <c r="DHY30" s="128"/>
      <c r="DHZ30" s="128"/>
      <c r="DIA30" s="128"/>
      <c r="DIB30" s="128"/>
      <c r="DIC30" s="128"/>
    </row>
    <row r="31" spans="1:2941" s="154" customFormat="1" ht="12" x14ac:dyDescent="0.2">
      <c r="A31" s="156" t="s">
        <v>210</v>
      </c>
      <c r="B31" s="156"/>
      <c r="C31" s="157" t="s">
        <v>199</v>
      </c>
      <c r="D31" s="157" t="s">
        <v>200</v>
      </c>
      <c r="E31" s="157" t="s">
        <v>201</v>
      </c>
      <c r="F31" s="157" t="s">
        <v>11</v>
      </c>
      <c r="G31" s="157" t="s">
        <v>136</v>
      </c>
      <c r="H31" s="234" t="s">
        <v>211</v>
      </c>
      <c r="I31" s="147" t="s">
        <v>11</v>
      </c>
      <c r="J31" s="147" t="s">
        <v>146</v>
      </c>
      <c r="K31" s="147" t="s">
        <v>11</v>
      </c>
      <c r="L31" s="147" t="s">
        <v>138</v>
      </c>
      <c r="M31" s="147" t="s">
        <v>11</v>
      </c>
      <c r="N31" s="147" t="s">
        <v>138</v>
      </c>
      <c r="O31" s="192" t="s">
        <v>11</v>
      </c>
      <c r="P31" s="190" t="s">
        <v>140</v>
      </c>
      <c r="Q31" s="190" t="s">
        <v>11</v>
      </c>
      <c r="R31" s="190" t="s">
        <v>140</v>
      </c>
      <c r="S31" s="190" t="s">
        <v>140</v>
      </c>
      <c r="T31" s="190" t="s">
        <v>140</v>
      </c>
      <c r="U31" s="190" t="s">
        <v>140</v>
      </c>
      <c r="V31" s="190" t="s">
        <v>11</v>
      </c>
      <c r="W31" s="190" t="s">
        <v>140</v>
      </c>
      <c r="X31" s="190" t="s">
        <v>140</v>
      </c>
      <c r="Y31" s="190" t="s">
        <v>11</v>
      </c>
      <c r="Z31" s="190" t="s">
        <v>11</v>
      </c>
      <c r="AA31" s="190" t="s">
        <v>11</v>
      </c>
      <c r="AB31" s="190" t="s">
        <v>11</v>
      </c>
      <c r="AC31" s="190" t="s">
        <v>11</v>
      </c>
      <c r="AD31" s="190" t="s">
        <v>11</v>
      </c>
      <c r="AE31" s="190" t="s">
        <v>11</v>
      </c>
      <c r="AF31" s="190" t="s">
        <v>11</v>
      </c>
      <c r="AG31" s="190" t="s">
        <v>140</v>
      </c>
      <c r="AH31" s="278">
        <v>77</v>
      </c>
      <c r="AI31" s="278" t="s">
        <v>147</v>
      </c>
      <c r="AJ31" s="196"/>
      <c r="AK31" s="207" t="s">
        <v>11</v>
      </c>
      <c r="AL31" s="207" t="s">
        <v>11</v>
      </c>
      <c r="AM31" s="249"/>
      <c r="AN31" s="207" t="s">
        <v>140</v>
      </c>
      <c r="AO31" s="207" t="s">
        <v>140</v>
      </c>
      <c r="AP31" s="207" t="s">
        <v>140</v>
      </c>
      <c r="AQ31" s="207" t="s">
        <v>140</v>
      </c>
      <c r="AR31" s="207" t="s">
        <v>11</v>
      </c>
      <c r="AS31" s="207" t="s">
        <v>11</v>
      </c>
      <c r="AT31" s="207" t="s">
        <v>11</v>
      </c>
      <c r="AU31" s="190" t="s">
        <v>140</v>
      </c>
      <c r="AV31" s="190"/>
      <c r="AW31" s="204"/>
      <c r="AX31" s="204"/>
      <c r="AY31" s="204"/>
      <c r="AZ31" s="204"/>
      <c r="BA31" s="204"/>
      <c r="BB31" s="207" t="s">
        <v>11</v>
      </c>
      <c r="BC31" s="190"/>
      <c r="BD31" s="207"/>
      <c r="BE31" s="207"/>
      <c r="BF31" s="207"/>
      <c r="BG31" s="243"/>
      <c r="BH31" s="190" t="s">
        <v>11</v>
      </c>
      <c r="BI31" s="190" t="s">
        <v>11</v>
      </c>
      <c r="BJ31" s="190" t="s">
        <v>11</v>
      </c>
      <c r="BK31" s="190" t="s">
        <v>11</v>
      </c>
      <c r="BL31" s="190" t="s">
        <v>11</v>
      </c>
      <c r="BM31" s="190" t="s">
        <v>11</v>
      </c>
      <c r="BN31" s="190" t="s">
        <v>11</v>
      </c>
      <c r="BO31" s="190" t="s">
        <v>11</v>
      </c>
      <c r="BP31" s="190" t="s">
        <v>11</v>
      </c>
      <c r="BQ31" s="243"/>
      <c r="BR31" s="190" t="s">
        <v>11</v>
      </c>
      <c r="BS31" s="190" t="s">
        <v>11</v>
      </c>
      <c r="BT31" s="190" t="s">
        <v>11</v>
      </c>
      <c r="BU31" s="190" t="s">
        <v>11</v>
      </c>
      <c r="BV31" s="190" t="s">
        <v>11</v>
      </c>
      <c r="BW31" s="190" t="s">
        <v>11</v>
      </c>
      <c r="BX31" s="190" t="s">
        <v>11</v>
      </c>
      <c r="BY31" s="190" t="s">
        <v>11</v>
      </c>
      <c r="BZ31" s="190" t="s">
        <v>11</v>
      </c>
      <c r="CA31" s="190" t="s">
        <v>11</v>
      </c>
      <c r="CB31" s="190" t="s">
        <v>11</v>
      </c>
      <c r="CC31" s="243"/>
      <c r="CD31" s="190" t="s">
        <v>141</v>
      </c>
      <c r="CE31" s="190" t="s">
        <v>141</v>
      </c>
      <c r="CF31" s="190" t="s">
        <v>141</v>
      </c>
      <c r="CG31" s="190" t="s">
        <v>11</v>
      </c>
      <c r="CH31" s="190" t="s">
        <v>141</v>
      </c>
      <c r="CI31" s="190" t="s">
        <v>11</v>
      </c>
      <c r="CJ31" s="190" t="s">
        <v>11</v>
      </c>
      <c r="CK31" s="190" t="s">
        <v>11</v>
      </c>
      <c r="CL31" s="190" t="s">
        <v>141</v>
      </c>
      <c r="CM31" s="190" t="s">
        <v>141</v>
      </c>
      <c r="CN31" s="190" t="s">
        <v>11</v>
      </c>
      <c r="CO31" s="222"/>
      <c r="CP31" s="197" t="s">
        <v>11</v>
      </c>
      <c r="CQ31" s="197" t="s">
        <v>11</v>
      </c>
      <c r="CR31" s="197" t="s">
        <v>11</v>
      </c>
      <c r="CS31" s="197" t="s">
        <v>11</v>
      </c>
      <c r="CT31" s="197" t="s">
        <v>11</v>
      </c>
      <c r="CU31" s="197" t="s">
        <v>11</v>
      </c>
      <c r="CV31" s="197" t="s">
        <v>11</v>
      </c>
      <c r="CW31" s="206"/>
      <c r="CX31" s="197" t="s">
        <v>11</v>
      </c>
      <c r="CY31" s="197" t="s">
        <v>11</v>
      </c>
      <c r="CZ31" s="197" t="s">
        <v>11</v>
      </c>
      <c r="DA31" s="197" t="s">
        <v>11</v>
      </c>
      <c r="DB31" s="197" t="s">
        <v>11</v>
      </c>
      <c r="DC31" s="197" t="s">
        <v>11</v>
      </c>
      <c r="DD31" s="197" t="s">
        <v>11</v>
      </c>
      <c r="DE31" s="249"/>
      <c r="DF31" s="190" t="s">
        <v>11</v>
      </c>
      <c r="DG31" s="241"/>
      <c r="DH31" s="241"/>
      <c r="DI31" s="242"/>
      <c r="DJ31" s="242"/>
      <c r="DK31" s="128"/>
      <c r="DL31" s="128"/>
      <c r="DM31" s="128"/>
      <c r="DN31" s="128"/>
      <c r="DO31" s="128"/>
      <c r="DP31" s="128"/>
      <c r="DQ31" s="128"/>
      <c r="DR31" s="128"/>
      <c r="DS31" s="128"/>
      <c r="DT31" s="128"/>
      <c r="DU31" s="128"/>
      <c r="DV31" s="128"/>
      <c r="DW31" s="128"/>
      <c r="DX31" s="128"/>
      <c r="DY31" s="128"/>
      <c r="DZ31" s="128"/>
      <c r="EA31" s="128"/>
      <c r="EB31" s="128"/>
      <c r="EC31" s="128"/>
      <c r="ED31" s="128"/>
      <c r="EE31" s="128"/>
      <c r="EF31" s="128"/>
      <c r="EG31" s="128"/>
      <c r="EH31" s="128"/>
      <c r="EI31" s="128"/>
      <c r="EJ31" s="128"/>
      <c r="EK31" s="128"/>
      <c r="EL31" s="128"/>
      <c r="EM31" s="128"/>
      <c r="EN31" s="128"/>
      <c r="EO31" s="128"/>
      <c r="EP31" s="128"/>
      <c r="EQ31" s="128"/>
      <c r="ER31" s="128"/>
      <c r="ES31" s="128"/>
      <c r="ET31" s="128"/>
      <c r="EU31" s="128"/>
      <c r="EV31" s="128"/>
      <c r="EW31" s="128"/>
      <c r="EX31" s="128"/>
      <c r="EY31" s="128"/>
      <c r="EZ31" s="128"/>
      <c r="FA31" s="128"/>
      <c r="FB31" s="128"/>
      <c r="FC31" s="128"/>
      <c r="FD31" s="128"/>
      <c r="FE31" s="128"/>
      <c r="FF31" s="128"/>
      <c r="FG31" s="128"/>
      <c r="FH31" s="128"/>
      <c r="FI31" s="128"/>
      <c r="FJ31" s="128"/>
      <c r="FK31" s="128"/>
      <c r="FL31" s="128"/>
      <c r="FM31" s="128"/>
      <c r="FN31" s="128"/>
      <c r="FO31" s="128"/>
      <c r="FP31" s="128"/>
      <c r="FQ31" s="128"/>
      <c r="FR31" s="128"/>
      <c r="FS31" s="128"/>
      <c r="FT31" s="128"/>
      <c r="FU31" s="128"/>
      <c r="FV31" s="128"/>
      <c r="FW31" s="128"/>
      <c r="FX31" s="128"/>
      <c r="FY31" s="128"/>
      <c r="FZ31" s="128"/>
      <c r="GA31" s="128"/>
      <c r="GB31" s="128"/>
      <c r="GC31" s="128"/>
      <c r="GD31" s="128"/>
      <c r="GE31" s="128"/>
      <c r="GF31" s="128"/>
      <c r="GG31" s="128"/>
      <c r="GH31" s="128"/>
      <c r="GI31" s="128"/>
      <c r="GJ31" s="128"/>
      <c r="GK31" s="128"/>
      <c r="GL31" s="128"/>
      <c r="GM31" s="128"/>
      <c r="GN31" s="128"/>
      <c r="GO31" s="128"/>
      <c r="GP31" s="128"/>
      <c r="GQ31" s="128"/>
      <c r="GR31" s="128"/>
      <c r="GS31" s="128"/>
      <c r="GT31" s="128"/>
      <c r="GU31" s="128"/>
      <c r="GV31" s="128"/>
      <c r="GW31" s="128"/>
      <c r="GX31" s="128"/>
      <c r="GY31" s="128"/>
      <c r="GZ31" s="128"/>
      <c r="HA31" s="128"/>
      <c r="HB31" s="128"/>
      <c r="HC31" s="128"/>
      <c r="HD31" s="128"/>
      <c r="HE31" s="128"/>
      <c r="HF31" s="128"/>
      <c r="HG31" s="128"/>
      <c r="HH31" s="128"/>
      <c r="HI31" s="128"/>
      <c r="HJ31" s="128"/>
      <c r="HK31" s="128"/>
      <c r="HL31" s="128"/>
      <c r="HM31" s="128"/>
      <c r="HN31" s="128"/>
      <c r="HO31" s="128"/>
      <c r="HP31" s="128"/>
      <c r="HQ31" s="128"/>
      <c r="HR31" s="128"/>
      <c r="HS31" s="128"/>
      <c r="HT31" s="128"/>
      <c r="HU31" s="128"/>
      <c r="HV31" s="128"/>
      <c r="HW31" s="128"/>
      <c r="HX31" s="128"/>
      <c r="HY31" s="128"/>
      <c r="HZ31" s="128"/>
      <c r="IA31" s="128"/>
      <c r="IB31" s="128"/>
      <c r="IC31" s="128"/>
      <c r="ID31" s="128"/>
      <c r="IE31" s="128"/>
      <c r="IF31" s="128"/>
      <c r="IG31" s="128"/>
      <c r="IH31" s="128"/>
      <c r="II31" s="128"/>
      <c r="IJ31" s="128"/>
      <c r="IK31" s="128"/>
      <c r="IL31" s="128"/>
      <c r="IM31" s="128"/>
      <c r="IN31" s="128"/>
      <c r="IO31" s="128"/>
      <c r="IP31" s="128"/>
      <c r="IQ31" s="128"/>
      <c r="IR31" s="128"/>
      <c r="IS31" s="128"/>
      <c r="IT31" s="128"/>
      <c r="IU31" s="128"/>
      <c r="IV31" s="128"/>
      <c r="IW31" s="128"/>
      <c r="IX31" s="128"/>
      <c r="IY31" s="128"/>
      <c r="IZ31" s="128"/>
      <c r="JA31" s="128"/>
      <c r="JB31" s="128"/>
      <c r="JC31" s="128"/>
      <c r="JD31" s="128"/>
      <c r="JE31" s="128"/>
      <c r="JF31" s="128"/>
      <c r="JG31" s="128"/>
      <c r="JH31" s="128"/>
      <c r="JI31" s="128"/>
      <c r="JJ31" s="128"/>
      <c r="JK31" s="128"/>
      <c r="JL31" s="128"/>
      <c r="JM31" s="128"/>
      <c r="JN31" s="128"/>
      <c r="JO31" s="128"/>
      <c r="JP31" s="128"/>
      <c r="JQ31" s="128"/>
      <c r="JR31" s="128"/>
      <c r="JS31" s="128"/>
      <c r="JT31" s="128"/>
      <c r="JU31" s="128"/>
      <c r="JV31" s="128"/>
      <c r="JW31" s="128"/>
      <c r="JX31" s="128"/>
      <c r="JY31" s="128"/>
      <c r="JZ31" s="128"/>
      <c r="KA31" s="128"/>
      <c r="KB31" s="128"/>
      <c r="KC31" s="128"/>
      <c r="KD31" s="128"/>
      <c r="KE31" s="128"/>
      <c r="KF31" s="128"/>
      <c r="KG31" s="128"/>
      <c r="KH31" s="128"/>
      <c r="KI31" s="128"/>
      <c r="KJ31" s="128"/>
      <c r="KK31" s="128"/>
      <c r="KL31" s="128"/>
      <c r="KM31" s="128"/>
      <c r="KN31" s="128"/>
      <c r="KO31" s="128"/>
      <c r="KP31" s="128"/>
      <c r="KQ31" s="128"/>
      <c r="KR31" s="128"/>
      <c r="KS31" s="128"/>
      <c r="KT31" s="128"/>
      <c r="KU31" s="128"/>
      <c r="KV31" s="128"/>
      <c r="KW31" s="128"/>
      <c r="KX31" s="128"/>
      <c r="KY31" s="128"/>
      <c r="KZ31" s="128"/>
      <c r="LA31" s="128"/>
      <c r="LB31" s="128"/>
      <c r="LC31" s="128"/>
      <c r="LD31" s="128"/>
      <c r="LE31" s="128"/>
      <c r="LF31" s="128"/>
      <c r="LG31" s="128"/>
      <c r="LH31" s="128"/>
      <c r="LI31" s="128"/>
      <c r="LJ31" s="128"/>
      <c r="LK31" s="128"/>
      <c r="LL31" s="128"/>
      <c r="LM31" s="128"/>
      <c r="LN31" s="128"/>
      <c r="LO31" s="128"/>
      <c r="LP31" s="128"/>
      <c r="LQ31" s="128"/>
      <c r="LR31" s="128"/>
      <c r="LS31" s="128"/>
      <c r="LT31" s="128"/>
      <c r="LU31" s="128"/>
      <c r="LV31" s="128"/>
      <c r="LW31" s="128"/>
      <c r="LX31" s="128"/>
      <c r="LY31" s="128"/>
      <c r="LZ31" s="128"/>
      <c r="MA31" s="128"/>
      <c r="MB31" s="128"/>
      <c r="MC31" s="128"/>
      <c r="MD31" s="128"/>
      <c r="ME31" s="128"/>
      <c r="MF31" s="128"/>
      <c r="MG31" s="128"/>
      <c r="MH31" s="128"/>
      <c r="MI31" s="128"/>
      <c r="MJ31" s="128"/>
      <c r="MK31" s="128"/>
      <c r="ML31" s="128"/>
      <c r="MM31" s="128"/>
      <c r="MN31" s="128"/>
      <c r="MO31" s="128"/>
      <c r="MP31" s="128"/>
      <c r="MQ31" s="128"/>
      <c r="MR31" s="128"/>
      <c r="MS31" s="128"/>
      <c r="MT31" s="128"/>
      <c r="MU31" s="128"/>
      <c r="MV31" s="128"/>
      <c r="MW31" s="128"/>
      <c r="MX31" s="128"/>
      <c r="MY31" s="128"/>
      <c r="MZ31" s="128"/>
      <c r="NA31" s="128"/>
      <c r="NB31" s="128"/>
      <c r="NC31" s="128"/>
      <c r="ND31" s="128"/>
      <c r="NE31" s="128"/>
      <c r="NF31" s="128"/>
      <c r="NG31" s="128"/>
      <c r="NH31" s="128"/>
      <c r="NI31" s="128"/>
      <c r="NJ31" s="128"/>
      <c r="NK31" s="128"/>
      <c r="NL31" s="128"/>
      <c r="NM31" s="128"/>
      <c r="NN31" s="128"/>
      <c r="NO31" s="128"/>
      <c r="NP31" s="128"/>
      <c r="NQ31" s="128"/>
      <c r="NR31" s="128"/>
      <c r="NS31" s="128"/>
      <c r="NT31" s="128"/>
      <c r="NU31" s="128"/>
      <c r="NV31" s="128"/>
      <c r="NW31" s="128"/>
      <c r="NX31" s="128"/>
      <c r="NY31" s="128"/>
      <c r="NZ31" s="128"/>
      <c r="OA31" s="128"/>
      <c r="OB31" s="128"/>
      <c r="OC31" s="128"/>
      <c r="OD31" s="128"/>
      <c r="OE31" s="128"/>
      <c r="OF31" s="128"/>
      <c r="OG31" s="128"/>
      <c r="OH31" s="128"/>
      <c r="OI31" s="128"/>
      <c r="OJ31" s="128"/>
      <c r="OK31" s="128"/>
      <c r="OL31" s="128"/>
      <c r="OM31" s="128"/>
      <c r="ON31" s="128"/>
      <c r="OO31" s="128"/>
      <c r="OP31" s="128"/>
      <c r="OQ31" s="128"/>
      <c r="OR31" s="128"/>
      <c r="OS31" s="128"/>
      <c r="OT31" s="128"/>
      <c r="OU31" s="128"/>
      <c r="OV31" s="128"/>
      <c r="OW31" s="128"/>
      <c r="OX31" s="128"/>
      <c r="OY31" s="128"/>
      <c r="OZ31" s="128"/>
      <c r="PA31" s="128"/>
      <c r="PB31" s="128"/>
      <c r="PC31" s="128"/>
      <c r="PD31" s="128"/>
      <c r="PE31" s="128"/>
      <c r="PF31" s="128"/>
      <c r="PG31" s="128"/>
      <c r="PH31" s="128"/>
      <c r="PI31" s="128"/>
      <c r="PJ31" s="128"/>
      <c r="PK31" s="128"/>
      <c r="PL31" s="128"/>
      <c r="PM31" s="128"/>
      <c r="PN31" s="128"/>
      <c r="PO31" s="128"/>
      <c r="PP31" s="128"/>
      <c r="PQ31" s="128"/>
      <c r="PR31" s="128"/>
      <c r="PS31" s="128"/>
      <c r="PT31" s="128"/>
      <c r="PU31" s="128"/>
      <c r="PV31" s="128"/>
      <c r="PW31" s="128"/>
      <c r="PX31" s="128"/>
      <c r="PY31" s="128"/>
      <c r="PZ31" s="128"/>
      <c r="QA31" s="128"/>
      <c r="QB31" s="128"/>
      <c r="QC31" s="128"/>
      <c r="QD31" s="128"/>
      <c r="QE31" s="128"/>
      <c r="QF31" s="128"/>
      <c r="QG31" s="128"/>
      <c r="QH31" s="128"/>
      <c r="QI31" s="128"/>
      <c r="QJ31" s="128"/>
      <c r="QK31" s="128"/>
      <c r="QL31" s="128"/>
      <c r="QM31" s="128"/>
      <c r="QN31" s="128"/>
      <c r="QO31" s="128"/>
      <c r="QP31" s="128"/>
      <c r="QQ31" s="128"/>
      <c r="QR31" s="128"/>
      <c r="QS31" s="128"/>
      <c r="QT31" s="128"/>
      <c r="QU31" s="128"/>
      <c r="QV31" s="128"/>
      <c r="QW31" s="128"/>
      <c r="QX31" s="128"/>
      <c r="QY31" s="128"/>
      <c r="QZ31" s="128"/>
      <c r="RA31" s="128"/>
      <c r="RB31" s="128"/>
      <c r="RC31" s="128"/>
      <c r="RD31" s="128"/>
      <c r="RE31" s="128"/>
      <c r="RF31" s="128"/>
      <c r="RG31" s="128"/>
      <c r="RH31" s="128"/>
      <c r="RI31" s="128"/>
      <c r="RJ31" s="128"/>
      <c r="RK31" s="128"/>
      <c r="RL31" s="128"/>
      <c r="RM31" s="128"/>
      <c r="RN31" s="128"/>
      <c r="RO31" s="128"/>
      <c r="RP31" s="128"/>
      <c r="RQ31" s="128"/>
      <c r="RR31" s="128"/>
      <c r="RS31" s="128"/>
      <c r="RT31" s="128"/>
      <c r="RU31" s="128"/>
      <c r="RV31" s="128"/>
      <c r="RW31" s="128"/>
      <c r="RX31" s="128"/>
      <c r="RY31" s="128"/>
      <c r="RZ31" s="128"/>
      <c r="SA31" s="128"/>
      <c r="SB31" s="128"/>
      <c r="SC31" s="128"/>
      <c r="SD31" s="128"/>
      <c r="SE31" s="128"/>
      <c r="SF31" s="128"/>
      <c r="SG31" s="128"/>
      <c r="SH31" s="128"/>
      <c r="SI31" s="128"/>
      <c r="SJ31" s="128"/>
      <c r="SK31" s="128"/>
      <c r="SL31" s="128"/>
      <c r="SM31" s="128"/>
      <c r="SN31" s="128"/>
      <c r="SO31" s="128"/>
      <c r="SP31" s="128"/>
      <c r="SQ31" s="128"/>
      <c r="SR31" s="128"/>
      <c r="SS31" s="128"/>
      <c r="ST31" s="128"/>
      <c r="SU31" s="128"/>
      <c r="SV31" s="128"/>
      <c r="SW31" s="128"/>
      <c r="SX31" s="128"/>
      <c r="SY31" s="128"/>
      <c r="SZ31" s="128"/>
      <c r="TA31" s="128"/>
      <c r="TB31" s="128"/>
      <c r="TC31" s="128"/>
      <c r="TD31" s="128"/>
      <c r="TE31" s="128"/>
      <c r="TF31" s="128"/>
      <c r="TG31" s="128"/>
      <c r="TH31" s="128"/>
      <c r="TI31" s="128"/>
      <c r="TJ31" s="128"/>
      <c r="TK31" s="128"/>
      <c r="TL31" s="128"/>
      <c r="TM31" s="128"/>
      <c r="TN31" s="128"/>
      <c r="TO31" s="128"/>
      <c r="TP31" s="128"/>
      <c r="TQ31" s="128"/>
      <c r="TR31" s="128"/>
      <c r="TS31" s="128"/>
      <c r="TT31" s="128"/>
      <c r="TU31" s="128"/>
      <c r="TV31" s="128"/>
      <c r="TW31" s="128"/>
      <c r="TX31" s="128"/>
      <c r="TY31" s="128"/>
      <c r="TZ31" s="128"/>
      <c r="UA31" s="128"/>
      <c r="UB31" s="128"/>
      <c r="UC31" s="128"/>
      <c r="UD31" s="128"/>
      <c r="UE31" s="128"/>
      <c r="UF31" s="128"/>
      <c r="UG31" s="128"/>
      <c r="UH31" s="128"/>
      <c r="UI31" s="128"/>
      <c r="UJ31" s="128"/>
      <c r="UK31" s="128"/>
      <c r="UL31" s="128"/>
      <c r="UM31" s="128"/>
      <c r="UN31" s="128"/>
      <c r="UO31" s="128"/>
      <c r="UP31" s="128"/>
      <c r="UQ31" s="128"/>
      <c r="UR31" s="128"/>
      <c r="US31" s="128"/>
      <c r="UT31" s="128"/>
      <c r="UU31" s="128"/>
      <c r="UV31" s="128"/>
      <c r="UW31" s="128"/>
      <c r="UX31" s="128"/>
      <c r="UY31" s="128"/>
      <c r="UZ31" s="128"/>
      <c r="VA31" s="128"/>
      <c r="VB31" s="128"/>
      <c r="VC31" s="128"/>
      <c r="VD31" s="128"/>
      <c r="VE31" s="128"/>
      <c r="VF31" s="128"/>
      <c r="VG31" s="128"/>
      <c r="VH31" s="128"/>
      <c r="VI31" s="128"/>
      <c r="VJ31" s="128"/>
      <c r="VK31" s="128"/>
      <c r="VL31" s="128"/>
      <c r="VM31" s="128"/>
      <c r="VN31" s="128"/>
      <c r="VO31" s="128"/>
      <c r="VP31" s="128"/>
      <c r="VQ31" s="128"/>
      <c r="VR31" s="128"/>
      <c r="VS31" s="128"/>
      <c r="VT31" s="128"/>
      <c r="VU31" s="128"/>
      <c r="VV31" s="128"/>
      <c r="VW31" s="128"/>
      <c r="VX31" s="128"/>
      <c r="VY31" s="128"/>
      <c r="VZ31" s="128"/>
      <c r="WA31" s="128"/>
      <c r="WB31" s="128"/>
      <c r="WC31" s="128"/>
      <c r="WD31" s="128"/>
      <c r="WE31" s="128"/>
      <c r="WF31" s="128"/>
      <c r="WG31" s="128"/>
      <c r="WH31" s="128"/>
      <c r="WI31" s="128"/>
      <c r="WJ31" s="128"/>
      <c r="WK31" s="128"/>
      <c r="WL31" s="128"/>
      <c r="WM31" s="128"/>
      <c r="WN31" s="128"/>
      <c r="WO31" s="128"/>
      <c r="WP31" s="128"/>
      <c r="WQ31" s="128"/>
      <c r="WR31" s="128"/>
      <c r="WS31" s="128"/>
      <c r="WT31" s="128"/>
      <c r="WU31" s="128"/>
      <c r="WV31" s="128"/>
      <c r="WW31" s="128"/>
      <c r="WX31" s="128"/>
      <c r="WY31" s="128"/>
      <c r="WZ31" s="128"/>
      <c r="XA31" s="128"/>
      <c r="XB31" s="128"/>
      <c r="XC31" s="128"/>
      <c r="XD31" s="128"/>
      <c r="XE31" s="128"/>
      <c r="XF31" s="128"/>
      <c r="XG31" s="128"/>
      <c r="XH31" s="128"/>
      <c r="XI31" s="128"/>
      <c r="XJ31" s="128"/>
      <c r="XK31" s="128"/>
      <c r="XL31" s="128"/>
      <c r="XM31" s="128"/>
      <c r="XN31" s="128"/>
      <c r="XO31" s="128"/>
      <c r="XP31" s="128"/>
      <c r="XQ31" s="128"/>
      <c r="XR31" s="128"/>
      <c r="XS31" s="128"/>
      <c r="XT31" s="128"/>
      <c r="XU31" s="128"/>
      <c r="XV31" s="128"/>
      <c r="XW31" s="128"/>
      <c r="XX31" s="128"/>
      <c r="XY31" s="128"/>
      <c r="XZ31" s="128"/>
      <c r="YA31" s="128"/>
      <c r="YB31" s="128"/>
      <c r="YC31" s="128"/>
      <c r="YD31" s="128"/>
      <c r="YE31" s="128"/>
      <c r="YF31" s="128"/>
      <c r="YG31" s="128"/>
      <c r="YH31" s="128"/>
      <c r="YI31" s="128"/>
      <c r="YJ31" s="128"/>
      <c r="YK31" s="128"/>
      <c r="YL31" s="128"/>
      <c r="YM31" s="128"/>
      <c r="YN31" s="128"/>
      <c r="YO31" s="128"/>
      <c r="YP31" s="128"/>
      <c r="YQ31" s="128"/>
      <c r="YR31" s="128"/>
      <c r="YS31" s="128"/>
      <c r="YT31" s="128"/>
      <c r="YU31" s="128"/>
      <c r="YV31" s="128"/>
      <c r="YW31" s="128"/>
      <c r="YX31" s="128"/>
      <c r="YY31" s="128"/>
      <c r="YZ31" s="128"/>
      <c r="ZA31" s="128"/>
      <c r="ZB31" s="128"/>
      <c r="ZC31" s="128"/>
      <c r="ZD31" s="128"/>
      <c r="ZE31" s="128"/>
      <c r="ZF31" s="128"/>
      <c r="ZG31" s="128"/>
      <c r="ZH31" s="128"/>
      <c r="ZI31" s="128"/>
      <c r="ZJ31" s="128"/>
      <c r="ZK31" s="128"/>
      <c r="ZL31" s="128"/>
      <c r="ZM31" s="128"/>
      <c r="ZN31" s="128"/>
      <c r="ZO31" s="128"/>
      <c r="ZP31" s="128"/>
      <c r="ZQ31" s="128"/>
      <c r="ZR31" s="128"/>
      <c r="ZS31" s="128"/>
      <c r="ZT31" s="128"/>
      <c r="ZU31" s="128"/>
      <c r="ZV31" s="128"/>
      <c r="ZW31" s="128"/>
      <c r="ZX31" s="128"/>
      <c r="ZY31" s="128"/>
      <c r="ZZ31" s="128"/>
      <c r="AAA31" s="128"/>
      <c r="AAB31" s="128"/>
      <c r="AAC31" s="128"/>
      <c r="AAD31" s="128"/>
      <c r="AAE31" s="128"/>
      <c r="AAF31" s="128"/>
      <c r="AAG31" s="128"/>
      <c r="AAH31" s="128"/>
      <c r="AAI31" s="128"/>
      <c r="AAJ31" s="128"/>
      <c r="AAK31" s="128"/>
      <c r="AAL31" s="128"/>
      <c r="AAM31" s="128"/>
      <c r="AAN31" s="128"/>
      <c r="AAO31" s="128"/>
      <c r="AAP31" s="128"/>
      <c r="AAQ31" s="128"/>
      <c r="AAR31" s="128"/>
      <c r="AAS31" s="128"/>
      <c r="AAT31" s="128"/>
      <c r="AAU31" s="128"/>
      <c r="AAV31" s="128"/>
      <c r="AAW31" s="128"/>
      <c r="AAX31" s="128"/>
      <c r="AAY31" s="128"/>
      <c r="AAZ31" s="128"/>
      <c r="ABA31" s="128"/>
      <c r="ABB31" s="128"/>
      <c r="ABC31" s="128"/>
      <c r="ABD31" s="128"/>
      <c r="ABE31" s="128"/>
      <c r="ABF31" s="128"/>
      <c r="ABG31" s="128"/>
      <c r="ABH31" s="128"/>
      <c r="ABI31" s="128"/>
      <c r="ABJ31" s="128"/>
      <c r="ABK31" s="128"/>
      <c r="ABL31" s="128"/>
      <c r="ABM31" s="128"/>
      <c r="ABN31" s="128"/>
      <c r="ABO31" s="128"/>
      <c r="ABP31" s="128"/>
      <c r="ABQ31" s="128"/>
      <c r="ABR31" s="128"/>
      <c r="ABS31" s="128"/>
      <c r="ABT31" s="128"/>
      <c r="ABU31" s="128"/>
      <c r="ABV31" s="128"/>
      <c r="ABW31" s="128"/>
      <c r="ABX31" s="128"/>
      <c r="ABY31" s="128"/>
      <c r="ABZ31" s="128"/>
      <c r="ACA31" s="128"/>
      <c r="ACB31" s="128"/>
      <c r="ACC31" s="128"/>
      <c r="ACD31" s="128"/>
      <c r="ACE31" s="128"/>
      <c r="ACF31" s="128"/>
      <c r="ACG31" s="128"/>
      <c r="ACH31" s="128"/>
      <c r="ACI31" s="128"/>
      <c r="ACJ31" s="128"/>
      <c r="ACK31" s="128"/>
      <c r="ACL31" s="128"/>
      <c r="ACM31" s="128"/>
      <c r="ACN31" s="128"/>
      <c r="ACO31" s="128"/>
      <c r="ACP31" s="128"/>
      <c r="ACQ31" s="128"/>
      <c r="ACR31" s="128"/>
      <c r="ACS31" s="128"/>
      <c r="ACT31" s="128"/>
      <c r="ACU31" s="128"/>
      <c r="ACV31" s="128"/>
      <c r="ACW31" s="128"/>
      <c r="ACX31" s="128"/>
      <c r="ACY31" s="128"/>
      <c r="ACZ31" s="128"/>
      <c r="ADA31" s="128"/>
      <c r="ADB31" s="128"/>
      <c r="ADC31" s="128"/>
      <c r="ADD31" s="128"/>
      <c r="ADE31" s="128"/>
      <c r="ADF31" s="128"/>
      <c r="ADG31" s="128"/>
      <c r="ADH31" s="128"/>
      <c r="ADI31" s="128"/>
      <c r="ADJ31" s="128"/>
      <c r="ADK31" s="128"/>
      <c r="ADL31" s="128"/>
      <c r="ADM31" s="128"/>
      <c r="ADN31" s="128"/>
      <c r="ADO31" s="128"/>
      <c r="ADP31" s="128"/>
      <c r="ADQ31" s="128"/>
      <c r="ADR31" s="128"/>
      <c r="ADS31" s="128"/>
      <c r="ADT31" s="128"/>
      <c r="ADU31" s="128"/>
      <c r="ADV31" s="128"/>
      <c r="ADW31" s="128"/>
      <c r="ADX31" s="128"/>
      <c r="ADY31" s="128"/>
      <c r="ADZ31" s="128"/>
      <c r="AEA31" s="128"/>
      <c r="AEB31" s="128"/>
      <c r="AEC31" s="128"/>
      <c r="AED31" s="128"/>
      <c r="AEE31" s="128"/>
      <c r="AEF31" s="128"/>
      <c r="AEG31" s="128"/>
      <c r="AEH31" s="128"/>
      <c r="AEI31" s="128"/>
      <c r="AEJ31" s="128"/>
      <c r="AEK31" s="128"/>
      <c r="AEL31" s="128"/>
      <c r="AEM31" s="128"/>
      <c r="AEN31" s="128"/>
      <c r="AEO31" s="128"/>
      <c r="AEP31" s="128"/>
      <c r="AEQ31" s="128"/>
      <c r="AER31" s="128"/>
      <c r="AES31" s="128"/>
      <c r="AET31" s="128"/>
      <c r="AEU31" s="128"/>
      <c r="AEV31" s="128"/>
      <c r="AEW31" s="128"/>
      <c r="AEX31" s="128"/>
      <c r="AEY31" s="128"/>
      <c r="AEZ31" s="128"/>
      <c r="AFA31" s="128"/>
      <c r="AFB31" s="128"/>
      <c r="AFC31" s="128"/>
      <c r="AFD31" s="128"/>
      <c r="AFE31" s="128"/>
      <c r="AFF31" s="128"/>
      <c r="AFG31" s="128"/>
      <c r="AFH31" s="128"/>
      <c r="AFI31" s="128"/>
      <c r="AFJ31" s="128"/>
      <c r="AFK31" s="128"/>
      <c r="AFL31" s="128"/>
      <c r="AFM31" s="128"/>
      <c r="AFN31" s="128"/>
      <c r="AFO31" s="128"/>
      <c r="AFP31" s="128"/>
      <c r="AFQ31" s="128"/>
      <c r="AFR31" s="128"/>
      <c r="AFS31" s="128"/>
      <c r="AFT31" s="128"/>
      <c r="AFU31" s="128"/>
      <c r="AFV31" s="128"/>
      <c r="AFW31" s="128"/>
      <c r="AFX31" s="128"/>
      <c r="AFY31" s="128"/>
      <c r="AFZ31" s="128"/>
      <c r="AGA31" s="128"/>
      <c r="AGB31" s="128"/>
      <c r="AGC31" s="128"/>
      <c r="AGD31" s="128"/>
      <c r="AGE31" s="128"/>
      <c r="AGF31" s="128"/>
      <c r="AGG31" s="128"/>
      <c r="AGH31" s="128"/>
      <c r="AGI31" s="128"/>
      <c r="AGJ31" s="128"/>
      <c r="AGK31" s="128"/>
      <c r="AGL31" s="128"/>
      <c r="AGM31" s="128"/>
      <c r="AGN31" s="128"/>
      <c r="AGO31" s="128"/>
      <c r="AGP31" s="128"/>
      <c r="AGQ31" s="128"/>
      <c r="AGR31" s="128"/>
      <c r="AGS31" s="128"/>
      <c r="AGT31" s="128"/>
      <c r="AGU31" s="128"/>
      <c r="AGV31" s="128"/>
      <c r="AGW31" s="128"/>
      <c r="AGX31" s="128"/>
      <c r="AGY31" s="128"/>
      <c r="AGZ31" s="128"/>
      <c r="AHA31" s="128"/>
      <c r="AHB31" s="128"/>
      <c r="AHC31" s="128"/>
      <c r="AHD31" s="128"/>
      <c r="AHE31" s="128"/>
      <c r="AHF31" s="128"/>
      <c r="AHG31" s="128"/>
      <c r="AHH31" s="128"/>
      <c r="AHI31" s="128"/>
      <c r="AHJ31" s="128"/>
      <c r="AHK31" s="128"/>
      <c r="AHL31" s="128"/>
      <c r="AHM31" s="128"/>
      <c r="AHN31" s="128"/>
      <c r="AHO31" s="128"/>
      <c r="AHP31" s="128"/>
      <c r="AHQ31" s="128"/>
      <c r="AHR31" s="128"/>
      <c r="AHS31" s="128"/>
      <c r="AHT31" s="128"/>
      <c r="AHU31" s="128"/>
      <c r="AHV31" s="128"/>
      <c r="AHW31" s="128"/>
      <c r="AHX31" s="128"/>
      <c r="AHY31" s="128"/>
      <c r="AHZ31" s="128"/>
      <c r="AIA31" s="128"/>
      <c r="AIB31" s="128"/>
      <c r="AIC31" s="128"/>
      <c r="AID31" s="128"/>
      <c r="AIE31" s="128"/>
      <c r="AIF31" s="128"/>
      <c r="AIG31" s="128"/>
      <c r="AIH31" s="128"/>
      <c r="AII31" s="128"/>
      <c r="AIJ31" s="128"/>
      <c r="AIK31" s="128"/>
      <c r="AIL31" s="128"/>
      <c r="AIM31" s="128"/>
      <c r="AIN31" s="128"/>
      <c r="AIO31" s="128"/>
      <c r="AIP31" s="128"/>
      <c r="AIQ31" s="128"/>
      <c r="AIR31" s="128"/>
      <c r="AIS31" s="128"/>
      <c r="AIT31" s="128"/>
      <c r="AIU31" s="128"/>
      <c r="AIV31" s="128"/>
      <c r="AIW31" s="128"/>
      <c r="AIX31" s="128"/>
      <c r="AIY31" s="128"/>
      <c r="AIZ31" s="128"/>
      <c r="AJA31" s="128"/>
      <c r="AJB31" s="128"/>
      <c r="AJC31" s="128"/>
      <c r="AJD31" s="128"/>
      <c r="AJE31" s="128"/>
      <c r="AJF31" s="128"/>
      <c r="AJG31" s="128"/>
      <c r="AJH31" s="128"/>
      <c r="AJI31" s="128"/>
      <c r="AJJ31" s="128"/>
      <c r="AJK31" s="128"/>
      <c r="AJL31" s="128"/>
      <c r="AJM31" s="128"/>
      <c r="AJN31" s="128"/>
      <c r="AJO31" s="128"/>
      <c r="AJP31" s="128"/>
      <c r="AJQ31" s="128"/>
      <c r="AJR31" s="128"/>
      <c r="AJS31" s="128"/>
      <c r="AJT31" s="128"/>
      <c r="AJU31" s="128"/>
      <c r="AJV31" s="128"/>
      <c r="AJW31" s="128"/>
      <c r="AJX31" s="128"/>
      <c r="AJY31" s="128"/>
      <c r="AJZ31" s="128"/>
      <c r="AKA31" s="128"/>
      <c r="AKB31" s="128"/>
      <c r="AKC31" s="128"/>
      <c r="AKD31" s="128"/>
      <c r="AKE31" s="128"/>
      <c r="AKF31" s="128"/>
      <c r="AKG31" s="128"/>
      <c r="AKH31" s="128"/>
      <c r="AKI31" s="128"/>
      <c r="AKJ31" s="128"/>
      <c r="AKK31" s="128"/>
      <c r="AKL31" s="128"/>
      <c r="AKM31" s="128"/>
      <c r="AKN31" s="128"/>
      <c r="AKO31" s="128"/>
      <c r="AKP31" s="128"/>
      <c r="AKQ31" s="128"/>
      <c r="AKR31" s="128"/>
      <c r="AKS31" s="128"/>
      <c r="AKT31" s="128"/>
      <c r="AKU31" s="128"/>
      <c r="AKV31" s="128"/>
      <c r="AKW31" s="128"/>
      <c r="AKX31" s="128"/>
      <c r="AKY31" s="128"/>
      <c r="AKZ31" s="128"/>
      <c r="ALA31" s="128"/>
      <c r="ALB31" s="128"/>
      <c r="ALC31" s="128"/>
      <c r="ALD31" s="128"/>
      <c r="ALE31" s="128"/>
      <c r="ALF31" s="128"/>
      <c r="ALG31" s="128"/>
      <c r="ALH31" s="128"/>
      <c r="ALI31" s="128"/>
      <c r="ALJ31" s="128"/>
      <c r="ALK31" s="128"/>
      <c r="ALL31" s="128"/>
      <c r="ALM31" s="128"/>
      <c r="ALN31" s="128"/>
      <c r="ALO31" s="128"/>
      <c r="ALP31" s="128"/>
      <c r="ALQ31" s="128"/>
      <c r="ALR31" s="128"/>
      <c r="ALS31" s="128"/>
      <c r="ALT31" s="128"/>
      <c r="ALU31" s="128"/>
      <c r="ALV31" s="128"/>
      <c r="ALW31" s="128"/>
      <c r="ALX31" s="128"/>
      <c r="ALY31" s="128"/>
      <c r="ALZ31" s="128"/>
      <c r="AMA31" s="128"/>
      <c r="AMB31" s="128"/>
      <c r="AMC31" s="128"/>
      <c r="AMD31" s="128"/>
      <c r="AME31" s="128"/>
      <c r="AMF31" s="128"/>
      <c r="AMG31" s="128"/>
      <c r="AMH31" s="128"/>
      <c r="AMI31" s="128"/>
      <c r="AMJ31" s="128"/>
      <c r="AMK31" s="128"/>
      <c r="AML31" s="128"/>
      <c r="AMM31" s="128"/>
      <c r="AMN31" s="128"/>
      <c r="AMO31" s="128"/>
      <c r="AMP31" s="128"/>
      <c r="AMQ31" s="128"/>
      <c r="AMR31" s="128"/>
      <c r="AMS31" s="128"/>
      <c r="AMT31" s="128"/>
      <c r="AMU31" s="128"/>
      <c r="AMV31" s="128"/>
      <c r="AMW31" s="128"/>
      <c r="AMX31" s="128"/>
      <c r="AMY31" s="128"/>
      <c r="AMZ31" s="128"/>
      <c r="ANA31" s="128"/>
      <c r="ANB31" s="128"/>
      <c r="ANC31" s="128"/>
      <c r="AND31" s="128"/>
      <c r="ANE31" s="128"/>
      <c r="ANF31" s="128"/>
      <c r="ANG31" s="128"/>
      <c r="ANH31" s="128"/>
      <c r="ANI31" s="128"/>
      <c r="ANJ31" s="128"/>
      <c r="ANK31" s="128"/>
      <c r="ANL31" s="128"/>
      <c r="ANM31" s="128"/>
      <c r="ANN31" s="128"/>
      <c r="ANO31" s="128"/>
      <c r="ANP31" s="128"/>
      <c r="ANQ31" s="128"/>
      <c r="ANR31" s="128"/>
      <c r="ANS31" s="128"/>
      <c r="ANT31" s="128"/>
      <c r="ANU31" s="128"/>
      <c r="ANV31" s="128"/>
      <c r="ANW31" s="128"/>
      <c r="ANX31" s="128"/>
      <c r="ANY31" s="128"/>
      <c r="ANZ31" s="128"/>
      <c r="AOA31" s="128"/>
      <c r="AOB31" s="128"/>
      <c r="AOC31" s="128"/>
      <c r="AOD31" s="128"/>
      <c r="AOE31" s="128"/>
      <c r="AOF31" s="128"/>
      <c r="AOG31" s="128"/>
      <c r="AOH31" s="128"/>
      <c r="AOI31" s="128"/>
      <c r="AOJ31" s="128"/>
      <c r="AOK31" s="128"/>
      <c r="AOL31" s="128"/>
      <c r="AOM31" s="128"/>
      <c r="AON31" s="128"/>
      <c r="AOO31" s="128"/>
      <c r="AOP31" s="128"/>
      <c r="AOQ31" s="128"/>
      <c r="AOR31" s="128"/>
      <c r="AOS31" s="128"/>
      <c r="AOT31" s="128"/>
      <c r="AOU31" s="128"/>
      <c r="AOV31" s="128"/>
      <c r="AOW31" s="128"/>
      <c r="AOX31" s="128"/>
      <c r="AOY31" s="128"/>
      <c r="AOZ31" s="128"/>
      <c r="APA31" s="128"/>
      <c r="APB31" s="128"/>
      <c r="APC31" s="128"/>
      <c r="APD31" s="128"/>
      <c r="APE31" s="128"/>
      <c r="APF31" s="128"/>
      <c r="APG31" s="128"/>
      <c r="APH31" s="128"/>
      <c r="API31" s="128"/>
      <c r="APJ31" s="128"/>
      <c r="APK31" s="128"/>
      <c r="APL31" s="128"/>
      <c r="APM31" s="128"/>
      <c r="APN31" s="128"/>
      <c r="APO31" s="128"/>
      <c r="APP31" s="128"/>
      <c r="APQ31" s="128"/>
      <c r="APR31" s="128"/>
      <c r="APS31" s="128"/>
      <c r="APT31" s="128"/>
      <c r="APU31" s="128"/>
      <c r="APV31" s="128"/>
      <c r="APW31" s="128"/>
      <c r="APX31" s="128"/>
      <c r="APY31" s="128"/>
      <c r="APZ31" s="128"/>
      <c r="AQA31" s="128"/>
      <c r="AQB31" s="128"/>
      <c r="AQC31" s="128"/>
      <c r="AQD31" s="128"/>
      <c r="AQE31" s="128"/>
      <c r="AQF31" s="128"/>
      <c r="AQG31" s="128"/>
      <c r="AQH31" s="128"/>
      <c r="AQI31" s="128"/>
      <c r="AQJ31" s="128"/>
      <c r="AQK31" s="128"/>
      <c r="AQL31" s="128"/>
      <c r="AQM31" s="128"/>
      <c r="AQN31" s="128"/>
      <c r="AQO31" s="128"/>
      <c r="AQP31" s="128"/>
      <c r="AQQ31" s="128"/>
      <c r="AQR31" s="128"/>
      <c r="AQS31" s="128"/>
      <c r="AQT31" s="128"/>
      <c r="AQU31" s="128"/>
      <c r="AQV31" s="128"/>
      <c r="AQW31" s="128"/>
      <c r="AQX31" s="128"/>
      <c r="AQY31" s="128"/>
      <c r="AQZ31" s="128"/>
      <c r="ARA31" s="128"/>
      <c r="ARB31" s="128"/>
      <c r="ARC31" s="128"/>
      <c r="ARD31" s="128"/>
      <c r="ARE31" s="128"/>
      <c r="ARF31" s="128"/>
      <c r="ARG31" s="128"/>
      <c r="ARH31" s="128"/>
      <c r="ARI31" s="128"/>
      <c r="ARJ31" s="128"/>
      <c r="ARK31" s="128"/>
      <c r="ARL31" s="128"/>
      <c r="ARM31" s="128"/>
      <c r="ARN31" s="128"/>
      <c r="ARO31" s="128"/>
      <c r="ARP31" s="128"/>
      <c r="ARQ31" s="128"/>
      <c r="ARR31" s="128"/>
      <c r="ARS31" s="128"/>
      <c r="ART31" s="128"/>
      <c r="ARU31" s="128"/>
      <c r="ARV31" s="128"/>
      <c r="ARW31" s="128"/>
      <c r="ARX31" s="128"/>
      <c r="ARY31" s="128"/>
      <c r="ARZ31" s="128"/>
      <c r="ASA31" s="128"/>
      <c r="ASB31" s="128"/>
      <c r="ASC31" s="128"/>
      <c r="ASD31" s="128"/>
      <c r="ASE31" s="128"/>
      <c r="ASF31" s="128"/>
      <c r="ASG31" s="128"/>
      <c r="ASH31" s="128"/>
      <c r="ASI31" s="128"/>
      <c r="ASJ31" s="128"/>
      <c r="ASK31" s="128"/>
      <c r="ASL31" s="128"/>
      <c r="ASM31" s="128"/>
      <c r="ASN31" s="128"/>
      <c r="ASO31" s="128"/>
      <c r="ASP31" s="128"/>
      <c r="ASQ31" s="128"/>
      <c r="ASR31" s="128"/>
      <c r="ASS31" s="128"/>
      <c r="AST31" s="128"/>
      <c r="ASU31" s="128"/>
      <c r="ASV31" s="128"/>
      <c r="ASW31" s="128"/>
      <c r="ASX31" s="128"/>
      <c r="ASY31" s="128"/>
      <c r="ASZ31" s="128"/>
      <c r="ATA31" s="128"/>
      <c r="ATB31" s="128"/>
      <c r="ATC31" s="128"/>
      <c r="ATD31" s="128"/>
      <c r="ATE31" s="128"/>
      <c r="ATF31" s="128"/>
      <c r="ATG31" s="128"/>
      <c r="ATH31" s="128"/>
      <c r="ATI31" s="128"/>
      <c r="ATJ31" s="128"/>
      <c r="ATK31" s="128"/>
      <c r="ATL31" s="128"/>
      <c r="ATM31" s="128"/>
      <c r="ATN31" s="128"/>
      <c r="ATO31" s="128"/>
      <c r="ATP31" s="128"/>
      <c r="ATQ31" s="128"/>
      <c r="ATR31" s="128"/>
      <c r="ATS31" s="128"/>
      <c r="ATT31" s="128"/>
      <c r="ATU31" s="128"/>
      <c r="ATV31" s="128"/>
      <c r="ATW31" s="128"/>
      <c r="ATX31" s="128"/>
      <c r="ATY31" s="128"/>
      <c r="ATZ31" s="128"/>
      <c r="AUA31" s="128"/>
      <c r="AUB31" s="128"/>
      <c r="AUC31" s="128"/>
      <c r="AUD31" s="128"/>
      <c r="AUE31" s="128"/>
      <c r="AUF31" s="128"/>
      <c r="AUG31" s="128"/>
      <c r="AUH31" s="128"/>
      <c r="AUI31" s="128"/>
      <c r="AUJ31" s="128"/>
      <c r="AUK31" s="128"/>
      <c r="AUL31" s="128"/>
      <c r="AUM31" s="128"/>
      <c r="AUN31" s="128"/>
      <c r="AUO31" s="128"/>
      <c r="AUP31" s="128"/>
      <c r="AUQ31" s="128"/>
      <c r="AUR31" s="128"/>
      <c r="AUS31" s="128"/>
      <c r="AUT31" s="128"/>
      <c r="AUU31" s="128"/>
      <c r="AUV31" s="128"/>
      <c r="AUW31" s="128"/>
      <c r="AUX31" s="128"/>
      <c r="AUY31" s="128"/>
      <c r="AUZ31" s="128"/>
      <c r="AVA31" s="128"/>
      <c r="AVB31" s="128"/>
      <c r="AVC31" s="128"/>
      <c r="AVD31" s="128"/>
      <c r="AVE31" s="128"/>
      <c r="AVF31" s="128"/>
      <c r="AVG31" s="128"/>
      <c r="AVH31" s="128"/>
      <c r="AVI31" s="128"/>
      <c r="AVJ31" s="128"/>
      <c r="AVK31" s="128"/>
      <c r="AVL31" s="128"/>
      <c r="AVM31" s="128"/>
      <c r="AVN31" s="128"/>
      <c r="AVO31" s="128"/>
      <c r="AVP31" s="128"/>
      <c r="AVQ31" s="128"/>
      <c r="AVR31" s="128"/>
      <c r="AVS31" s="128"/>
      <c r="AVT31" s="128"/>
      <c r="AVU31" s="128"/>
      <c r="AVV31" s="128"/>
      <c r="AVW31" s="128"/>
      <c r="AVX31" s="128"/>
      <c r="AVY31" s="128"/>
      <c r="AVZ31" s="128"/>
      <c r="AWA31" s="128"/>
      <c r="AWB31" s="128"/>
      <c r="AWC31" s="128"/>
      <c r="AWD31" s="128"/>
      <c r="AWE31" s="128"/>
      <c r="AWF31" s="128"/>
      <c r="AWG31" s="128"/>
      <c r="AWH31" s="128"/>
      <c r="AWI31" s="128"/>
      <c r="AWJ31" s="128"/>
      <c r="AWK31" s="128"/>
      <c r="AWL31" s="128"/>
      <c r="AWM31" s="128"/>
      <c r="AWN31" s="128"/>
      <c r="AWO31" s="128"/>
      <c r="AWP31" s="128"/>
      <c r="AWQ31" s="128"/>
      <c r="AWR31" s="128"/>
      <c r="AWS31" s="128"/>
      <c r="AWT31" s="128"/>
      <c r="AWU31" s="128"/>
      <c r="AWV31" s="128"/>
      <c r="AWW31" s="128"/>
      <c r="AWX31" s="128"/>
      <c r="AWY31" s="128"/>
      <c r="AWZ31" s="128"/>
      <c r="AXA31" s="128"/>
      <c r="AXB31" s="128"/>
      <c r="AXC31" s="128"/>
      <c r="AXD31" s="128"/>
      <c r="AXE31" s="128"/>
      <c r="AXF31" s="128"/>
      <c r="AXG31" s="128"/>
      <c r="AXH31" s="128"/>
      <c r="AXI31" s="128"/>
      <c r="AXJ31" s="128"/>
      <c r="AXK31" s="128"/>
      <c r="AXL31" s="128"/>
      <c r="AXM31" s="128"/>
      <c r="AXN31" s="128"/>
      <c r="AXO31" s="128"/>
      <c r="AXP31" s="128"/>
      <c r="AXQ31" s="128"/>
      <c r="AXR31" s="128"/>
      <c r="AXS31" s="128"/>
      <c r="AXT31" s="128"/>
      <c r="AXU31" s="128"/>
      <c r="AXV31" s="128"/>
      <c r="AXW31" s="128"/>
      <c r="AXX31" s="128"/>
      <c r="AXY31" s="128"/>
      <c r="AXZ31" s="128"/>
      <c r="AYA31" s="128"/>
      <c r="AYB31" s="128"/>
      <c r="AYC31" s="128"/>
      <c r="AYD31" s="128"/>
      <c r="AYE31" s="128"/>
      <c r="AYF31" s="128"/>
      <c r="AYG31" s="128"/>
      <c r="AYH31" s="128"/>
      <c r="AYI31" s="128"/>
      <c r="AYJ31" s="128"/>
      <c r="AYK31" s="128"/>
      <c r="AYL31" s="128"/>
      <c r="AYM31" s="128"/>
      <c r="AYN31" s="128"/>
      <c r="AYO31" s="128"/>
      <c r="AYP31" s="128"/>
      <c r="AYQ31" s="128"/>
      <c r="AYR31" s="128"/>
      <c r="AYS31" s="128"/>
      <c r="AYT31" s="128"/>
      <c r="AYU31" s="128"/>
      <c r="AYV31" s="128"/>
      <c r="AYW31" s="128"/>
      <c r="AYX31" s="128"/>
      <c r="AYY31" s="128"/>
      <c r="AYZ31" s="128"/>
      <c r="AZA31" s="128"/>
      <c r="AZB31" s="128"/>
      <c r="AZC31" s="128"/>
      <c r="AZD31" s="128"/>
      <c r="AZE31" s="128"/>
      <c r="AZF31" s="128"/>
      <c r="AZG31" s="128"/>
      <c r="AZH31" s="128"/>
      <c r="AZI31" s="128"/>
      <c r="AZJ31" s="128"/>
      <c r="AZK31" s="128"/>
      <c r="AZL31" s="128"/>
      <c r="AZM31" s="128"/>
      <c r="AZN31" s="128"/>
      <c r="AZO31" s="128"/>
      <c r="AZP31" s="128"/>
      <c r="AZQ31" s="128"/>
      <c r="AZR31" s="128"/>
      <c r="AZS31" s="128"/>
      <c r="AZT31" s="128"/>
      <c r="AZU31" s="128"/>
      <c r="AZV31" s="128"/>
      <c r="AZW31" s="128"/>
      <c r="AZX31" s="128"/>
      <c r="AZY31" s="128"/>
      <c r="AZZ31" s="128"/>
      <c r="BAA31" s="128"/>
      <c r="BAB31" s="128"/>
      <c r="BAC31" s="128"/>
      <c r="BAD31" s="128"/>
      <c r="BAE31" s="128"/>
      <c r="BAF31" s="128"/>
      <c r="BAG31" s="128"/>
      <c r="BAH31" s="128"/>
      <c r="BAI31" s="128"/>
      <c r="BAJ31" s="128"/>
      <c r="BAK31" s="128"/>
      <c r="BAL31" s="128"/>
      <c r="BAM31" s="128"/>
      <c r="BAN31" s="128"/>
      <c r="BAO31" s="128"/>
      <c r="BAP31" s="128"/>
      <c r="BAQ31" s="128"/>
      <c r="BAR31" s="128"/>
      <c r="BAS31" s="128"/>
      <c r="BAT31" s="128"/>
      <c r="BAU31" s="128"/>
      <c r="BAV31" s="128"/>
      <c r="BAW31" s="128"/>
      <c r="BAX31" s="128"/>
      <c r="BAY31" s="128"/>
      <c r="BAZ31" s="128"/>
      <c r="BBA31" s="128"/>
      <c r="BBB31" s="128"/>
      <c r="BBC31" s="128"/>
      <c r="BBD31" s="128"/>
      <c r="BBE31" s="128"/>
      <c r="BBF31" s="128"/>
      <c r="BBG31" s="128"/>
      <c r="BBH31" s="128"/>
      <c r="BBI31" s="128"/>
      <c r="BBJ31" s="128"/>
      <c r="BBK31" s="128"/>
      <c r="BBL31" s="128"/>
      <c r="BBM31" s="128"/>
      <c r="BBN31" s="128"/>
      <c r="BBO31" s="128"/>
      <c r="BBP31" s="128"/>
      <c r="BBQ31" s="128"/>
      <c r="BBR31" s="128"/>
      <c r="BBS31" s="128"/>
      <c r="BBT31" s="128"/>
      <c r="BBU31" s="128"/>
      <c r="BBV31" s="128"/>
      <c r="BBW31" s="128"/>
      <c r="BBX31" s="128"/>
      <c r="BBY31" s="128"/>
      <c r="BBZ31" s="128"/>
      <c r="BCA31" s="128"/>
      <c r="BCB31" s="128"/>
      <c r="BCC31" s="128"/>
      <c r="BCD31" s="128"/>
      <c r="BCE31" s="128"/>
      <c r="BCF31" s="128"/>
      <c r="BCG31" s="128"/>
      <c r="BCH31" s="128"/>
      <c r="BCI31" s="128"/>
      <c r="BCJ31" s="128"/>
      <c r="BCK31" s="128"/>
      <c r="BCL31" s="128"/>
      <c r="BCM31" s="128"/>
      <c r="BCN31" s="128"/>
      <c r="BCO31" s="128"/>
      <c r="BCP31" s="128"/>
      <c r="BCQ31" s="128"/>
      <c r="BCR31" s="128"/>
      <c r="BCS31" s="128"/>
      <c r="BCT31" s="128"/>
      <c r="BCU31" s="128"/>
      <c r="BCV31" s="128"/>
      <c r="BCW31" s="128"/>
      <c r="BCX31" s="128"/>
      <c r="BCY31" s="128"/>
      <c r="BCZ31" s="128"/>
      <c r="BDA31" s="128"/>
      <c r="BDB31" s="128"/>
      <c r="BDC31" s="128"/>
      <c r="BDD31" s="128"/>
      <c r="BDE31" s="128"/>
      <c r="BDF31" s="128"/>
      <c r="BDG31" s="128"/>
      <c r="BDH31" s="128"/>
      <c r="BDI31" s="128"/>
      <c r="BDJ31" s="128"/>
      <c r="BDK31" s="128"/>
      <c r="BDL31" s="128"/>
      <c r="BDM31" s="128"/>
      <c r="BDN31" s="128"/>
      <c r="BDO31" s="128"/>
      <c r="BDP31" s="128"/>
      <c r="BDQ31" s="128"/>
      <c r="BDR31" s="128"/>
      <c r="BDS31" s="128"/>
      <c r="BDT31" s="128"/>
      <c r="BDU31" s="128"/>
      <c r="BDV31" s="128"/>
      <c r="BDW31" s="128"/>
      <c r="BDX31" s="128"/>
      <c r="BDY31" s="128"/>
      <c r="BDZ31" s="128"/>
      <c r="BEA31" s="128"/>
      <c r="BEB31" s="128"/>
      <c r="BEC31" s="128"/>
      <c r="BED31" s="128"/>
      <c r="BEE31" s="128"/>
      <c r="BEF31" s="128"/>
      <c r="BEG31" s="128"/>
      <c r="BEH31" s="128"/>
      <c r="BEI31" s="128"/>
      <c r="BEJ31" s="128"/>
      <c r="BEK31" s="128"/>
      <c r="BEL31" s="128"/>
      <c r="BEM31" s="128"/>
      <c r="BEN31" s="128"/>
      <c r="BEO31" s="128"/>
      <c r="BEP31" s="128"/>
      <c r="BEQ31" s="128"/>
      <c r="BER31" s="128"/>
      <c r="BES31" s="128"/>
      <c r="BET31" s="128"/>
      <c r="BEU31" s="128"/>
      <c r="BEV31" s="128"/>
      <c r="BEW31" s="128"/>
      <c r="BEX31" s="128"/>
      <c r="BEY31" s="128"/>
      <c r="BEZ31" s="128"/>
      <c r="BFA31" s="128"/>
      <c r="BFB31" s="128"/>
      <c r="BFC31" s="128"/>
      <c r="BFD31" s="128"/>
      <c r="BFE31" s="128"/>
      <c r="BFF31" s="128"/>
      <c r="BFG31" s="128"/>
      <c r="BFH31" s="128"/>
      <c r="BFI31" s="128"/>
      <c r="BFJ31" s="128"/>
      <c r="BFK31" s="128"/>
      <c r="BFL31" s="128"/>
      <c r="BFM31" s="128"/>
      <c r="BFN31" s="128"/>
      <c r="BFO31" s="128"/>
      <c r="BFP31" s="128"/>
      <c r="BFQ31" s="128"/>
      <c r="BFR31" s="128"/>
      <c r="BFS31" s="128"/>
      <c r="BFT31" s="128"/>
      <c r="BFU31" s="128"/>
      <c r="BFV31" s="128"/>
      <c r="BFW31" s="128"/>
      <c r="BFX31" s="128"/>
      <c r="BFY31" s="128"/>
      <c r="BFZ31" s="128"/>
      <c r="BGA31" s="128"/>
      <c r="BGB31" s="128"/>
      <c r="BGC31" s="128"/>
      <c r="BGD31" s="128"/>
      <c r="BGE31" s="128"/>
      <c r="BGF31" s="128"/>
      <c r="BGG31" s="128"/>
      <c r="BGH31" s="128"/>
      <c r="BGI31" s="128"/>
      <c r="BGJ31" s="128"/>
      <c r="BGK31" s="128"/>
      <c r="BGL31" s="128"/>
      <c r="BGM31" s="128"/>
      <c r="BGN31" s="128"/>
      <c r="BGO31" s="128"/>
      <c r="BGP31" s="128"/>
      <c r="BGQ31" s="128"/>
      <c r="BGR31" s="128"/>
      <c r="BGS31" s="128"/>
      <c r="BGT31" s="128"/>
      <c r="BGU31" s="128"/>
      <c r="BGV31" s="128"/>
      <c r="BGW31" s="128"/>
      <c r="BGX31" s="128"/>
      <c r="BGY31" s="128"/>
      <c r="BGZ31" s="128"/>
      <c r="BHA31" s="128"/>
      <c r="BHB31" s="128"/>
      <c r="BHC31" s="128"/>
      <c r="BHD31" s="128"/>
      <c r="BHE31" s="128"/>
      <c r="BHF31" s="128"/>
      <c r="BHG31" s="128"/>
      <c r="BHH31" s="128"/>
      <c r="BHI31" s="128"/>
      <c r="BHJ31" s="128"/>
      <c r="BHK31" s="128"/>
      <c r="BHL31" s="128"/>
      <c r="BHM31" s="128"/>
      <c r="BHN31" s="128"/>
      <c r="BHO31" s="128"/>
      <c r="BHP31" s="128"/>
      <c r="BHQ31" s="128"/>
      <c r="BHR31" s="128"/>
      <c r="BHS31" s="128"/>
      <c r="BHT31" s="128"/>
      <c r="BHU31" s="128"/>
      <c r="BHV31" s="128"/>
      <c r="BHW31" s="128"/>
      <c r="BHX31" s="128"/>
      <c r="BHY31" s="128"/>
      <c r="BHZ31" s="128"/>
      <c r="BIA31" s="128"/>
      <c r="BIB31" s="128"/>
      <c r="BIC31" s="128"/>
      <c r="BID31" s="128"/>
      <c r="BIE31" s="128"/>
      <c r="BIF31" s="128"/>
      <c r="BIG31" s="128"/>
      <c r="BIH31" s="128"/>
      <c r="BII31" s="128"/>
      <c r="BIJ31" s="128"/>
      <c r="BIK31" s="128"/>
      <c r="BIL31" s="128"/>
      <c r="BIM31" s="128"/>
      <c r="BIN31" s="128"/>
      <c r="BIO31" s="128"/>
      <c r="BIP31" s="128"/>
      <c r="BIQ31" s="128"/>
      <c r="BIR31" s="128"/>
      <c r="BIS31" s="128"/>
      <c r="BIT31" s="128"/>
      <c r="BIU31" s="128"/>
      <c r="BIV31" s="128"/>
      <c r="BIW31" s="128"/>
      <c r="BIX31" s="128"/>
      <c r="BIY31" s="128"/>
      <c r="BIZ31" s="128"/>
      <c r="BJA31" s="128"/>
      <c r="BJB31" s="128"/>
      <c r="BJC31" s="128"/>
      <c r="BJD31" s="128"/>
      <c r="BJE31" s="128"/>
      <c r="BJF31" s="128"/>
      <c r="BJG31" s="128"/>
      <c r="BJH31" s="128"/>
      <c r="BJI31" s="128"/>
      <c r="BJJ31" s="128"/>
      <c r="BJK31" s="128"/>
      <c r="BJL31" s="128"/>
      <c r="BJM31" s="128"/>
      <c r="BJN31" s="128"/>
      <c r="BJO31" s="128"/>
      <c r="BJP31" s="128"/>
      <c r="BJQ31" s="128"/>
      <c r="BJR31" s="128"/>
      <c r="BJS31" s="128"/>
      <c r="BJT31" s="128"/>
      <c r="BJU31" s="128"/>
      <c r="BJV31" s="128"/>
      <c r="BJW31" s="128"/>
      <c r="BJX31" s="128"/>
      <c r="BJY31" s="128"/>
      <c r="BJZ31" s="128"/>
      <c r="BKA31" s="128"/>
      <c r="BKB31" s="128"/>
      <c r="BKC31" s="128"/>
      <c r="BKD31" s="128"/>
      <c r="BKE31" s="128"/>
      <c r="BKF31" s="128"/>
      <c r="BKG31" s="128"/>
      <c r="BKH31" s="128"/>
      <c r="BKI31" s="128"/>
      <c r="BKJ31" s="128"/>
      <c r="BKK31" s="128"/>
      <c r="BKL31" s="128"/>
      <c r="BKM31" s="128"/>
      <c r="BKN31" s="128"/>
      <c r="BKO31" s="128"/>
      <c r="BKP31" s="128"/>
      <c r="BKQ31" s="128"/>
      <c r="BKR31" s="128"/>
      <c r="BKS31" s="128"/>
      <c r="BKT31" s="128"/>
      <c r="BKU31" s="128"/>
      <c r="BKV31" s="128"/>
      <c r="BKW31" s="128"/>
      <c r="BKX31" s="128"/>
      <c r="BKY31" s="128"/>
      <c r="BKZ31" s="128"/>
      <c r="BLA31" s="128"/>
      <c r="BLB31" s="128"/>
      <c r="BLC31" s="128"/>
      <c r="BLD31" s="128"/>
      <c r="BLE31" s="128"/>
      <c r="BLF31" s="128"/>
      <c r="BLG31" s="128"/>
      <c r="BLH31" s="128"/>
      <c r="BLI31" s="128"/>
      <c r="BLJ31" s="128"/>
      <c r="BLK31" s="128"/>
      <c r="BLL31" s="128"/>
      <c r="BLM31" s="128"/>
      <c r="BLN31" s="128"/>
      <c r="BLO31" s="128"/>
      <c r="BLP31" s="128"/>
      <c r="BLQ31" s="128"/>
      <c r="BLR31" s="128"/>
      <c r="BLS31" s="128"/>
      <c r="BLT31" s="128"/>
      <c r="BLU31" s="128"/>
      <c r="BLV31" s="128"/>
      <c r="BLW31" s="128"/>
      <c r="BLX31" s="128"/>
      <c r="BLY31" s="128"/>
      <c r="BLZ31" s="128"/>
      <c r="BMA31" s="128"/>
      <c r="BMB31" s="128"/>
      <c r="BMC31" s="128"/>
      <c r="BMD31" s="128"/>
      <c r="BME31" s="128"/>
      <c r="BMF31" s="128"/>
      <c r="BMG31" s="128"/>
      <c r="BMH31" s="128"/>
      <c r="BMI31" s="128"/>
      <c r="BMJ31" s="128"/>
      <c r="BMK31" s="128"/>
      <c r="BML31" s="128"/>
      <c r="BMM31" s="128"/>
      <c r="BMN31" s="128"/>
      <c r="BMO31" s="128"/>
      <c r="BMP31" s="128"/>
      <c r="BMQ31" s="128"/>
      <c r="BMR31" s="128"/>
      <c r="BMS31" s="128"/>
      <c r="BMT31" s="128"/>
      <c r="BMU31" s="128"/>
      <c r="BMV31" s="128"/>
      <c r="BMW31" s="128"/>
      <c r="BMX31" s="128"/>
      <c r="BMY31" s="128"/>
      <c r="BMZ31" s="128"/>
      <c r="BNA31" s="128"/>
      <c r="BNB31" s="128"/>
      <c r="BNC31" s="128"/>
      <c r="BND31" s="128"/>
      <c r="BNE31" s="128"/>
      <c r="BNF31" s="128"/>
      <c r="BNG31" s="128"/>
      <c r="BNH31" s="128"/>
      <c r="BNI31" s="128"/>
      <c r="BNJ31" s="128"/>
      <c r="BNK31" s="128"/>
      <c r="BNL31" s="128"/>
      <c r="BNM31" s="128"/>
      <c r="BNN31" s="128"/>
      <c r="BNO31" s="128"/>
      <c r="BNP31" s="128"/>
      <c r="BNQ31" s="128"/>
      <c r="BNR31" s="128"/>
      <c r="BNS31" s="128"/>
      <c r="BNT31" s="128"/>
      <c r="BNU31" s="128"/>
      <c r="BNV31" s="128"/>
      <c r="BNW31" s="128"/>
      <c r="BNX31" s="128"/>
      <c r="BNY31" s="128"/>
      <c r="BNZ31" s="128"/>
      <c r="BOA31" s="128"/>
      <c r="BOB31" s="128"/>
      <c r="BOC31" s="128"/>
      <c r="BOD31" s="128"/>
      <c r="BOE31" s="128"/>
      <c r="BOF31" s="128"/>
      <c r="BOG31" s="128"/>
      <c r="BOH31" s="128"/>
      <c r="BOI31" s="128"/>
      <c r="BOJ31" s="128"/>
      <c r="BOK31" s="128"/>
      <c r="BOL31" s="128"/>
      <c r="BOM31" s="128"/>
      <c r="BON31" s="128"/>
      <c r="BOO31" s="128"/>
      <c r="BOP31" s="128"/>
      <c r="BOQ31" s="128"/>
      <c r="BOR31" s="128"/>
      <c r="BOS31" s="128"/>
      <c r="BOT31" s="128"/>
      <c r="BOU31" s="128"/>
      <c r="BOV31" s="128"/>
      <c r="BOW31" s="128"/>
      <c r="BOX31" s="128"/>
      <c r="BOY31" s="128"/>
      <c r="BOZ31" s="128"/>
      <c r="BPA31" s="128"/>
      <c r="BPB31" s="128"/>
      <c r="BPC31" s="128"/>
      <c r="BPD31" s="128"/>
      <c r="BPE31" s="128"/>
      <c r="BPF31" s="128"/>
      <c r="BPG31" s="128"/>
      <c r="BPH31" s="128"/>
      <c r="BPI31" s="128"/>
      <c r="BPJ31" s="128"/>
      <c r="BPK31" s="128"/>
      <c r="BPL31" s="128"/>
      <c r="BPM31" s="128"/>
      <c r="BPN31" s="128"/>
      <c r="BPO31" s="128"/>
      <c r="BPP31" s="128"/>
      <c r="BPQ31" s="128"/>
      <c r="BPR31" s="128"/>
      <c r="BPS31" s="128"/>
      <c r="BPT31" s="128"/>
      <c r="BPU31" s="128"/>
      <c r="BPV31" s="128"/>
      <c r="BPW31" s="128"/>
      <c r="BPX31" s="128"/>
      <c r="BPY31" s="128"/>
      <c r="BPZ31" s="128"/>
      <c r="BQA31" s="128"/>
      <c r="BQB31" s="128"/>
      <c r="BQC31" s="128"/>
      <c r="BQD31" s="128"/>
      <c r="BQE31" s="128"/>
      <c r="BQF31" s="128"/>
      <c r="BQG31" s="128"/>
      <c r="BQH31" s="128"/>
      <c r="BQI31" s="128"/>
      <c r="BQJ31" s="128"/>
      <c r="BQK31" s="128"/>
      <c r="BQL31" s="128"/>
      <c r="BQM31" s="128"/>
      <c r="BQN31" s="128"/>
      <c r="BQO31" s="128"/>
      <c r="BQP31" s="128"/>
      <c r="BQQ31" s="128"/>
      <c r="BQR31" s="128"/>
      <c r="BQS31" s="128"/>
      <c r="BQT31" s="128"/>
      <c r="BQU31" s="128"/>
      <c r="BQV31" s="128"/>
      <c r="BQW31" s="128"/>
      <c r="BQX31" s="128"/>
      <c r="BQY31" s="128"/>
      <c r="BQZ31" s="128"/>
      <c r="BRA31" s="128"/>
      <c r="BRB31" s="128"/>
      <c r="BRC31" s="128"/>
      <c r="BRD31" s="128"/>
      <c r="BRE31" s="128"/>
      <c r="BRF31" s="128"/>
      <c r="BRG31" s="128"/>
      <c r="BRH31" s="128"/>
      <c r="BRI31" s="128"/>
      <c r="BRJ31" s="128"/>
      <c r="BRK31" s="128"/>
      <c r="BRL31" s="128"/>
      <c r="BRM31" s="128"/>
      <c r="BRN31" s="128"/>
      <c r="BRO31" s="128"/>
      <c r="BRP31" s="128"/>
      <c r="BRQ31" s="128"/>
      <c r="BRR31" s="128"/>
      <c r="BRS31" s="128"/>
      <c r="BRT31" s="128"/>
      <c r="BRU31" s="128"/>
      <c r="BRV31" s="128"/>
      <c r="BRW31" s="128"/>
      <c r="BRX31" s="128"/>
      <c r="BRY31" s="128"/>
      <c r="BRZ31" s="128"/>
      <c r="BSA31" s="128"/>
      <c r="BSB31" s="128"/>
      <c r="BSC31" s="128"/>
      <c r="BSD31" s="128"/>
      <c r="BSE31" s="128"/>
      <c r="BSF31" s="128"/>
      <c r="BSG31" s="128"/>
      <c r="BSH31" s="128"/>
      <c r="BSI31" s="128"/>
      <c r="BSJ31" s="128"/>
      <c r="BSK31" s="128"/>
      <c r="BSL31" s="128"/>
      <c r="BSM31" s="128"/>
      <c r="BSN31" s="128"/>
      <c r="BSO31" s="128"/>
      <c r="BSP31" s="128"/>
      <c r="BSQ31" s="128"/>
      <c r="BSR31" s="128"/>
      <c r="BSS31" s="128"/>
      <c r="BST31" s="128"/>
      <c r="BSU31" s="128"/>
      <c r="BSV31" s="128"/>
      <c r="BSW31" s="128"/>
      <c r="BSX31" s="128"/>
      <c r="BSY31" s="128"/>
      <c r="BSZ31" s="128"/>
      <c r="BTA31" s="128"/>
      <c r="BTB31" s="128"/>
      <c r="BTC31" s="128"/>
      <c r="BTD31" s="128"/>
      <c r="BTE31" s="128"/>
      <c r="BTF31" s="128"/>
      <c r="BTG31" s="128"/>
      <c r="BTH31" s="128"/>
      <c r="BTI31" s="128"/>
      <c r="BTJ31" s="128"/>
      <c r="BTK31" s="128"/>
      <c r="BTL31" s="128"/>
      <c r="BTM31" s="128"/>
      <c r="BTN31" s="128"/>
      <c r="BTO31" s="128"/>
      <c r="BTP31" s="128"/>
      <c r="BTQ31" s="128"/>
      <c r="BTR31" s="128"/>
      <c r="BTS31" s="128"/>
      <c r="BTT31" s="128"/>
      <c r="BTU31" s="128"/>
      <c r="BTV31" s="128"/>
      <c r="BTW31" s="128"/>
      <c r="BTX31" s="128"/>
      <c r="BTY31" s="128"/>
      <c r="BTZ31" s="128"/>
      <c r="BUA31" s="128"/>
      <c r="BUB31" s="128"/>
      <c r="BUC31" s="128"/>
      <c r="BUD31" s="128"/>
      <c r="BUE31" s="128"/>
      <c r="BUF31" s="128"/>
      <c r="BUG31" s="128"/>
      <c r="BUH31" s="128"/>
      <c r="BUI31" s="128"/>
      <c r="BUJ31" s="128"/>
      <c r="BUK31" s="128"/>
      <c r="BUL31" s="128"/>
      <c r="BUM31" s="128"/>
      <c r="BUN31" s="128"/>
      <c r="BUO31" s="128"/>
      <c r="BUP31" s="128"/>
      <c r="BUQ31" s="128"/>
      <c r="BUR31" s="128"/>
      <c r="BUS31" s="128"/>
      <c r="BUT31" s="128"/>
      <c r="BUU31" s="128"/>
      <c r="BUV31" s="128"/>
      <c r="BUW31" s="128"/>
      <c r="BUX31" s="128"/>
      <c r="BUY31" s="128"/>
      <c r="BUZ31" s="128"/>
      <c r="BVA31" s="128"/>
      <c r="BVB31" s="128"/>
      <c r="BVC31" s="128"/>
      <c r="BVD31" s="128"/>
      <c r="BVE31" s="128"/>
      <c r="BVF31" s="128"/>
      <c r="BVG31" s="128"/>
      <c r="BVH31" s="128"/>
      <c r="BVI31" s="128"/>
      <c r="BVJ31" s="128"/>
      <c r="BVK31" s="128"/>
      <c r="BVL31" s="128"/>
      <c r="BVM31" s="128"/>
      <c r="BVN31" s="128"/>
      <c r="BVO31" s="128"/>
      <c r="BVP31" s="128"/>
      <c r="BVQ31" s="128"/>
      <c r="BVR31" s="128"/>
      <c r="BVS31" s="128"/>
      <c r="BVT31" s="128"/>
      <c r="BVU31" s="128"/>
      <c r="BVV31" s="128"/>
      <c r="BVW31" s="128"/>
      <c r="BVX31" s="128"/>
      <c r="BVY31" s="128"/>
      <c r="BVZ31" s="128"/>
      <c r="BWA31" s="128"/>
      <c r="BWB31" s="128"/>
      <c r="BWC31" s="128"/>
      <c r="BWD31" s="128"/>
      <c r="BWE31" s="128"/>
      <c r="BWF31" s="128"/>
      <c r="BWG31" s="128"/>
      <c r="BWH31" s="128"/>
      <c r="BWI31" s="128"/>
      <c r="BWJ31" s="128"/>
      <c r="BWK31" s="128"/>
      <c r="BWL31" s="128"/>
      <c r="BWM31" s="128"/>
      <c r="BWN31" s="128"/>
      <c r="BWO31" s="128"/>
      <c r="BWP31" s="128"/>
      <c r="BWQ31" s="128"/>
      <c r="BWR31" s="128"/>
      <c r="BWS31" s="128"/>
      <c r="BWT31" s="128"/>
      <c r="BWU31" s="128"/>
      <c r="BWV31" s="128"/>
      <c r="BWW31" s="128"/>
      <c r="BWX31" s="128"/>
      <c r="BWY31" s="128"/>
      <c r="BWZ31" s="128"/>
      <c r="BXA31" s="128"/>
      <c r="BXB31" s="128"/>
      <c r="BXC31" s="128"/>
      <c r="BXD31" s="128"/>
      <c r="BXE31" s="128"/>
      <c r="BXF31" s="128"/>
      <c r="BXG31" s="128"/>
      <c r="BXH31" s="128"/>
      <c r="BXI31" s="128"/>
      <c r="BXJ31" s="128"/>
      <c r="BXK31" s="128"/>
      <c r="BXL31" s="128"/>
      <c r="BXM31" s="128"/>
      <c r="BXN31" s="128"/>
      <c r="BXO31" s="128"/>
      <c r="BXP31" s="128"/>
      <c r="BXQ31" s="128"/>
      <c r="BXR31" s="128"/>
      <c r="BXS31" s="128"/>
      <c r="BXT31" s="128"/>
      <c r="BXU31" s="128"/>
      <c r="BXV31" s="128"/>
      <c r="BXW31" s="128"/>
      <c r="BXX31" s="128"/>
      <c r="BXY31" s="128"/>
      <c r="BXZ31" s="128"/>
      <c r="BYA31" s="128"/>
      <c r="BYB31" s="128"/>
      <c r="BYC31" s="128"/>
      <c r="BYD31" s="128"/>
      <c r="BYE31" s="128"/>
      <c r="BYF31" s="128"/>
      <c r="BYG31" s="128"/>
      <c r="BYH31" s="128"/>
      <c r="BYI31" s="128"/>
      <c r="BYJ31" s="128"/>
      <c r="BYK31" s="128"/>
      <c r="BYL31" s="128"/>
      <c r="BYM31" s="128"/>
      <c r="BYN31" s="128"/>
      <c r="BYO31" s="128"/>
      <c r="BYP31" s="128"/>
      <c r="BYQ31" s="128"/>
      <c r="BYR31" s="128"/>
      <c r="BYS31" s="128"/>
      <c r="BYT31" s="128"/>
      <c r="BYU31" s="128"/>
      <c r="BYV31" s="128"/>
      <c r="BYW31" s="128"/>
      <c r="BYX31" s="128"/>
      <c r="BYY31" s="128"/>
      <c r="BYZ31" s="128"/>
      <c r="BZA31" s="128"/>
      <c r="BZB31" s="128"/>
      <c r="BZC31" s="128"/>
      <c r="BZD31" s="128"/>
      <c r="BZE31" s="128"/>
      <c r="BZF31" s="128"/>
      <c r="BZG31" s="128"/>
      <c r="BZH31" s="128"/>
      <c r="BZI31" s="128"/>
      <c r="BZJ31" s="128"/>
      <c r="BZK31" s="128"/>
      <c r="BZL31" s="128"/>
      <c r="BZM31" s="128"/>
      <c r="BZN31" s="128"/>
      <c r="BZO31" s="128"/>
      <c r="BZP31" s="128"/>
      <c r="BZQ31" s="128"/>
      <c r="BZR31" s="128"/>
      <c r="BZS31" s="128"/>
      <c r="BZT31" s="128"/>
      <c r="BZU31" s="128"/>
      <c r="BZV31" s="128"/>
      <c r="BZW31" s="128"/>
      <c r="BZX31" s="128"/>
      <c r="BZY31" s="128"/>
      <c r="BZZ31" s="128"/>
      <c r="CAA31" s="128"/>
      <c r="CAB31" s="128"/>
      <c r="CAC31" s="128"/>
      <c r="CAD31" s="128"/>
      <c r="CAE31" s="128"/>
      <c r="CAF31" s="128"/>
      <c r="CAG31" s="128"/>
      <c r="CAH31" s="128"/>
      <c r="CAI31" s="128"/>
      <c r="CAJ31" s="128"/>
      <c r="CAK31" s="128"/>
      <c r="CAL31" s="128"/>
      <c r="CAM31" s="128"/>
      <c r="CAN31" s="128"/>
      <c r="CAO31" s="128"/>
      <c r="CAP31" s="128"/>
      <c r="CAQ31" s="128"/>
      <c r="CAR31" s="128"/>
      <c r="CAS31" s="128"/>
      <c r="CAT31" s="128"/>
      <c r="CAU31" s="128"/>
      <c r="CAV31" s="128"/>
      <c r="CAW31" s="128"/>
      <c r="CAX31" s="128"/>
      <c r="CAY31" s="128"/>
      <c r="CAZ31" s="128"/>
      <c r="CBA31" s="128"/>
      <c r="CBB31" s="128"/>
      <c r="CBC31" s="128"/>
      <c r="CBD31" s="128"/>
      <c r="CBE31" s="128"/>
      <c r="CBF31" s="128"/>
      <c r="CBG31" s="128"/>
      <c r="CBH31" s="128"/>
      <c r="CBI31" s="128"/>
      <c r="CBJ31" s="128"/>
      <c r="CBK31" s="128"/>
      <c r="CBL31" s="128"/>
      <c r="CBM31" s="128"/>
      <c r="CBN31" s="128"/>
      <c r="CBO31" s="128"/>
      <c r="CBP31" s="128"/>
      <c r="CBQ31" s="128"/>
      <c r="CBR31" s="128"/>
      <c r="CBS31" s="128"/>
      <c r="CBT31" s="128"/>
      <c r="CBU31" s="128"/>
      <c r="CBV31" s="128"/>
      <c r="CBW31" s="128"/>
      <c r="CBX31" s="128"/>
      <c r="CBY31" s="128"/>
      <c r="CBZ31" s="128"/>
      <c r="CCA31" s="128"/>
      <c r="CCB31" s="128"/>
      <c r="CCC31" s="128"/>
      <c r="CCD31" s="128"/>
      <c r="CCE31" s="128"/>
      <c r="CCF31" s="128"/>
      <c r="CCG31" s="128"/>
      <c r="CCH31" s="128"/>
      <c r="CCI31" s="128"/>
      <c r="CCJ31" s="128"/>
      <c r="CCK31" s="128"/>
      <c r="CCL31" s="128"/>
      <c r="CCM31" s="128"/>
      <c r="CCN31" s="128"/>
      <c r="CCO31" s="128"/>
      <c r="CCP31" s="128"/>
      <c r="CCQ31" s="128"/>
      <c r="CCR31" s="128"/>
      <c r="CCS31" s="128"/>
      <c r="CCT31" s="128"/>
      <c r="CCU31" s="128"/>
      <c r="CCV31" s="128"/>
      <c r="CCW31" s="128"/>
      <c r="CCX31" s="128"/>
      <c r="CCY31" s="128"/>
      <c r="CCZ31" s="128"/>
      <c r="CDA31" s="128"/>
      <c r="CDB31" s="128"/>
      <c r="CDC31" s="128"/>
      <c r="CDD31" s="128"/>
      <c r="CDE31" s="128"/>
      <c r="CDF31" s="128"/>
      <c r="CDG31" s="128"/>
      <c r="CDH31" s="128"/>
      <c r="CDI31" s="128"/>
      <c r="CDJ31" s="128"/>
      <c r="CDK31" s="128"/>
      <c r="CDL31" s="128"/>
      <c r="CDM31" s="128"/>
      <c r="CDN31" s="128"/>
      <c r="CDO31" s="128"/>
      <c r="CDP31" s="128"/>
      <c r="CDQ31" s="128"/>
      <c r="CDR31" s="128"/>
      <c r="CDS31" s="128"/>
      <c r="CDT31" s="128"/>
      <c r="CDU31" s="128"/>
      <c r="CDV31" s="128"/>
      <c r="CDW31" s="128"/>
      <c r="CDX31" s="128"/>
      <c r="CDY31" s="128"/>
      <c r="CDZ31" s="128"/>
      <c r="CEA31" s="128"/>
      <c r="CEB31" s="128"/>
      <c r="CEC31" s="128"/>
      <c r="CED31" s="128"/>
      <c r="CEE31" s="128"/>
      <c r="CEF31" s="128"/>
      <c r="CEG31" s="128"/>
      <c r="CEH31" s="128"/>
      <c r="CEI31" s="128"/>
      <c r="CEJ31" s="128"/>
      <c r="CEK31" s="128"/>
      <c r="CEL31" s="128"/>
      <c r="CEM31" s="128"/>
      <c r="CEN31" s="128"/>
      <c r="CEO31" s="128"/>
      <c r="CEP31" s="128"/>
      <c r="CEQ31" s="128"/>
      <c r="CER31" s="128"/>
      <c r="CES31" s="128"/>
      <c r="CET31" s="128"/>
      <c r="CEU31" s="128"/>
      <c r="CEV31" s="128"/>
      <c r="CEW31" s="128"/>
      <c r="CEX31" s="128"/>
      <c r="CEY31" s="128"/>
      <c r="CEZ31" s="128"/>
      <c r="CFA31" s="128"/>
      <c r="CFB31" s="128"/>
      <c r="CFC31" s="128"/>
      <c r="CFD31" s="128"/>
      <c r="CFE31" s="128"/>
      <c r="CFF31" s="128"/>
      <c r="CFG31" s="128"/>
      <c r="CFH31" s="128"/>
      <c r="CFI31" s="128"/>
      <c r="CFJ31" s="128"/>
      <c r="CFK31" s="128"/>
      <c r="CFL31" s="128"/>
      <c r="CFM31" s="128"/>
      <c r="CFN31" s="128"/>
      <c r="CFO31" s="128"/>
      <c r="CFP31" s="128"/>
      <c r="CFQ31" s="128"/>
      <c r="CFR31" s="128"/>
      <c r="CFS31" s="128"/>
      <c r="CFT31" s="128"/>
      <c r="CFU31" s="128"/>
      <c r="CFV31" s="128"/>
      <c r="CFW31" s="128"/>
      <c r="CFX31" s="128"/>
      <c r="CFY31" s="128"/>
      <c r="CFZ31" s="128"/>
      <c r="CGA31" s="128"/>
      <c r="CGB31" s="128"/>
      <c r="CGC31" s="128"/>
      <c r="CGD31" s="128"/>
      <c r="CGE31" s="128"/>
      <c r="CGF31" s="128"/>
      <c r="CGG31" s="128"/>
      <c r="CGH31" s="128"/>
      <c r="CGI31" s="128"/>
      <c r="CGJ31" s="128"/>
      <c r="CGK31" s="128"/>
      <c r="CGL31" s="128"/>
      <c r="CGM31" s="128"/>
      <c r="CGN31" s="128"/>
      <c r="CGO31" s="128"/>
      <c r="CGP31" s="128"/>
      <c r="CGQ31" s="128"/>
      <c r="CGR31" s="128"/>
      <c r="CGS31" s="128"/>
      <c r="CGT31" s="128"/>
      <c r="CGU31" s="128"/>
      <c r="CGV31" s="128"/>
      <c r="CGW31" s="128"/>
      <c r="CGX31" s="128"/>
      <c r="CGY31" s="128"/>
      <c r="CGZ31" s="128"/>
      <c r="CHA31" s="128"/>
      <c r="CHB31" s="128"/>
      <c r="CHC31" s="128"/>
      <c r="CHD31" s="128"/>
      <c r="CHE31" s="128"/>
      <c r="CHF31" s="128"/>
      <c r="CHG31" s="128"/>
      <c r="CHH31" s="128"/>
      <c r="CHI31" s="128"/>
      <c r="CHJ31" s="128"/>
      <c r="CHK31" s="128"/>
      <c r="CHL31" s="128"/>
      <c r="CHM31" s="128"/>
      <c r="CHN31" s="128"/>
      <c r="CHO31" s="128"/>
      <c r="CHP31" s="128"/>
      <c r="CHQ31" s="128"/>
      <c r="CHR31" s="128"/>
      <c r="CHS31" s="128"/>
      <c r="CHT31" s="128"/>
      <c r="CHU31" s="128"/>
      <c r="CHV31" s="128"/>
      <c r="CHW31" s="128"/>
      <c r="CHX31" s="128"/>
      <c r="CHY31" s="128"/>
      <c r="CHZ31" s="128"/>
      <c r="CIA31" s="128"/>
      <c r="CIB31" s="128"/>
      <c r="CIC31" s="128"/>
      <c r="CID31" s="128"/>
      <c r="CIE31" s="128"/>
      <c r="CIF31" s="128"/>
      <c r="CIG31" s="128"/>
      <c r="CIH31" s="128"/>
      <c r="CII31" s="128"/>
      <c r="CIJ31" s="128"/>
      <c r="CIK31" s="128"/>
      <c r="CIL31" s="128"/>
      <c r="CIM31" s="128"/>
      <c r="CIN31" s="128"/>
      <c r="CIO31" s="128"/>
      <c r="CIP31" s="128"/>
      <c r="CIQ31" s="128"/>
      <c r="CIR31" s="128"/>
      <c r="CIS31" s="128"/>
      <c r="CIT31" s="128"/>
      <c r="CIU31" s="128"/>
      <c r="CIV31" s="128"/>
      <c r="CIW31" s="128"/>
      <c r="CIX31" s="128"/>
      <c r="CIY31" s="128"/>
      <c r="CIZ31" s="128"/>
      <c r="CJA31" s="128"/>
      <c r="CJB31" s="128"/>
      <c r="CJC31" s="128"/>
      <c r="CJD31" s="128"/>
      <c r="CJE31" s="128"/>
      <c r="CJF31" s="128"/>
      <c r="CJG31" s="128"/>
      <c r="CJH31" s="128"/>
      <c r="CJI31" s="128"/>
      <c r="CJJ31" s="128"/>
      <c r="CJK31" s="128"/>
      <c r="CJL31" s="128"/>
      <c r="CJM31" s="128"/>
      <c r="CJN31" s="128"/>
      <c r="CJO31" s="128"/>
      <c r="CJP31" s="128"/>
      <c r="CJQ31" s="128"/>
      <c r="CJR31" s="128"/>
      <c r="CJS31" s="128"/>
      <c r="CJT31" s="128"/>
      <c r="CJU31" s="128"/>
      <c r="CJV31" s="128"/>
      <c r="CJW31" s="128"/>
      <c r="CJX31" s="128"/>
      <c r="CJY31" s="128"/>
      <c r="CJZ31" s="128"/>
      <c r="CKA31" s="128"/>
      <c r="CKB31" s="128"/>
      <c r="CKC31" s="128"/>
      <c r="CKD31" s="128"/>
      <c r="CKE31" s="128"/>
      <c r="CKF31" s="128"/>
      <c r="CKG31" s="128"/>
      <c r="CKH31" s="128"/>
      <c r="CKI31" s="128"/>
      <c r="CKJ31" s="128"/>
      <c r="CKK31" s="128"/>
      <c r="CKL31" s="128"/>
      <c r="CKM31" s="128"/>
      <c r="CKN31" s="128"/>
      <c r="CKO31" s="128"/>
      <c r="CKP31" s="128"/>
      <c r="CKQ31" s="128"/>
      <c r="CKR31" s="128"/>
      <c r="CKS31" s="128"/>
      <c r="CKT31" s="128"/>
      <c r="CKU31" s="128"/>
      <c r="CKV31" s="128"/>
      <c r="CKW31" s="128"/>
      <c r="CKX31" s="128"/>
      <c r="CKY31" s="128"/>
      <c r="CKZ31" s="128"/>
      <c r="CLA31" s="128"/>
      <c r="CLB31" s="128"/>
      <c r="CLC31" s="128"/>
      <c r="CLD31" s="128"/>
      <c r="CLE31" s="128"/>
      <c r="CLF31" s="128"/>
      <c r="CLG31" s="128"/>
      <c r="CLH31" s="128"/>
      <c r="CLI31" s="128"/>
      <c r="CLJ31" s="128"/>
      <c r="CLK31" s="128"/>
      <c r="CLL31" s="128"/>
      <c r="CLM31" s="128"/>
      <c r="CLN31" s="128"/>
      <c r="CLO31" s="128"/>
      <c r="CLP31" s="128"/>
      <c r="CLQ31" s="128"/>
      <c r="CLR31" s="128"/>
      <c r="CLS31" s="128"/>
      <c r="CLT31" s="128"/>
      <c r="CLU31" s="128"/>
      <c r="CLV31" s="128"/>
      <c r="CLW31" s="128"/>
      <c r="CLX31" s="128"/>
      <c r="CLY31" s="128"/>
      <c r="CLZ31" s="128"/>
      <c r="CMA31" s="128"/>
      <c r="CMB31" s="128"/>
      <c r="CMC31" s="128"/>
      <c r="CMD31" s="128"/>
      <c r="CME31" s="128"/>
      <c r="CMF31" s="128"/>
      <c r="CMG31" s="128"/>
      <c r="CMH31" s="128"/>
      <c r="CMI31" s="128"/>
      <c r="CMJ31" s="128"/>
      <c r="CMK31" s="128"/>
      <c r="CML31" s="128"/>
      <c r="CMM31" s="128"/>
      <c r="CMN31" s="128"/>
      <c r="CMO31" s="128"/>
      <c r="CMP31" s="128"/>
      <c r="CMQ31" s="128"/>
      <c r="CMR31" s="128"/>
      <c r="CMS31" s="128"/>
      <c r="CMT31" s="128"/>
      <c r="CMU31" s="128"/>
      <c r="CMV31" s="128"/>
      <c r="CMW31" s="128"/>
      <c r="CMX31" s="128"/>
      <c r="CMY31" s="128"/>
      <c r="CMZ31" s="128"/>
      <c r="CNA31" s="128"/>
      <c r="CNB31" s="128"/>
      <c r="CNC31" s="128"/>
      <c r="CND31" s="128"/>
      <c r="CNE31" s="128"/>
      <c r="CNF31" s="128"/>
      <c r="CNG31" s="128"/>
      <c r="CNH31" s="128"/>
      <c r="CNI31" s="128"/>
      <c r="CNJ31" s="128"/>
      <c r="CNK31" s="128"/>
      <c r="CNL31" s="128"/>
      <c r="CNM31" s="128"/>
      <c r="CNN31" s="128"/>
      <c r="CNO31" s="128"/>
      <c r="CNP31" s="128"/>
      <c r="CNQ31" s="128"/>
      <c r="CNR31" s="128"/>
      <c r="CNS31" s="128"/>
      <c r="CNT31" s="128"/>
      <c r="CNU31" s="128"/>
      <c r="CNV31" s="128"/>
      <c r="CNW31" s="128"/>
      <c r="CNX31" s="128"/>
      <c r="CNY31" s="128"/>
      <c r="CNZ31" s="128"/>
      <c r="COA31" s="128"/>
      <c r="COB31" s="128"/>
      <c r="COC31" s="128"/>
      <c r="COD31" s="128"/>
      <c r="COE31" s="128"/>
      <c r="COF31" s="128"/>
      <c r="COG31" s="128"/>
      <c r="COH31" s="128"/>
      <c r="COI31" s="128"/>
      <c r="COJ31" s="128"/>
      <c r="COK31" s="128"/>
      <c r="COL31" s="128"/>
      <c r="COM31" s="128"/>
      <c r="CON31" s="128"/>
      <c r="COO31" s="128"/>
      <c r="COP31" s="128"/>
      <c r="COQ31" s="128"/>
      <c r="COR31" s="128"/>
      <c r="COS31" s="128"/>
      <c r="COT31" s="128"/>
      <c r="COU31" s="128"/>
      <c r="COV31" s="128"/>
      <c r="COW31" s="128"/>
      <c r="COX31" s="128"/>
      <c r="COY31" s="128"/>
      <c r="COZ31" s="128"/>
      <c r="CPA31" s="128"/>
      <c r="CPB31" s="128"/>
      <c r="CPC31" s="128"/>
      <c r="CPD31" s="128"/>
      <c r="CPE31" s="128"/>
      <c r="CPF31" s="128"/>
      <c r="CPG31" s="128"/>
      <c r="CPH31" s="128"/>
      <c r="CPI31" s="128"/>
      <c r="CPJ31" s="128"/>
      <c r="CPK31" s="128"/>
      <c r="CPL31" s="128"/>
      <c r="CPM31" s="128"/>
      <c r="CPN31" s="128"/>
      <c r="CPO31" s="128"/>
      <c r="CPP31" s="128"/>
      <c r="CPQ31" s="128"/>
      <c r="CPR31" s="128"/>
      <c r="CPS31" s="128"/>
      <c r="CPT31" s="128"/>
      <c r="CPU31" s="128"/>
      <c r="CPV31" s="128"/>
      <c r="CPW31" s="128"/>
      <c r="CPX31" s="128"/>
      <c r="CPY31" s="128"/>
      <c r="CPZ31" s="128"/>
      <c r="CQA31" s="128"/>
      <c r="CQB31" s="128"/>
      <c r="CQC31" s="128"/>
      <c r="CQD31" s="128"/>
      <c r="CQE31" s="128"/>
      <c r="CQF31" s="128"/>
      <c r="CQG31" s="128"/>
      <c r="CQH31" s="128"/>
      <c r="CQI31" s="128"/>
      <c r="CQJ31" s="128"/>
      <c r="CQK31" s="128"/>
      <c r="CQL31" s="128"/>
      <c r="CQM31" s="128"/>
      <c r="CQN31" s="128"/>
      <c r="CQO31" s="128"/>
      <c r="CQP31" s="128"/>
      <c r="CQQ31" s="128"/>
      <c r="CQR31" s="128"/>
      <c r="CQS31" s="128"/>
      <c r="CQT31" s="128"/>
      <c r="CQU31" s="128"/>
      <c r="CQV31" s="128"/>
      <c r="CQW31" s="128"/>
      <c r="CQX31" s="128"/>
      <c r="CQY31" s="128"/>
      <c r="CQZ31" s="128"/>
      <c r="CRA31" s="128"/>
      <c r="CRB31" s="128"/>
      <c r="CRC31" s="128"/>
      <c r="CRD31" s="128"/>
      <c r="CRE31" s="128"/>
      <c r="CRF31" s="128"/>
      <c r="CRG31" s="128"/>
      <c r="CRH31" s="128"/>
      <c r="CRI31" s="128"/>
      <c r="CRJ31" s="128"/>
      <c r="CRK31" s="128"/>
      <c r="CRL31" s="128"/>
      <c r="CRM31" s="128"/>
      <c r="CRN31" s="128"/>
      <c r="CRO31" s="128"/>
      <c r="CRP31" s="128"/>
      <c r="CRQ31" s="128"/>
      <c r="CRR31" s="128"/>
      <c r="CRS31" s="128"/>
      <c r="CRT31" s="128"/>
      <c r="CRU31" s="128"/>
      <c r="CRV31" s="128"/>
      <c r="CRW31" s="128"/>
      <c r="CRX31" s="128"/>
      <c r="CRY31" s="128"/>
      <c r="CRZ31" s="128"/>
      <c r="CSA31" s="128"/>
      <c r="CSB31" s="128"/>
      <c r="CSC31" s="128"/>
      <c r="CSD31" s="128"/>
      <c r="CSE31" s="128"/>
      <c r="CSF31" s="128"/>
      <c r="CSG31" s="128"/>
      <c r="CSH31" s="128"/>
      <c r="CSI31" s="128"/>
      <c r="CSJ31" s="128"/>
      <c r="CSK31" s="128"/>
      <c r="CSL31" s="128"/>
      <c r="CSM31" s="128"/>
      <c r="CSN31" s="128"/>
      <c r="CSO31" s="128"/>
      <c r="CSP31" s="128"/>
      <c r="CSQ31" s="128"/>
      <c r="CSR31" s="128"/>
      <c r="CSS31" s="128"/>
      <c r="CST31" s="128"/>
      <c r="CSU31" s="128"/>
      <c r="CSV31" s="128"/>
      <c r="CSW31" s="128"/>
      <c r="CSX31" s="128"/>
      <c r="CSY31" s="128"/>
      <c r="CSZ31" s="128"/>
      <c r="CTA31" s="128"/>
      <c r="CTB31" s="128"/>
      <c r="CTC31" s="128"/>
      <c r="CTD31" s="128"/>
      <c r="CTE31" s="128"/>
      <c r="CTF31" s="128"/>
      <c r="CTG31" s="128"/>
      <c r="CTH31" s="128"/>
      <c r="CTI31" s="128"/>
      <c r="CTJ31" s="128"/>
      <c r="CTK31" s="128"/>
      <c r="CTL31" s="128"/>
      <c r="CTM31" s="128"/>
      <c r="CTN31" s="128"/>
      <c r="CTO31" s="128"/>
      <c r="CTP31" s="128"/>
      <c r="CTQ31" s="128"/>
      <c r="CTR31" s="128"/>
      <c r="CTS31" s="128"/>
      <c r="CTT31" s="128"/>
      <c r="CTU31" s="128"/>
      <c r="CTV31" s="128"/>
      <c r="CTW31" s="128"/>
      <c r="CTX31" s="128"/>
      <c r="CTY31" s="128"/>
      <c r="CTZ31" s="128"/>
      <c r="CUA31" s="128"/>
      <c r="CUB31" s="128"/>
      <c r="CUC31" s="128"/>
      <c r="CUD31" s="128"/>
      <c r="CUE31" s="128"/>
      <c r="CUF31" s="128"/>
      <c r="CUG31" s="128"/>
      <c r="CUH31" s="128"/>
      <c r="CUI31" s="128"/>
      <c r="CUJ31" s="128"/>
      <c r="CUK31" s="128"/>
      <c r="CUL31" s="128"/>
      <c r="CUM31" s="128"/>
      <c r="CUN31" s="128"/>
      <c r="CUO31" s="128"/>
      <c r="CUP31" s="128"/>
      <c r="CUQ31" s="128"/>
      <c r="CUR31" s="128"/>
      <c r="CUS31" s="128"/>
      <c r="CUT31" s="128"/>
      <c r="CUU31" s="128"/>
      <c r="CUV31" s="128"/>
      <c r="CUW31" s="128"/>
      <c r="CUX31" s="128"/>
      <c r="CUY31" s="128"/>
      <c r="CUZ31" s="128"/>
      <c r="CVA31" s="128"/>
      <c r="CVB31" s="128"/>
      <c r="CVC31" s="128"/>
      <c r="CVD31" s="128"/>
      <c r="CVE31" s="128"/>
      <c r="CVF31" s="128"/>
      <c r="CVG31" s="128"/>
      <c r="CVH31" s="128"/>
      <c r="CVI31" s="128"/>
      <c r="CVJ31" s="128"/>
      <c r="CVK31" s="128"/>
      <c r="CVL31" s="128"/>
      <c r="CVM31" s="128"/>
      <c r="CVN31" s="128"/>
      <c r="CVO31" s="128"/>
      <c r="CVP31" s="128"/>
      <c r="CVQ31" s="128"/>
      <c r="CVR31" s="128"/>
      <c r="CVS31" s="128"/>
      <c r="CVT31" s="128"/>
      <c r="CVU31" s="128"/>
      <c r="CVV31" s="128"/>
      <c r="CVW31" s="128"/>
      <c r="CVX31" s="128"/>
      <c r="CVY31" s="128"/>
      <c r="CVZ31" s="128"/>
      <c r="CWA31" s="128"/>
      <c r="CWB31" s="128"/>
      <c r="CWC31" s="128"/>
      <c r="CWD31" s="128"/>
      <c r="CWE31" s="128"/>
      <c r="CWF31" s="128"/>
      <c r="CWG31" s="128"/>
      <c r="CWH31" s="128"/>
      <c r="CWI31" s="128"/>
      <c r="CWJ31" s="128"/>
      <c r="CWK31" s="128"/>
      <c r="CWL31" s="128"/>
      <c r="CWM31" s="128"/>
      <c r="CWN31" s="128"/>
      <c r="CWO31" s="128"/>
      <c r="CWP31" s="128"/>
      <c r="CWQ31" s="128"/>
      <c r="CWR31" s="128"/>
      <c r="CWS31" s="128"/>
      <c r="CWT31" s="128"/>
      <c r="CWU31" s="128"/>
      <c r="CWV31" s="128"/>
      <c r="CWW31" s="128"/>
      <c r="CWX31" s="128"/>
      <c r="CWY31" s="128"/>
      <c r="CWZ31" s="128"/>
      <c r="CXA31" s="128"/>
      <c r="CXB31" s="128"/>
      <c r="CXC31" s="128"/>
      <c r="CXD31" s="128"/>
      <c r="CXE31" s="128"/>
      <c r="CXF31" s="128"/>
      <c r="CXG31" s="128"/>
      <c r="CXH31" s="128"/>
      <c r="CXI31" s="128"/>
      <c r="CXJ31" s="128"/>
      <c r="CXK31" s="128"/>
      <c r="CXL31" s="128"/>
      <c r="CXM31" s="128"/>
      <c r="CXN31" s="128"/>
      <c r="CXO31" s="128"/>
      <c r="CXP31" s="128"/>
      <c r="CXQ31" s="128"/>
      <c r="CXR31" s="128"/>
      <c r="CXS31" s="128"/>
      <c r="CXT31" s="128"/>
      <c r="CXU31" s="128"/>
      <c r="CXV31" s="128"/>
      <c r="CXW31" s="128"/>
      <c r="CXX31" s="128"/>
      <c r="CXY31" s="128"/>
      <c r="CXZ31" s="128"/>
      <c r="CYA31" s="128"/>
      <c r="CYB31" s="128"/>
      <c r="CYC31" s="128"/>
      <c r="CYD31" s="128"/>
      <c r="CYE31" s="128"/>
      <c r="CYF31" s="128"/>
      <c r="CYG31" s="128"/>
      <c r="CYH31" s="128"/>
      <c r="CYI31" s="128"/>
      <c r="CYJ31" s="128"/>
      <c r="CYK31" s="128"/>
      <c r="CYL31" s="128"/>
      <c r="CYM31" s="128"/>
      <c r="CYN31" s="128"/>
      <c r="CYO31" s="128"/>
      <c r="CYP31" s="128"/>
      <c r="CYQ31" s="128"/>
      <c r="CYR31" s="128"/>
      <c r="CYS31" s="128"/>
      <c r="CYT31" s="128"/>
      <c r="CYU31" s="128"/>
      <c r="CYV31" s="128"/>
      <c r="CYW31" s="128"/>
      <c r="CYX31" s="128"/>
      <c r="CYY31" s="128"/>
      <c r="CYZ31" s="128"/>
      <c r="CZA31" s="128"/>
      <c r="CZB31" s="128"/>
      <c r="CZC31" s="128"/>
      <c r="CZD31" s="128"/>
      <c r="CZE31" s="128"/>
      <c r="CZF31" s="128"/>
      <c r="CZG31" s="128"/>
      <c r="CZH31" s="128"/>
      <c r="CZI31" s="128"/>
      <c r="CZJ31" s="128"/>
      <c r="CZK31" s="128"/>
      <c r="CZL31" s="128"/>
      <c r="CZM31" s="128"/>
      <c r="CZN31" s="128"/>
      <c r="CZO31" s="128"/>
      <c r="CZP31" s="128"/>
      <c r="CZQ31" s="128"/>
      <c r="CZR31" s="128"/>
      <c r="CZS31" s="128"/>
      <c r="CZT31" s="128"/>
      <c r="CZU31" s="128"/>
      <c r="CZV31" s="128"/>
      <c r="CZW31" s="128"/>
      <c r="CZX31" s="128"/>
      <c r="CZY31" s="128"/>
      <c r="CZZ31" s="128"/>
      <c r="DAA31" s="128"/>
      <c r="DAB31" s="128"/>
      <c r="DAC31" s="128"/>
      <c r="DAD31" s="128"/>
      <c r="DAE31" s="128"/>
      <c r="DAF31" s="128"/>
      <c r="DAG31" s="128"/>
      <c r="DAH31" s="128"/>
      <c r="DAI31" s="128"/>
      <c r="DAJ31" s="128"/>
      <c r="DAK31" s="128"/>
      <c r="DAL31" s="128"/>
      <c r="DAM31" s="128"/>
      <c r="DAN31" s="128"/>
      <c r="DAO31" s="128"/>
      <c r="DAP31" s="128"/>
      <c r="DAQ31" s="128"/>
      <c r="DAR31" s="128"/>
      <c r="DAS31" s="128"/>
      <c r="DAT31" s="128"/>
      <c r="DAU31" s="128"/>
      <c r="DAV31" s="128"/>
      <c r="DAW31" s="128"/>
      <c r="DAX31" s="128"/>
      <c r="DAY31" s="128"/>
      <c r="DAZ31" s="128"/>
      <c r="DBA31" s="128"/>
      <c r="DBB31" s="128"/>
      <c r="DBC31" s="128"/>
      <c r="DBD31" s="128"/>
      <c r="DBE31" s="128"/>
      <c r="DBF31" s="128"/>
      <c r="DBG31" s="128"/>
      <c r="DBH31" s="128"/>
      <c r="DBI31" s="128"/>
      <c r="DBJ31" s="128"/>
      <c r="DBK31" s="128"/>
      <c r="DBL31" s="128"/>
      <c r="DBM31" s="128"/>
      <c r="DBN31" s="128"/>
      <c r="DBO31" s="128"/>
      <c r="DBP31" s="128"/>
      <c r="DBQ31" s="128"/>
      <c r="DBR31" s="128"/>
      <c r="DBS31" s="128"/>
      <c r="DBT31" s="128"/>
      <c r="DBU31" s="128"/>
      <c r="DBV31" s="128"/>
      <c r="DBW31" s="128"/>
      <c r="DBX31" s="128"/>
      <c r="DBY31" s="128"/>
      <c r="DBZ31" s="128"/>
      <c r="DCA31" s="128"/>
      <c r="DCB31" s="128"/>
      <c r="DCC31" s="128"/>
      <c r="DCD31" s="128"/>
      <c r="DCE31" s="128"/>
      <c r="DCF31" s="128"/>
      <c r="DCG31" s="128"/>
      <c r="DCH31" s="128"/>
      <c r="DCI31" s="128"/>
      <c r="DCJ31" s="128"/>
      <c r="DCK31" s="128"/>
      <c r="DCL31" s="128"/>
      <c r="DCM31" s="128"/>
      <c r="DCN31" s="128"/>
      <c r="DCO31" s="128"/>
      <c r="DCP31" s="128"/>
      <c r="DCQ31" s="128"/>
      <c r="DCR31" s="128"/>
      <c r="DCS31" s="128"/>
      <c r="DCT31" s="128"/>
      <c r="DCU31" s="128"/>
      <c r="DCV31" s="128"/>
      <c r="DCW31" s="128"/>
      <c r="DCX31" s="128"/>
      <c r="DCY31" s="128"/>
      <c r="DCZ31" s="128"/>
      <c r="DDA31" s="128"/>
      <c r="DDB31" s="128"/>
      <c r="DDC31" s="128"/>
      <c r="DDD31" s="128"/>
      <c r="DDE31" s="128"/>
      <c r="DDF31" s="128"/>
      <c r="DDG31" s="128"/>
      <c r="DDH31" s="128"/>
      <c r="DDI31" s="128"/>
      <c r="DDJ31" s="128"/>
      <c r="DDK31" s="128"/>
      <c r="DDL31" s="128"/>
      <c r="DDM31" s="128"/>
      <c r="DDN31" s="128"/>
      <c r="DDO31" s="128"/>
      <c r="DDP31" s="128"/>
      <c r="DDQ31" s="128"/>
      <c r="DDR31" s="128"/>
      <c r="DDS31" s="128"/>
      <c r="DDT31" s="128"/>
      <c r="DDU31" s="128"/>
      <c r="DDV31" s="128"/>
      <c r="DDW31" s="128"/>
      <c r="DDX31" s="128"/>
      <c r="DDY31" s="128"/>
      <c r="DDZ31" s="128"/>
      <c r="DEA31" s="128"/>
      <c r="DEB31" s="128"/>
      <c r="DEC31" s="128"/>
      <c r="DED31" s="128"/>
      <c r="DEE31" s="128"/>
      <c r="DEF31" s="128"/>
      <c r="DEG31" s="128"/>
      <c r="DEH31" s="128"/>
      <c r="DEI31" s="128"/>
      <c r="DEJ31" s="128"/>
      <c r="DEK31" s="128"/>
      <c r="DEL31" s="128"/>
      <c r="DEM31" s="128"/>
      <c r="DEN31" s="128"/>
      <c r="DEO31" s="128"/>
      <c r="DEP31" s="128"/>
      <c r="DEQ31" s="128"/>
      <c r="DER31" s="128"/>
      <c r="DES31" s="128"/>
      <c r="DET31" s="128"/>
      <c r="DEU31" s="128"/>
      <c r="DEV31" s="128"/>
      <c r="DEW31" s="128"/>
      <c r="DEX31" s="128"/>
      <c r="DEY31" s="128"/>
      <c r="DEZ31" s="128"/>
      <c r="DFA31" s="128"/>
      <c r="DFB31" s="128"/>
      <c r="DFC31" s="128"/>
      <c r="DFD31" s="128"/>
      <c r="DFE31" s="128"/>
      <c r="DFF31" s="128"/>
      <c r="DFG31" s="128"/>
      <c r="DFH31" s="128"/>
      <c r="DFI31" s="128"/>
      <c r="DFJ31" s="128"/>
      <c r="DFK31" s="128"/>
      <c r="DFL31" s="128"/>
      <c r="DFM31" s="128"/>
      <c r="DFN31" s="128"/>
      <c r="DFO31" s="128"/>
      <c r="DFP31" s="128"/>
      <c r="DFQ31" s="128"/>
      <c r="DFR31" s="128"/>
      <c r="DFS31" s="128"/>
      <c r="DFT31" s="128"/>
      <c r="DFU31" s="128"/>
      <c r="DFV31" s="128"/>
      <c r="DFW31" s="128"/>
      <c r="DFX31" s="128"/>
      <c r="DFY31" s="128"/>
      <c r="DFZ31" s="128"/>
      <c r="DGA31" s="128"/>
      <c r="DGB31" s="128"/>
      <c r="DGC31" s="128"/>
      <c r="DGD31" s="128"/>
      <c r="DGE31" s="128"/>
      <c r="DGF31" s="128"/>
      <c r="DGG31" s="128"/>
      <c r="DGH31" s="128"/>
      <c r="DGI31" s="128"/>
      <c r="DGJ31" s="128"/>
      <c r="DGK31" s="128"/>
      <c r="DGL31" s="128"/>
      <c r="DGM31" s="128"/>
      <c r="DGN31" s="128"/>
      <c r="DGO31" s="128"/>
      <c r="DGP31" s="128"/>
      <c r="DGQ31" s="128"/>
      <c r="DGR31" s="128"/>
      <c r="DGS31" s="128"/>
      <c r="DGT31" s="128"/>
      <c r="DGU31" s="128"/>
      <c r="DGV31" s="128"/>
      <c r="DGW31" s="128"/>
      <c r="DGX31" s="128"/>
      <c r="DGY31" s="128"/>
      <c r="DGZ31" s="128"/>
      <c r="DHA31" s="128"/>
      <c r="DHB31" s="128"/>
      <c r="DHC31" s="128"/>
      <c r="DHD31" s="128"/>
      <c r="DHE31" s="128"/>
      <c r="DHF31" s="128"/>
      <c r="DHG31" s="128"/>
      <c r="DHH31" s="128"/>
      <c r="DHI31" s="128"/>
      <c r="DHJ31" s="128"/>
      <c r="DHK31" s="128"/>
      <c r="DHL31" s="128"/>
      <c r="DHM31" s="128"/>
      <c r="DHN31" s="128"/>
      <c r="DHO31" s="128"/>
      <c r="DHP31" s="128"/>
      <c r="DHQ31" s="128"/>
      <c r="DHR31" s="128"/>
      <c r="DHS31" s="128"/>
      <c r="DHT31" s="128"/>
      <c r="DHU31" s="128"/>
      <c r="DHV31" s="128"/>
      <c r="DHW31" s="128"/>
      <c r="DHX31" s="128"/>
      <c r="DHY31" s="128"/>
      <c r="DHZ31" s="128"/>
      <c r="DIA31" s="128"/>
      <c r="DIB31" s="128"/>
      <c r="DIC31" s="128"/>
    </row>
    <row r="32" spans="1:2941" s="154" customFormat="1" ht="12" x14ac:dyDescent="0.2">
      <c r="A32" s="156" t="s">
        <v>212</v>
      </c>
      <c r="B32" s="156"/>
      <c r="C32" s="157" t="s">
        <v>213</v>
      </c>
      <c r="D32" s="157" t="s">
        <v>200</v>
      </c>
      <c r="E32" s="157" t="s">
        <v>201</v>
      </c>
      <c r="F32" s="157" t="s">
        <v>11</v>
      </c>
      <c r="G32" s="157" t="s">
        <v>136</v>
      </c>
      <c r="H32" s="234" t="s">
        <v>214</v>
      </c>
      <c r="I32" s="147" t="s">
        <v>11</v>
      </c>
      <c r="J32" s="147" t="s">
        <v>215</v>
      </c>
      <c r="K32" s="147" t="s">
        <v>11</v>
      </c>
      <c r="L32" s="147" t="s">
        <v>138</v>
      </c>
      <c r="M32" s="147" t="s">
        <v>11</v>
      </c>
      <c r="N32" s="147" t="s">
        <v>138</v>
      </c>
      <c r="O32" s="192" t="s">
        <v>11</v>
      </c>
      <c r="P32" s="190" t="s">
        <v>140</v>
      </c>
      <c r="Q32" s="190" t="s">
        <v>11</v>
      </c>
      <c r="R32" s="190" t="s">
        <v>140</v>
      </c>
      <c r="S32" s="190" t="s">
        <v>140</v>
      </c>
      <c r="T32" s="190" t="s">
        <v>140</v>
      </c>
      <c r="U32" s="190" t="s">
        <v>140</v>
      </c>
      <c r="V32" s="190" t="s">
        <v>11</v>
      </c>
      <c r="W32" s="190" t="s">
        <v>11</v>
      </c>
      <c r="X32" s="190" t="s">
        <v>11</v>
      </c>
      <c r="Y32" s="190" t="s">
        <v>11</v>
      </c>
      <c r="Z32" s="190" t="s">
        <v>11</v>
      </c>
      <c r="AA32" s="190" t="s">
        <v>11</v>
      </c>
      <c r="AB32" s="190" t="s">
        <v>11</v>
      </c>
      <c r="AC32" s="190" t="s">
        <v>11</v>
      </c>
      <c r="AD32" s="190" t="s">
        <v>11</v>
      </c>
      <c r="AE32" s="190" t="s">
        <v>11</v>
      </c>
      <c r="AF32" s="190" t="s">
        <v>11</v>
      </c>
      <c r="AG32" s="190" t="s">
        <v>140</v>
      </c>
      <c r="AH32" s="278">
        <v>19</v>
      </c>
      <c r="AI32" s="278" t="s">
        <v>147</v>
      </c>
      <c r="AJ32" s="196"/>
      <c r="AK32" s="207" t="s">
        <v>11</v>
      </c>
      <c r="AL32" s="207" t="s">
        <v>11</v>
      </c>
      <c r="AM32" s="249"/>
      <c r="AN32" s="190" t="s">
        <v>11</v>
      </c>
      <c r="AO32" s="190" t="s">
        <v>11</v>
      </c>
      <c r="AP32" s="190" t="s">
        <v>11</v>
      </c>
      <c r="AQ32" s="190" t="s">
        <v>11</v>
      </c>
      <c r="AR32" s="207" t="s">
        <v>11</v>
      </c>
      <c r="AS32" s="207" t="s">
        <v>11</v>
      </c>
      <c r="AT32" s="207" t="s">
        <v>11</v>
      </c>
      <c r="AU32" s="190" t="s">
        <v>140</v>
      </c>
      <c r="AV32" s="190"/>
      <c r="AW32" s="204"/>
      <c r="AX32" s="204"/>
      <c r="AY32" s="204"/>
      <c r="AZ32" s="204"/>
      <c r="BA32" s="204"/>
      <c r="BB32" s="207" t="s">
        <v>11</v>
      </c>
      <c r="BC32" s="190"/>
      <c r="BD32" s="207"/>
      <c r="BE32" s="207"/>
      <c r="BF32" s="207"/>
      <c r="BG32" s="243"/>
      <c r="BH32" s="190" t="s">
        <v>11</v>
      </c>
      <c r="BI32" s="190" t="s">
        <v>11</v>
      </c>
      <c r="BJ32" s="190" t="s">
        <v>11</v>
      </c>
      <c r="BK32" s="190" t="s">
        <v>11</v>
      </c>
      <c r="BL32" s="190" t="s">
        <v>11</v>
      </c>
      <c r="BM32" s="190" t="s">
        <v>11</v>
      </c>
      <c r="BN32" s="190" t="s">
        <v>11</v>
      </c>
      <c r="BO32" s="190" t="s">
        <v>11</v>
      </c>
      <c r="BP32" s="190" t="s">
        <v>11</v>
      </c>
      <c r="BQ32" s="243"/>
      <c r="BR32" s="190" t="s">
        <v>11</v>
      </c>
      <c r="BS32" s="190" t="s">
        <v>11</v>
      </c>
      <c r="BT32" s="190" t="s">
        <v>11</v>
      </c>
      <c r="BU32" s="190" t="s">
        <v>11</v>
      </c>
      <c r="BV32" s="190" t="s">
        <v>11</v>
      </c>
      <c r="BW32" s="190" t="s">
        <v>11</v>
      </c>
      <c r="BX32" s="190" t="s">
        <v>11</v>
      </c>
      <c r="BY32" s="190" t="s">
        <v>11</v>
      </c>
      <c r="BZ32" s="190" t="s">
        <v>11</v>
      </c>
      <c r="CA32" s="190" t="s">
        <v>11</v>
      </c>
      <c r="CB32" s="190" t="s">
        <v>11</v>
      </c>
      <c r="CC32" s="243"/>
      <c r="CD32" s="190" t="s">
        <v>141</v>
      </c>
      <c r="CE32" s="190" t="s">
        <v>141</v>
      </c>
      <c r="CF32" s="190" t="s">
        <v>141</v>
      </c>
      <c r="CG32" s="190" t="s">
        <v>11</v>
      </c>
      <c r="CH32" s="190" t="s">
        <v>141</v>
      </c>
      <c r="CI32" s="190" t="s">
        <v>11</v>
      </c>
      <c r="CJ32" s="190" t="s">
        <v>11</v>
      </c>
      <c r="CK32" s="190" t="s">
        <v>11</v>
      </c>
      <c r="CL32" s="190" t="s">
        <v>141</v>
      </c>
      <c r="CM32" s="190" t="s">
        <v>141</v>
      </c>
      <c r="CN32" s="190" t="s">
        <v>11</v>
      </c>
      <c r="CO32" s="222"/>
      <c r="CP32" s="197" t="s">
        <v>11</v>
      </c>
      <c r="CQ32" s="197" t="s">
        <v>11</v>
      </c>
      <c r="CR32" s="197" t="s">
        <v>11</v>
      </c>
      <c r="CS32" s="197" t="s">
        <v>11</v>
      </c>
      <c r="CT32" s="197" t="s">
        <v>11</v>
      </c>
      <c r="CU32" s="197" t="s">
        <v>11</v>
      </c>
      <c r="CV32" s="197" t="s">
        <v>11</v>
      </c>
      <c r="CW32" s="206"/>
      <c r="CX32" s="197" t="s">
        <v>11</v>
      </c>
      <c r="CY32" s="197" t="s">
        <v>11</v>
      </c>
      <c r="CZ32" s="197" t="s">
        <v>11</v>
      </c>
      <c r="DA32" s="197" t="s">
        <v>11</v>
      </c>
      <c r="DB32" s="197" t="s">
        <v>11</v>
      </c>
      <c r="DC32" s="197" t="s">
        <v>11</v>
      </c>
      <c r="DD32" s="197" t="s">
        <v>11</v>
      </c>
      <c r="DE32" s="249"/>
      <c r="DF32" s="190" t="s">
        <v>11</v>
      </c>
      <c r="DG32" s="241"/>
      <c r="DH32" s="241"/>
      <c r="DI32" s="242"/>
      <c r="DJ32" s="242"/>
      <c r="DK32" s="128"/>
      <c r="DL32" s="128"/>
      <c r="DM32" s="128"/>
      <c r="DN32" s="128"/>
      <c r="DO32" s="128"/>
      <c r="DP32" s="128"/>
      <c r="DQ32" s="128"/>
      <c r="DR32" s="128"/>
      <c r="DS32" s="128"/>
      <c r="DT32" s="128"/>
      <c r="DU32" s="128"/>
      <c r="DV32" s="128"/>
      <c r="DW32" s="128"/>
      <c r="DX32" s="128"/>
      <c r="DY32" s="128"/>
      <c r="DZ32" s="128"/>
      <c r="EA32" s="128"/>
      <c r="EB32" s="128"/>
      <c r="EC32" s="128"/>
      <c r="ED32" s="128"/>
      <c r="EE32" s="128"/>
      <c r="EF32" s="128"/>
      <c r="EG32" s="128"/>
      <c r="EH32" s="128"/>
      <c r="EI32" s="128"/>
      <c r="EJ32" s="128"/>
      <c r="EK32" s="128"/>
      <c r="EL32" s="128"/>
      <c r="EM32" s="128"/>
      <c r="EN32" s="128"/>
      <c r="EO32" s="128"/>
      <c r="EP32" s="128"/>
      <c r="EQ32" s="128"/>
      <c r="ER32" s="128"/>
      <c r="ES32" s="128"/>
      <c r="ET32" s="128"/>
      <c r="EU32" s="128"/>
      <c r="EV32" s="128"/>
      <c r="EW32" s="128"/>
      <c r="EX32" s="128"/>
      <c r="EY32" s="128"/>
      <c r="EZ32" s="128"/>
      <c r="FA32" s="128"/>
      <c r="FB32" s="128"/>
      <c r="FC32" s="128"/>
      <c r="FD32" s="128"/>
      <c r="FE32" s="128"/>
      <c r="FF32" s="128"/>
      <c r="FG32" s="128"/>
      <c r="FH32" s="128"/>
      <c r="FI32" s="128"/>
      <c r="FJ32" s="128"/>
      <c r="FK32" s="128"/>
      <c r="FL32" s="128"/>
      <c r="FM32" s="128"/>
      <c r="FN32" s="128"/>
      <c r="FO32" s="128"/>
      <c r="FP32" s="128"/>
      <c r="FQ32" s="128"/>
      <c r="FR32" s="128"/>
      <c r="FS32" s="128"/>
      <c r="FT32" s="128"/>
      <c r="FU32" s="128"/>
      <c r="FV32" s="128"/>
      <c r="FW32" s="128"/>
      <c r="FX32" s="128"/>
      <c r="FY32" s="128"/>
      <c r="FZ32" s="128"/>
      <c r="GA32" s="128"/>
      <c r="GB32" s="128"/>
      <c r="GC32" s="128"/>
      <c r="GD32" s="128"/>
      <c r="GE32" s="128"/>
      <c r="GF32" s="128"/>
      <c r="GG32" s="128"/>
      <c r="GH32" s="128"/>
      <c r="GI32" s="128"/>
      <c r="GJ32" s="128"/>
      <c r="GK32" s="128"/>
      <c r="GL32" s="128"/>
      <c r="GM32" s="128"/>
      <c r="GN32" s="128"/>
      <c r="GO32" s="128"/>
      <c r="GP32" s="128"/>
      <c r="GQ32" s="128"/>
      <c r="GR32" s="128"/>
      <c r="GS32" s="128"/>
      <c r="GT32" s="128"/>
      <c r="GU32" s="128"/>
      <c r="GV32" s="128"/>
      <c r="GW32" s="128"/>
      <c r="GX32" s="128"/>
      <c r="GY32" s="128"/>
      <c r="GZ32" s="128"/>
      <c r="HA32" s="128"/>
      <c r="HB32" s="128"/>
      <c r="HC32" s="128"/>
      <c r="HD32" s="128"/>
      <c r="HE32" s="128"/>
      <c r="HF32" s="128"/>
      <c r="HG32" s="128"/>
      <c r="HH32" s="128"/>
      <c r="HI32" s="128"/>
      <c r="HJ32" s="128"/>
      <c r="HK32" s="128"/>
      <c r="HL32" s="128"/>
      <c r="HM32" s="128"/>
      <c r="HN32" s="128"/>
      <c r="HO32" s="128"/>
      <c r="HP32" s="128"/>
      <c r="HQ32" s="128"/>
      <c r="HR32" s="128"/>
      <c r="HS32" s="128"/>
      <c r="HT32" s="128"/>
      <c r="HU32" s="128"/>
      <c r="HV32" s="128"/>
      <c r="HW32" s="128"/>
      <c r="HX32" s="128"/>
      <c r="HY32" s="128"/>
      <c r="HZ32" s="128"/>
      <c r="IA32" s="128"/>
      <c r="IB32" s="128"/>
      <c r="IC32" s="128"/>
      <c r="ID32" s="128"/>
      <c r="IE32" s="128"/>
      <c r="IF32" s="128"/>
      <c r="IG32" s="128"/>
      <c r="IH32" s="128"/>
      <c r="II32" s="128"/>
      <c r="IJ32" s="128"/>
      <c r="IK32" s="128"/>
      <c r="IL32" s="128"/>
      <c r="IM32" s="128"/>
      <c r="IN32" s="128"/>
      <c r="IO32" s="128"/>
      <c r="IP32" s="128"/>
      <c r="IQ32" s="128"/>
      <c r="IR32" s="128"/>
      <c r="IS32" s="128"/>
      <c r="IT32" s="128"/>
      <c r="IU32" s="128"/>
      <c r="IV32" s="128"/>
      <c r="IW32" s="128"/>
      <c r="IX32" s="128"/>
      <c r="IY32" s="128"/>
      <c r="IZ32" s="128"/>
      <c r="JA32" s="128"/>
      <c r="JB32" s="128"/>
      <c r="JC32" s="128"/>
      <c r="JD32" s="128"/>
      <c r="JE32" s="128"/>
      <c r="JF32" s="128"/>
      <c r="JG32" s="128"/>
      <c r="JH32" s="128"/>
      <c r="JI32" s="128"/>
      <c r="JJ32" s="128"/>
      <c r="JK32" s="128"/>
      <c r="JL32" s="128"/>
      <c r="JM32" s="128"/>
      <c r="JN32" s="128"/>
      <c r="JO32" s="128"/>
      <c r="JP32" s="128"/>
      <c r="JQ32" s="128"/>
      <c r="JR32" s="128"/>
      <c r="JS32" s="128"/>
      <c r="JT32" s="128"/>
      <c r="JU32" s="128"/>
      <c r="JV32" s="128"/>
      <c r="JW32" s="128"/>
      <c r="JX32" s="128"/>
      <c r="JY32" s="128"/>
      <c r="JZ32" s="128"/>
      <c r="KA32" s="128"/>
      <c r="KB32" s="128"/>
      <c r="KC32" s="128"/>
      <c r="KD32" s="128"/>
      <c r="KE32" s="128"/>
      <c r="KF32" s="128"/>
      <c r="KG32" s="128"/>
      <c r="KH32" s="128"/>
      <c r="KI32" s="128"/>
      <c r="KJ32" s="128"/>
      <c r="KK32" s="128"/>
      <c r="KL32" s="128"/>
      <c r="KM32" s="128"/>
      <c r="KN32" s="128"/>
      <c r="KO32" s="128"/>
      <c r="KP32" s="128"/>
      <c r="KQ32" s="128"/>
      <c r="KR32" s="128"/>
      <c r="KS32" s="128"/>
      <c r="KT32" s="128"/>
      <c r="KU32" s="128"/>
      <c r="KV32" s="128"/>
      <c r="KW32" s="128"/>
      <c r="KX32" s="128"/>
      <c r="KY32" s="128"/>
      <c r="KZ32" s="128"/>
      <c r="LA32" s="128"/>
      <c r="LB32" s="128"/>
      <c r="LC32" s="128"/>
      <c r="LD32" s="128"/>
      <c r="LE32" s="128"/>
      <c r="LF32" s="128"/>
      <c r="LG32" s="128"/>
      <c r="LH32" s="128"/>
      <c r="LI32" s="128"/>
      <c r="LJ32" s="128"/>
      <c r="LK32" s="128"/>
      <c r="LL32" s="128"/>
      <c r="LM32" s="128"/>
      <c r="LN32" s="128"/>
      <c r="LO32" s="128"/>
      <c r="LP32" s="128"/>
      <c r="LQ32" s="128"/>
      <c r="LR32" s="128"/>
      <c r="LS32" s="128"/>
      <c r="LT32" s="128"/>
      <c r="LU32" s="128"/>
      <c r="LV32" s="128"/>
      <c r="LW32" s="128"/>
      <c r="LX32" s="128"/>
      <c r="LY32" s="128"/>
      <c r="LZ32" s="128"/>
      <c r="MA32" s="128"/>
      <c r="MB32" s="128"/>
      <c r="MC32" s="128"/>
      <c r="MD32" s="128"/>
      <c r="ME32" s="128"/>
      <c r="MF32" s="128"/>
      <c r="MG32" s="128"/>
      <c r="MH32" s="128"/>
      <c r="MI32" s="128"/>
      <c r="MJ32" s="128"/>
      <c r="MK32" s="128"/>
      <c r="ML32" s="128"/>
      <c r="MM32" s="128"/>
      <c r="MN32" s="128"/>
      <c r="MO32" s="128"/>
      <c r="MP32" s="128"/>
      <c r="MQ32" s="128"/>
      <c r="MR32" s="128"/>
      <c r="MS32" s="128"/>
      <c r="MT32" s="128"/>
      <c r="MU32" s="128"/>
      <c r="MV32" s="128"/>
      <c r="MW32" s="128"/>
      <c r="MX32" s="128"/>
      <c r="MY32" s="128"/>
      <c r="MZ32" s="128"/>
      <c r="NA32" s="128"/>
      <c r="NB32" s="128"/>
      <c r="NC32" s="128"/>
      <c r="ND32" s="128"/>
      <c r="NE32" s="128"/>
      <c r="NF32" s="128"/>
      <c r="NG32" s="128"/>
      <c r="NH32" s="128"/>
      <c r="NI32" s="128"/>
      <c r="NJ32" s="128"/>
      <c r="NK32" s="128"/>
      <c r="NL32" s="128"/>
      <c r="NM32" s="128"/>
      <c r="NN32" s="128"/>
      <c r="NO32" s="128"/>
      <c r="NP32" s="128"/>
      <c r="NQ32" s="128"/>
      <c r="NR32" s="128"/>
      <c r="NS32" s="128"/>
      <c r="NT32" s="128"/>
      <c r="NU32" s="128"/>
      <c r="NV32" s="128"/>
      <c r="NW32" s="128"/>
      <c r="NX32" s="128"/>
      <c r="NY32" s="128"/>
      <c r="NZ32" s="128"/>
      <c r="OA32" s="128"/>
      <c r="OB32" s="128"/>
      <c r="OC32" s="128"/>
      <c r="OD32" s="128"/>
      <c r="OE32" s="128"/>
      <c r="OF32" s="128"/>
      <c r="OG32" s="128"/>
      <c r="OH32" s="128"/>
      <c r="OI32" s="128"/>
      <c r="OJ32" s="128"/>
      <c r="OK32" s="128"/>
      <c r="OL32" s="128"/>
      <c r="OM32" s="128"/>
      <c r="ON32" s="128"/>
      <c r="OO32" s="128"/>
      <c r="OP32" s="128"/>
      <c r="OQ32" s="128"/>
      <c r="OR32" s="128"/>
      <c r="OS32" s="128"/>
      <c r="OT32" s="128"/>
      <c r="OU32" s="128"/>
      <c r="OV32" s="128"/>
      <c r="OW32" s="128"/>
      <c r="OX32" s="128"/>
      <c r="OY32" s="128"/>
      <c r="OZ32" s="128"/>
      <c r="PA32" s="128"/>
      <c r="PB32" s="128"/>
      <c r="PC32" s="128"/>
      <c r="PD32" s="128"/>
      <c r="PE32" s="128"/>
      <c r="PF32" s="128"/>
      <c r="PG32" s="128"/>
      <c r="PH32" s="128"/>
      <c r="PI32" s="128"/>
      <c r="PJ32" s="128"/>
      <c r="PK32" s="128"/>
      <c r="PL32" s="128"/>
      <c r="PM32" s="128"/>
      <c r="PN32" s="128"/>
      <c r="PO32" s="128"/>
      <c r="PP32" s="128"/>
      <c r="PQ32" s="128"/>
      <c r="PR32" s="128"/>
      <c r="PS32" s="128"/>
      <c r="PT32" s="128"/>
      <c r="PU32" s="128"/>
      <c r="PV32" s="128"/>
      <c r="PW32" s="128"/>
      <c r="PX32" s="128"/>
      <c r="PY32" s="128"/>
      <c r="PZ32" s="128"/>
      <c r="QA32" s="128"/>
      <c r="QB32" s="128"/>
      <c r="QC32" s="128"/>
      <c r="QD32" s="128"/>
      <c r="QE32" s="128"/>
      <c r="QF32" s="128"/>
      <c r="QG32" s="128"/>
      <c r="QH32" s="128"/>
      <c r="QI32" s="128"/>
      <c r="QJ32" s="128"/>
      <c r="QK32" s="128"/>
      <c r="QL32" s="128"/>
      <c r="QM32" s="128"/>
      <c r="QN32" s="128"/>
      <c r="QO32" s="128"/>
      <c r="QP32" s="128"/>
      <c r="QQ32" s="128"/>
      <c r="QR32" s="128"/>
      <c r="QS32" s="128"/>
      <c r="QT32" s="128"/>
      <c r="QU32" s="128"/>
      <c r="QV32" s="128"/>
      <c r="QW32" s="128"/>
      <c r="QX32" s="128"/>
      <c r="QY32" s="128"/>
      <c r="QZ32" s="128"/>
      <c r="RA32" s="128"/>
      <c r="RB32" s="128"/>
      <c r="RC32" s="128"/>
      <c r="RD32" s="128"/>
      <c r="RE32" s="128"/>
      <c r="RF32" s="128"/>
      <c r="RG32" s="128"/>
      <c r="RH32" s="128"/>
      <c r="RI32" s="128"/>
      <c r="RJ32" s="128"/>
      <c r="RK32" s="128"/>
      <c r="RL32" s="128"/>
      <c r="RM32" s="128"/>
      <c r="RN32" s="128"/>
      <c r="RO32" s="128"/>
      <c r="RP32" s="128"/>
      <c r="RQ32" s="128"/>
      <c r="RR32" s="128"/>
      <c r="RS32" s="128"/>
      <c r="RT32" s="128"/>
      <c r="RU32" s="128"/>
      <c r="RV32" s="128"/>
      <c r="RW32" s="128"/>
      <c r="RX32" s="128"/>
      <c r="RY32" s="128"/>
      <c r="RZ32" s="128"/>
      <c r="SA32" s="128"/>
      <c r="SB32" s="128"/>
      <c r="SC32" s="128"/>
      <c r="SD32" s="128"/>
      <c r="SE32" s="128"/>
      <c r="SF32" s="128"/>
      <c r="SG32" s="128"/>
      <c r="SH32" s="128"/>
      <c r="SI32" s="128"/>
      <c r="SJ32" s="128"/>
      <c r="SK32" s="128"/>
      <c r="SL32" s="128"/>
      <c r="SM32" s="128"/>
      <c r="SN32" s="128"/>
      <c r="SO32" s="128"/>
      <c r="SP32" s="128"/>
      <c r="SQ32" s="128"/>
      <c r="SR32" s="128"/>
      <c r="SS32" s="128"/>
      <c r="ST32" s="128"/>
      <c r="SU32" s="128"/>
      <c r="SV32" s="128"/>
      <c r="SW32" s="128"/>
      <c r="SX32" s="128"/>
      <c r="SY32" s="128"/>
      <c r="SZ32" s="128"/>
      <c r="TA32" s="128"/>
      <c r="TB32" s="128"/>
      <c r="TC32" s="128"/>
      <c r="TD32" s="128"/>
      <c r="TE32" s="128"/>
      <c r="TF32" s="128"/>
      <c r="TG32" s="128"/>
      <c r="TH32" s="128"/>
      <c r="TI32" s="128"/>
      <c r="TJ32" s="128"/>
      <c r="TK32" s="128"/>
      <c r="TL32" s="128"/>
      <c r="TM32" s="128"/>
      <c r="TN32" s="128"/>
      <c r="TO32" s="128"/>
      <c r="TP32" s="128"/>
      <c r="TQ32" s="128"/>
      <c r="TR32" s="128"/>
      <c r="TS32" s="128"/>
      <c r="TT32" s="128"/>
      <c r="TU32" s="128"/>
      <c r="TV32" s="128"/>
      <c r="TW32" s="128"/>
      <c r="TX32" s="128"/>
      <c r="TY32" s="128"/>
      <c r="TZ32" s="128"/>
      <c r="UA32" s="128"/>
      <c r="UB32" s="128"/>
      <c r="UC32" s="128"/>
      <c r="UD32" s="128"/>
      <c r="UE32" s="128"/>
      <c r="UF32" s="128"/>
      <c r="UG32" s="128"/>
      <c r="UH32" s="128"/>
      <c r="UI32" s="128"/>
      <c r="UJ32" s="128"/>
      <c r="UK32" s="128"/>
      <c r="UL32" s="128"/>
      <c r="UM32" s="128"/>
      <c r="UN32" s="128"/>
      <c r="UO32" s="128"/>
      <c r="UP32" s="128"/>
      <c r="UQ32" s="128"/>
      <c r="UR32" s="128"/>
      <c r="US32" s="128"/>
      <c r="UT32" s="128"/>
      <c r="UU32" s="128"/>
      <c r="UV32" s="128"/>
      <c r="UW32" s="128"/>
      <c r="UX32" s="128"/>
      <c r="UY32" s="128"/>
      <c r="UZ32" s="128"/>
      <c r="VA32" s="128"/>
      <c r="VB32" s="128"/>
      <c r="VC32" s="128"/>
      <c r="VD32" s="128"/>
      <c r="VE32" s="128"/>
      <c r="VF32" s="128"/>
      <c r="VG32" s="128"/>
      <c r="VH32" s="128"/>
      <c r="VI32" s="128"/>
      <c r="VJ32" s="128"/>
      <c r="VK32" s="128"/>
      <c r="VL32" s="128"/>
      <c r="VM32" s="128"/>
      <c r="VN32" s="128"/>
      <c r="VO32" s="128"/>
      <c r="VP32" s="128"/>
      <c r="VQ32" s="128"/>
      <c r="VR32" s="128"/>
      <c r="VS32" s="128"/>
      <c r="VT32" s="128"/>
      <c r="VU32" s="128"/>
      <c r="VV32" s="128"/>
      <c r="VW32" s="128"/>
      <c r="VX32" s="128"/>
      <c r="VY32" s="128"/>
      <c r="VZ32" s="128"/>
      <c r="WA32" s="128"/>
      <c r="WB32" s="128"/>
      <c r="WC32" s="128"/>
      <c r="WD32" s="128"/>
      <c r="WE32" s="128"/>
      <c r="WF32" s="128"/>
      <c r="WG32" s="128"/>
      <c r="WH32" s="128"/>
      <c r="WI32" s="128"/>
      <c r="WJ32" s="128"/>
      <c r="WK32" s="128"/>
      <c r="WL32" s="128"/>
      <c r="WM32" s="128"/>
      <c r="WN32" s="128"/>
      <c r="WO32" s="128"/>
      <c r="WP32" s="128"/>
      <c r="WQ32" s="128"/>
      <c r="WR32" s="128"/>
      <c r="WS32" s="128"/>
      <c r="WT32" s="128"/>
      <c r="WU32" s="128"/>
      <c r="WV32" s="128"/>
      <c r="WW32" s="128"/>
      <c r="WX32" s="128"/>
      <c r="WY32" s="128"/>
      <c r="WZ32" s="128"/>
      <c r="XA32" s="128"/>
      <c r="XB32" s="128"/>
      <c r="XC32" s="128"/>
      <c r="XD32" s="128"/>
      <c r="XE32" s="128"/>
      <c r="XF32" s="128"/>
      <c r="XG32" s="128"/>
      <c r="XH32" s="128"/>
      <c r="XI32" s="128"/>
      <c r="XJ32" s="128"/>
      <c r="XK32" s="128"/>
      <c r="XL32" s="128"/>
      <c r="XM32" s="128"/>
      <c r="XN32" s="128"/>
      <c r="XO32" s="128"/>
      <c r="XP32" s="128"/>
      <c r="XQ32" s="128"/>
      <c r="XR32" s="128"/>
      <c r="XS32" s="128"/>
      <c r="XT32" s="128"/>
      <c r="XU32" s="128"/>
      <c r="XV32" s="128"/>
      <c r="XW32" s="128"/>
      <c r="XX32" s="128"/>
      <c r="XY32" s="128"/>
      <c r="XZ32" s="128"/>
      <c r="YA32" s="128"/>
      <c r="YB32" s="128"/>
      <c r="YC32" s="128"/>
      <c r="YD32" s="128"/>
      <c r="YE32" s="128"/>
      <c r="YF32" s="128"/>
      <c r="YG32" s="128"/>
      <c r="YH32" s="128"/>
      <c r="YI32" s="128"/>
      <c r="YJ32" s="128"/>
      <c r="YK32" s="128"/>
      <c r="YL32" s="128"/>
      <c r="YM32" s="128"/>
      <c r="YN32" s="128"/>
      <c r="YO32" s="128"/>
      <c r="YP32" s="128"/>
      <c r="YQ32" s="128"/>
      <c r="YR32" s="128"/>
      <c r="YS32" s="128"/>
      <c r="YT32" s="128"/>
      <c r="YU32" s="128"/>
      <c r="YV32" s="128"/>
      <c r="YW32" s="128"/>
      <c r="YX32" s="128"/>
      <c r="YY32" s="128"/>
      <c r="YZ32" s="128"/>
      <c r="ZA32" s="128"/>
      <c r="ZB32" s="128"/>
      <c r="ZC32" s="128"/>
      <c r="ZD32" s="128"/>
      <c r="ZE32" s="128"/>
      <c r="ZF32" s="128"/>
      <c r="ZG32" s="128"/>
      <c r="ZH32" s="128"/>
      <c r="ZI32" s="128"/>
      <c r="ZJ32" s="128"/>
      <c r="ZK32" s="128"/>
      <c r="ZL32" s="128"/>
      <c r="ZM32" s="128"/>
      <c r="ZN32" s="128"/>
      <c r="ZO32" s="128"/>
      <c r="ZP32" s="128"/>
      <c r="ZQ32" s="128"/>
      <c r="ZR32" s="128"/>
      <c r="ZS32" s="128"/>
      <c r="ZT32" s="128"/>
      <c r="ZU32" s="128"/>
      <c r="ZV32" s="128"/>
      <c r="ZW32" s="128"/>
      <c r="ZX32" s="128"/>
      <c r="ZY32" s="128"/>
      <c r="ZZ32" s="128"/>
      <c r="AAA32" s="128"/>
      <c r="AAB32" s="128"/>
      <c r="AAC32" s="128"/>
      <c r="AAD32" s="128"/>
      <c r="AAE32" s="128"/>
      <c r="AAF32" s="128"/>
      <c r="AAG32" s="128"/>
      <c r="AAH32" s="128"/>
      <c r="AAI32" s="128"/>
      <c r="AAJ32" s="128"/>
      <c r="AAK32" s="128"/>
      <c r="AAL32" s="128"/>
      <c r="AAM32" s="128"/>
      <c r="AAN32" s="128"/>
      <c r="AAO32" s="128"/>
      <c r="AAP32" s="128"/>
      <c r="AAQ32" s="128"/>
      <c r="AAR32" s="128"/>
      <c r="AAS32" s="128"/>
      <c r="AAT32" s="128"/>
      <c r="AAU32" s="128"/>
      <c r="AAV32" s="128"/>
      <c r="AAW32" s="128"/>
      <c r="AAX32" s="128"/>
      <c r="AAY32" s="128"/>
      <c r="AAZ32" s="128"/>
      <c r="ABA32" s="128"/>
      <c r="ABB32" s="128"/>
      <c r="ABC32" s="128"/>
      <c r="ABD32" s="128"/>
      <c r="ABE32" s="128"/>
      <c r="ABF32" s="128"/>
      <c r="ABG32" s="128"/>
      <c r="ABH32" s="128"/>
      <c r="ABI32" s="128"/>
      <c r="ABJ32" s="128"/>
      <c r="ABK32" s="128"/>
      <c r="ABL32" s="128"/>
      <c r="ABM32" s="128"/>
      <c r="ABN32" s="128"/>
      <c r="ABO32" s="128"/>
      <c r="ABP32" s="128"/>
      <c r="ABQ32" s="128"/>
      <c r="ABR32" s="128"/>
      <c r="ABS32" s="128"/>
      <c r="ABT32" s="128"/>
      <c r="ABU32" s="128"/>
      <c r="ABV32" s="128"/>
      <c r="ABW32" s="128"/>
      <c r="ABX32" s="128"/>
      <c r="ABY32" s="128"/>
      <c r="ABZ32" s="128"/>
      <c r="ACA32" s="128"/>
      <c r="ACB32" s="128"/>
      <c r="ACC32" s="128"/>
      <c r="ACD32" s="128"/>
      <c r="ACE32" s="128"/>
      <c r="ACF32" s="128"/>
      <c r="ACG32" s="128"/>
      <c r="ACH32" s="128"/>
      <c r="ACI32" s="128"/>
      <c r="ACJ32" s="128"/>
      <c r="ACK32" s="128"/>
      <c r="ACL32" s="128"/>
      <c r="ACM32" s="128"/>
      <c r="ACN32" s="128"/>
      <c r="ACO32" s="128"/>
      <c r="ACP32" s="128"/>
      <c r="ACQ32" s="128"/>
      <c r="ACR32" s="128"/>
      <c r="ACS32" s="128"/>
      <c r="ACT32" s="128"/>
      <c r="ACU32" s="128"/>
      <c r="ACV32" s="128"/>
      <c r="ACW32" s="128"/>
      <c r="ACX32" s="128"/>
      <c r="ACY32" s="128"/>
      <c r="ACZ32" s="128"/>
      <c r="ADA32" s="128"/>
      <c r="ADB32" s="128"/>
      <c r="ADC32" s="128"/>
      <c r="ADD32" s="128"/>
      <c r="ADE32" s="128"/>
      <c r="ADF32" s="128"/>
      <c r="ADG32" s="128"/>
      <c r="ADH32" s="128"/>
      <c r="ADI32" s="128"/>
      <c r="ADJ32" s="128"/>
      <c r="ADK32" s="128"/>
      <c r="ADL32" s="128"/>
      <c r="ADM32" s="128"/>
      <c r="ADN32" s="128"/>
      <c r="ADO32" s="128"/>
      <c r="ADP32" s="128"/>
      <c r="ADQ32" s="128"/>
      <c r="ADR32" s="128"/>
      <c r="ADS32" s="128"/>
      <c r="ADT32" s="128"/>
      <c r="ADU32" s="128"/>
      <c r="ADV32" s="128"/>
      <c r="ADW32" s="128"/>
      <c r="ADX32" s="128"/>
      <c r="ADY32" s="128"/>
      <c r="ADZ32" s="128"/>
      <c r="AEA32" s="128"/>
      <c r="AEB32" s="128"/>
      <c r="AEC32" s="128"/>
      <c r="AED32" s="128"/>
      <c r="AEE32" s="128"/>
      <c r="AEF32" s="128"/>
      <c r="AEG32" s="128"/>
      <c r="AEH32" s="128"/>
      <c r="AEI32" s="128"/>
      <c r="AEJ32" s="128"/>
      <c r="AEK32" s="128"/>
      <c r="AEL32" s="128"/>
      <c r="AEM32" s="128"/>
      <c r="AEN32" s="128"/>
      <c r="AEO32" s="128"/>
      <c r="AEP32" s="128"/>
      <c r="AEQ32" s="128"/>
      <c r="AER32" s="128"/>
      <c r="AES32" s="128"/>
      <c r="AET32" s="128"/>
      <c r="AEU32" s="128"/>
      <c r="AEV32" s="128"/>
      <c r="AEW32" s="128"/>
      <c r="AEX32" s="128"/>
      <c r="AEY32" s="128"/>
      <c r="AEZ32" s="128"/>
      <c r="AFA32" s="128"/>
      <c r="AFB32" s="128"/>
      <c r="AFC32" s="128"/>
      <c r="AFD32" s="128"/>
      <c r="AFE32" s="128"/>
      <c r="AFF32" s="128"/>
      <c r="AFG32" s="128"/>
      <c r="AFH32" s="128"/>
      <c r="AFI32" s="128"/>
      <c r="AFJ32" s="128"/>
      <c r="AFK32" s="128"/>
      <c r="AFL32" s="128"/>
      <c r="AFM32" s="128"/>
      <c r="AFN32" s="128"/>
      <c r="AFO32" s="128"/>
      <c r="AFP32" s="128"/>
      <c r="AFQ32" s="128"/>
      <c r="AFR32" s="128"/>
      <c r="AFS32" s="128"/>
      <c r="AFT32" s="128"/>
      <c r="AFU32" s="128"/>
      <c r="AFV32" s="128"/>
      <c r="AFW32" s="128"/>
      <c r="AFX32" s="128"/>
      <c r="AFY32" s="128"/>
      <c r="AFZ32" s="128"/>
      <c r="AGA32" s="128"/>
      <c r="AGB32" s="128"/>
      <c r="AGC32" s="128"/>
      <c r="AGD32" s="128"/>
      <c r="AGE32" s="128"/>
      <c r="AGF32" s="128"/>
      <c r="AGG32" s="128"/>
      <c r="AGH32" s="128"/>
      <c r="AGI32" s="128"/>
      <c r="AGJ32" s="128"/>
      <c r="AGK32" s="128"/>
      <c r="AGL32" s="128"/>
      <c r="AGM32" s="128"/>
      <c r="AGN32" s="128"/>
      <c r="AGO32" s="128"/>
      <c r="AGP32" s="128"/>
      <c r="AGQ32" s="128"/>
      <c r="AGR32" s="128"/>
      <c r="AGS32" s="128"/>
      <c r="AGT32" s="128"/>
      <c r="AGU32" s="128"/>
      <c r="AGV32" s="128"/>
      <c r="AGW32" s="128"/>
      <c r="AGX32" s="128"/>
      <c r="AGY32" s="128"/>
      <c r="AGZ32" s="128"/>
      <c r="AHA32" s="128"/>
      <c r="AHB32" s="128"/>
      <c r="AHC32" s="128"/>
      <c r="AHD32" s="128"/>
      <c r="AHE32" s="128"/>
      <c r="AHF32" s="128"/>
      <c r="AHG32" s="128"/>
      <c r="AHH32" s="128"/>
      <c r="AHI32" s="128"/>
      <c r="AHJ32" s="128"/>
      <c r="AHK32" s="128"/>
      <c r="AHL32" s="128"/>
      <c r="AHM32" s="128"/>
      <c r="AHN32" s="128"/>
      <c r="AHO32" s="128"/>
      <c r="AHP32" s="128"/>
      <c r="AHQ32" s="128"/>
      <c r="AHR32" s="128"/>
      <c r="AHS32" s="128"/>
      <c r="AHT32" s="128"/>
      <c r="AHU32" s="128"/>
      <c r="AHV32" s="128"/>
      <c r="AHW32" s="128"/>
      <c r="AHX32" s="128"/>
      <c r="AHY32" s="128"/>
      <c r="AHZ32" s="128"/>
      <c r="AIA32" s="128"/>
      <c r="AIB32" s="128"/>
      <c r="AIC32" s="128"/>
      <c r="AID32" s="128"/>
      <c r="AIE32" s="128"/>
      <c r="AIF32" s="128"/>
      <c r="AIG32" s="128"/>
      <c r="AIH32" s="128"/>
      <c r="AII32" s="128"/>
      <c r="AIJ32" s="128"/>
      <c r="AIK32" s="128"/>
      <c r="AIL32" s="128"/>
      <c r="AIM32" s="128"/>
      <c r="AIN32" s="128"/>
      <c r="AIO32" s="128"/>
      <c r="AIP32" s="128"/>
      <c r="AIQ32" s="128"/>
      <c r="AIR32" s="128"/>
      <c r="AIS32" s="128"/>
      <c r="AIT32" s="128"/>
      <c r="AIU32" s="128"/>
      <c r="AIV32" s="128"/>
      <c r="AIW32" s="128"/>
      <c r="AIX32" s="128"/>
      <c r="AIY32" s="128"/>
      <c r="AIZ32" s="128"/>
      <c r="AJA32" s="128"/>
      <c r="AJB32" s="128"/>
      <c r="AJC32" s="128"/>
      <c r="AJD32" s="128"/>
      <c r="AJE32" s="128"/>
      <c r="AJF32" s="128"/>
      <c r="AJG32" s="128"/>
      <c r="AJH32" s="128"/>
      <c r="AJI32" s="128"/>
      <c r="AJJ32" s="128"/>
      <c r="AJK32" s="128"/>
      <c r="AJL32" s="128"/>
      <c r="AJM32" s="128"/>
      <c r="AJN32" s="128"/>
      <c r="AJO32" s="128"/>
      <c r="AJP32" s="128"/>
      <c r="AJQ32" s="128"/>
      <c r="AJR32" s="128"/>
      <c r="AJS32" s="128"/>
      <c r="AJT32" s="128"/>
      <c r="AJU32" s="128"/>
      <c r="AJV32" s="128"/>
      <c r="AJW32" s="128"/>
      <c r="AJX32" s="128"/>
      <c r="AJY32" s="128"/>
      <c r="AJZ32" s="128"/>
      <c r="AKA32" s="128"/>
      <c r="AKB32" s="128"/>
      <c r="AKC32" s="128"/>
      <c r="AKD32" s="128"/>
      <c r="AKE32" s="128"/>
      <c r="AKF32" s="128"/>
      <c r="AKG32" s="128"/>
      <c r="AKH32" s="128"/>
      <c r="AKI32" s="128"/>
      <c r="AKJ32" s="128"/>
      <c r="AKK32" s="128"/>
      <c r="AKL32" s="128"/>
      <c r="AKM32" s="128"/>
      <c r="AKN32" s="128"/>
      <c r="AKO32" s="128"/>
      <c r="AKP32" s="128"/>
      <c r="AKQ32" s="128"/>
      <c r="AKR32" s="128"/>
      <c r="AKS32" s="128"/>
      <c r="AKT32" s="128"/>
      <c r="AKU32" s="128"/>
      <c r="AKV32" s="128"/>
      <c r="AKW32" s="128"/>
      <c r="AKX32" s="128"/>
      <c r="AKY32" s="128"/>
      <c r="AKZ32" s="128"/>
      <c r="ALA32" s="128"/>
      <c r="ALB32" s="128"/>
      <c r="ALC32" s="128"/>
      <c r="ALD32" s="128"/>
      <c r="ALE32" s="128"/>
      <c r="ALF32" s="128"/>
      <c r="ALG32" s="128"/>
      <c r="ALH32" s="128"/>
      <c r="ALI32" s="128"/>
      <c r="ALJ32" s="128"/>
      <c r="ALK32" s="128"/>
      <c r="ALL32" s="128"/>
      <c r="ALM32" s="128"/>
      <c r="ALN32" s="128"/>
      <c r="ALO32" s="128"/>
      <c r="ALP32" s="128"/>
      <c r="ALQ32" s="128"/>
      <c r="ALR32" s="128"/>
      <c r="ALS32" s="128"/>
      <c r="ALT32" s="128"/>
      <c r="ALU32" s="128"/>
      <c r="ALV32" s="128"/>
      <c r="ALW32" s="128"/>
      <c r="ALX32" s="128"/>
      <c r="ALY32" s="128"/>
      <c r="ALZ32" s="128"/>
      <c r="AMA32" s="128"/>
      <c r="AMB32" s="128"/>
      <c r="AMC32" s="128"/>
      <c r="AMD32" s="128"/>
      <c r="AME32" s="128"/>
      <c r="AMF32" s="128"/>
      <c r="AMG32" s="128"/>
      <c r="AMH32" s="128"/>
      <c r="AMI32" s="128"/>
      <c r="AMJ32" s="128"/>
      <c r="AMK32" s="128"/>
      <c r="AML32" s="128"/>
      <c r="AMM32" s="128"/>
      <c r="AMN32" s="128"/>
      <c r="AMO32" s="128"/>
      <c r="AMP32" s="128"/>
      <c r="AMQ32" s="128"/>
      <c r="AMR32" s="128"/>
      <c r="AMS32" s="128"/>
      <c r="AMT32" s="128"/>
      <c r="AMU32" s="128"/>
      <c r="AMV32" s="128"/>
      <c r="AMW32" s="128"/>
      <c r="AMX32" s="128"/>
      <c r="AMY32" s="128"/>
      <c r="AMZ32" s="128"/>
      <c r="ANA32" s="128"/>
      <c r="ANB32" s="128"/>
      <c r="ANC32" s="128"/>
      <c r="AND32" s="128"/>
      <c r="ANE32" s="128"/>
      <c r="ANF32" s="128"/>
      <c r="ANG32" s="128"/>
      <c r="ANH32" s="128"/>
      <c r="ANI32" s="128"/>
      <c r="ANJ32" s="128"/>
      <c r="ANK32" s="128"/>
      <c r="ANL32" s="128"/>
      <c r="ANM32" s="128"/>
      <c r="ANN32" s="128"/>
      <c r="ANO32" s="128"/>
      <c r="ANP32" s="128"/>
      <c r="ANQ32" s="128"/>
      <c r="ANR32" s="128"/>
      <c r="ANS32" s="128"/>
      <c r="ANT32" s="128"/>
      <c r="ANU32" s="128"/>
      <c r="ANV32" s="128"/>
      <c r="ANW32" s="128"/>
      <c r="ANX32" s="128"/>
      <c r="ANY32" s="128"/>
      <c r="ANZ32" s="128"/>
      <c r="AOA32" s="128"/>
      <c r="AOB32" s="128"/>
      <c r="AOC32" s="128"/>
      <c r="AOD32" s="128"/>
      <c r="AOE32" s="128"/>
      <c r="AOF32" s="128"/>
      <c r="AOG32" s="128"/>
      <c r="AOH32" s="128"/>
      <c r="AOI32" s="128"/>
      <c r="AOJ32" s="128"/>
      <c r="AOK32" s="128"/>
      <c r="AOL32" s="128"/>
      <c r="AOM32" s="128"/>
      <c r="AON32" s="128"/>
      <c r="AOO32" s="128"/>
      <c r="AOP32" s="128"/>
      <c r="AOQ32" s="128"/>
      <c r="AOR32" s="128"/>
      <c r="AOS32" s="128"/>
      <c r="AOT32" s="128"/>
      <c r="AOU32" s="128"/>
      <c r="AOV32" s="128"/>
      <c r="AOW32" s="128"/>
      <c r="AOX32" s="128"/>
      <c r="AOY32" s="128"/>
      <c r="AOZ32" s="128"/>
      <c r="APA32" s="128"/>
      <c r="APB32" s="128"/>
      <c r="APC32" s="128"/>
      <c r="APD32" s="128"/>
      <c r="APE32" s="128"/>
      <c r="APF32" s="128"/>
      <c r="APG32" s="128"/>
      <c r="APH32" s="128"/>
      <c r="API32" s="128"/>
      <c r="APJ32" s="128"/>
      <c r="APK32" s="128"/>
      <c r="APL32" s="128"/>
      <c r="APM32" s="128"/>
      <c r="APN32" s="128"/>
      <c r="APO32" s="128"/>
      <c r="APP32" s="128"/>
      <c r="APQ32" s="128"/>
      <c r="APR32" s="128"/>
      <c r="APS32" s="128"/>
      <c r="APT32" s="128"/>
      <c r="APU32" s="128"/>
      <c r="APV32" s="128"/>
      <c r="APW32" s="128"/>
      <c r="APX32" s="128"/>
      <c r="APY32" s="128"/>
      <c r="APZ32" s="128"/>
      <c r="AQA32" s="128"/>
      <c r="AQB32" s="128"/>
      <c r="AQC32" s="128"/>
      <c r="AQD32" s="128"/>
      <c r="AQE32" s="128"/>
      <c r="AQF32" s="128"/>
      <c r="AQG32" s="128"/>
      <c r="AQH32" s="128"/>
      <c r="AQI32" s="128"/>
      <c r="AQJ32" s="128"/>
      <c r="AQK32" s="128"/>
      <c r="AQL32" s="128"/>
      <c r="AQM32" s="128"/>
      <c r="AQN32" s="128"/>
      <c r="AQO32" s="128"/>
      <c r="AQP32" s="128"/>
      <c r="AQQ32" s="128"/>
      <c r="AQR32" s="128"/>
      <c r="AQS32" s="128"/>
      <c r="AQT32" s="128"/>
      <c r="AQU32" s="128"/>
      <c r="AQV32" s="128"/>
      <c r="AQW32" s="128"/>
      <c r="AQX32" s="128"/>
      <c r="AQY32" s="128"/>
      <c r="AQZ32" s="128"/>
      <c r="ARA32" s="128"/>
      <c r="ARB32" s="128"/>
      <c r="ARC32" s="128"/>
      <c r="ARD32" s="128"/>
      <c r="ARE32" s="128"/>
      <c r="ARF32" s="128"/>
      <c r="ARG32" s="128"/>
      <c r="ARH32" s="128"/>
      <c r="ARI32" s="128"/>
      <c r="ARJ32" s="128"/>
      <c r="ARK32" s="128"/>
      <c r="ARL32" s="128"/>
      <c r="ARM32" s="128"/>
      <c r="ARN32" s="128"/>
      <c r="ARO32" s="128"/>
      <c r="ARP32" s="128"/>
      <c r="ARQ32" s="128"/>
      <c r="ARR32" s="128"/>
      <c r="ARS32" s="128"/>
      <c r="ART32" s="128"/>
      <c r="ARU32" s="128"/>
      <c r="ARV32" s="128"/>
      <c r="ARW32" s="128"/>
      <c r="ARX32" s="128"/>
      <c r="ARY32" s="128"/>
      <c r="ARZ32" s="128"/>
      <c r="ASA32" s="128"/>
      <c r="ASB32" s="128"/>
      <c r="ASC32" s="128"/>
      <c r="ASD32" s="128"/>
      <c r="ASE32" s="128"/>
      <c r="ASF32" s="128"/>
      <c r="ASG32" s="128"/>
      <c r="ASH32" s="128"/>
      <c r="ASI32" s="128"/>
      <c r="ASJ32" s="128"/>
      <c r="ASK32" s="128"/>
      <c r="ASL32" s="128"/>
      <c r="ASM32" s="128"/>
      <c r="ASN32" s="128"/>
      <c r="ASO32" s="128"/>
      <c r="ASP32" s="128"/>
      <c r="ASQ32" s="128"/>
      <c r="ASR32" s="128"/>
      <c r="ASS32" s="128"/>
      <c r="AST32" s="128"/>
      <c r="ASU32" s="128"/>
      <c r="ASV32" s="128"/>
      <c r="ASW32" s="128"/>
      <c r="ASX32" s="128"/>
      <c r="ASY32" s="128"/>
      <c r="ASZ32" s="128"/>
      <c r="ATA32" s="128"/>
      <c r="ATB32" s="128"/>
      <c r="ATC32" s="128"/>
      <c r="ATD32" s="128"/>
      <c r="ATE32" s="128"/>
      <c r="ATF32" s="128"/>
      <c r="ATG32" s="128"/>
      <c r="ATH32" s="128"/>
      <c r="ATI32" s="128"/>
      <c r="ATJ32" s="128"/>
      <c r="ATK32" s="128"/>
      <c r="ATL32" s="128"/>
      <c r="ATM32" s="128"/>
      <c r="ATN32" s="128"/>
      <c r="ATO32" s="128"/>
      <c r="ATP32" s="128"/>
      <c r="ATQ32" s="128"/>
      <c r="ATR32" s="128"/>
      <c r="ATS32" s="128"/>
      <c r="ATT32" s="128"/>
      <c r="ATU32" s="128"/>
      <c r="ATV32" s="128"/>
      <c r="ATW32" s="128"/>
      <c r="ATX32" s="128"/>
      <c r="ATY32" s="128"/>
      <c r="ATZ32" s="128"/>
      <c r="AUA32" s="128"/>
      <c r="AUB32" s="128"/>
      <c r="AUC32" s="128"/>
      <c r="AUD32" s="128"/>
      <c r="AUE32" s="128"/>
      <c r="AUF32" s="128"/>
      <c r="AUG32" s="128"/>
      <c r="AUH32" s="128"/>
      <c r="AUI32" s="128"/>
      <c r="AUJ32" s="128"/>
      <c r="AUK32" s="128"/>
      <c r="AUL32" s="128"/>
      <c r="AUM32" s="128"/>
      <c r="AUN32" s="128"/>
      <c r="AUO32" s="128"/>
      <c r="AUP32" s="128"/>
      <c r="AUQ32" s="128"/>
      <c r="AUR32" s="128"/>
      <c r="AUS32" s="128"/>
      <c r="AUT32" s="128"/>
      <c r="AUU32" s="128"/>
      <c r="AUV32" s="128"/>
      <c r="AUW32" s="128"/>
      <c r="AUX32" s="128"/>
      <c r="AUY32" s="128"/>
      <c r="AUZ32" s="128"/>
      <c r="AVA32" s="128"/>
      <c r="AVB32" s="128"/>
      <c r="AVC32" s="128"/>
      <c r="AVD32" s="128"/>
      <c r="AVE32" s="128"/>
      <c r="AVF32" s="128"/>
      <c r="AVG32" s="128"/>
      <c r="AVH32" s="128"/>
      <c r="AVI32" s="128"/>
      <c r="AVJ32" s="128"/>
      <c r="AVK32" s="128"/>
      <c r="AVL32" s="128"/>
      <c r="AVM32" s="128"/>
      <c r="AVN32" s="128"/>
      <c r="AVO32" s="128"/>
      <c r="AVP32" s="128"/>
      <c r="AVQ32" s="128"/>
      <c r="AVR32" s="128"/>
      <c r="AVS32" s="128"/>
      <c r="AVT32" s="128"/>
      <c r="AVU32" s="128"/>
      <c r="AVV32" s="128"/>
      <c r="AVW32" s="128"/>
      <c r="AVX32" s="128"/>
      <c r="AVY32" s="128"/>
      <c r="AVZ32" s="128"/>
      <c r="AWA32" s="128"/>
      <c r="AWB32" s="128"/>
      <c r="AWC32" s="128"/>
      <c r="AWD32" s="128"/>
      <c r="AWE32" s="128"/>
      <c r="AWF32" s="128"/>
      <c r="AWG32" s="128"/>
      <c r="AWH32" s="128"/>
      <c r="AWI32" s="128"/>
      <c r="AWJ32" s="128"/>
      <c r="AWK32" s="128"/>
      <c r="AWL32" s="128"/>
      <c r="AWM32" s="128"/>
      <c r="AWN32" s="128"/>
      <c r="AWO32" s="128"/>
      <c r="AWP32" s="128"/>
      <c r="AWQ32" s="128"/>
      <c r="AWR32" s="128"/>
      <c r="AWS32" s="128"/>
      <c r="AWT32" s="128"/>
      <c r="AWU32" s="128"/>
      <c r="AWV32" s="128"/>
      <c r="AWW32" s="128"/>
      <c r="AWX32" s="128"/>
      <c r="AWY32" s="128"/>
      <c r="AWZ32" s="128"/>
      <c r="AXA32" s="128"/>
      <c r="AXB32" s="128"/>
      <c r="AXC32" s="128"/>
      <c r="AXD32" s="128"/>
      <c r="AXE32" s="128"/>
      <c r="AXF32" s="128"/>
      <c r="AXG32" s="128"/>
      <c r="AXH32" s="128"/>
      <c r="AXI32" s="128"/>
      <c r="AXJ32" s="128"/>
      <c r="AXK32" s="128"/>
      <c r="AXL32" s="128"/>
      <c r="AXM32" s="128"/>
      <c r="AXN32" s="128"/>
      <c r="AXO32" s="128"/>
      <c r="AXP32" s="128"/>
      <c r="AXQ32" s="128"/>
      <c r="AXR32" s="128"/>
      <c r="AXS32" s="128"/>
      <c r="AXT32" s="128"/>
      <c r="AXU32" s="128"/>
      <c r="AXV32" s="128"/>
      <c r="AXW32" s="128"/>
      <c r="AXX32" s="128"/>
      <c r="AXY32" s="128"/>
      <c r="AXZ32" s="128"/>
      <c r="AYA32" s="128"/>
      <c r="AYB32" s="128"/>
      <c r="AYC32" s="128"/>
      <c r="AYD32" s="128"/>
      <c r="AYE32" s="128"/>
      <c r="AYF32" s="128"/>
      <c r="AYG32" s="128"/>
      <c r="AYH32" s="128"/>
      <c r="AYI32" s="128"/>
      <c r="AYJ32" s="128"/>
      <c r="AYK32" s="128"/>
      <c r="AYL32" s="128"/>
      <c r="AYM32" s="128"/>
      <c r="AYN32" s="128"/>
      <c r="AYO32" s="128"/>
      <c r="AYP32" s="128"/>
      <c r="AYQ32" s="128"/>
      <c r="AYR32" s="128"/>
      <c r="AYS32" s="128"/>
      <c r="AYT32" s="128"/>
      <c r="AYU32" s="128"/>
      <c r="AYV32" s="128"/>
      <c r="AYW32" s="128"/>
      <c r="AYX32" s="128"/>
      <c r="AYY32" s="128"/>
      <c r="AYZ32" s="128"/>
      <c r="AZA32" s="128"/>
      <c r="AZB32" s="128"/>
      <c r="AZC32" s="128"/>
      <c r="AZD32" s="128"/>
      <c r="AZE32" s="128"/>
      <c r="AZF32" s="128"/>
      <c r="AZG32" s="128"/>
      <c r="AZH32" s="128"/>
      <c r="AZI32" s="128"/>
      <c r="AZJ32" s="128"/>
      <c r="AZK32" s="128"/>
      <c r="AZL32" s="128"/>
      <c r="AZM32" s="128"/>
      <c r="AZN32" s="128"/>
      <c r="AZO32" s="128"/>
      <c r="AZP32" s="128"/>
      <c r="AZQ32" s="128"/>
      <c r="AZR32" s="128"/>
      <c r="AZS32" s="128"/>
      <c r="AZT32" s="128"/>
      <c r="AZU32" s="128"/>
      <c r="AZV32" s="128"/>
      <c r="AZW32" s="128"/>
      <c r="AZX32" s="128"/>
      <c r="AZY32" s="128"/>
      <c r="AZZ32" s="128"/>
      <c r="BAA32" s="128"/>
      <c r="BAB32" s="128"/>
      <c r="BAC32" s="128"/>
      <c r="BAD32" s="128"/>
      <c r="BAE32" s="128"/>
      <c r="BAF32" s="128"/>
      <c r="BAG32" s="128"/>
      <c r="BAH32" s="128"/>
      <c r="BAI32" s="128"/>
      <c r="BAJ32" s="128"/>
      <c r="BAK32" s="128"/>
      <c r="BAL32" s="128"/>
      <c r="BAM32" s="128"/>
      <c r="BAN32" s="128"/>
      <c r="BAO32" s="128"/>
      <c r="BAP32" s="128"/>
      <c r="BAQ32" s="128"/>
      <c r="BAR32" s="128"/>
      <c r="BAS32" s="128"/>
      <c r="BAT32" s="128"/>
      <c r="BAU32" s="128"/>
      <c r="BAV32" s="128"/>
      <c r="BAW32" s="128"/>
      <c r="BAX32" s="128"/>
      <c r="BAY32" s="128"/>
      <c r="BAZ32" s="128"/>
      <c r="BBA32" s="128"/>
      <c r="BBB32" s="128"/>
      <c r="BBC32" s="128"/>
      <c r="BBD32" s="128"/>
      <c r="BBE32" s="128"/>
      <c r="BBF32" s="128"/>
      <c r="BBG32" s="128"/>
      <c r="BBH32" s="128"/>
      <c r="BBI32" s="128"/>
      <c r="BBJ32" s="128"/>
      <c r="BBK32" s="128"/>
      <c r="BBL32" s="128"/>
      <c r="BBM32" s="128"/>
      <c r="BBN32" s="128"/>
      <c r="BBO32" s="128"/>
      <c r="BBP32" s="128"/>
      <c r="BBQ32" s="128"/>
      <c r="BBR32" s="128"/>
      <c r="BBS32" s="128"/>
      <c r="BBT32" s="128"/>
      <c r="BBU32" s="128"/>
      <c r="BBV32" s="128"/>
      <c r="BBW32" s="128"/>
      <c r="BBX32" s="128"/>
      <c r="BBY32" s="128"/>
      <c r="BBZ32" s="128"/>
      <c r="BCA32" s="128"/>
      <c r="BCB32" s="128"/>
      <c r="BCC32" s="128"/>
      <c r="BCD32" s="128"/>
      <c r="BCE32" s="128"/>
      <c r="BCF32" s="128"/>
      <c r="BCG32" s="128"/>
      <c r="BCH32" s="128"/>
      <c r="BCI32" s="128"/>
      <c r="BCJ32" s="128"/>
      <c r="BCK32" s="128"/>
      <c r="BCL32" s="128"/>
      <c r="BCM32" s="128"/>
      <c r="BCN32" s="128"/>
      <c r="BCO32" s="128"/>
      <c r="BCP32" s="128"/>
      <c r="BCQ32" s="128"/>
      <c r="BCR32" s="128"/>
      <c r="BCS32" s="128"/>
      <c r="BCT32" s="128"/>
      <c r="BCU32" s="128"/>
      <c r="BCV32" s="128"/>
      <c r="BCW32" s="128"/>
      <c r="BCX32" s="128"/>
      <c r="BCY32" s="128"/>
      <c r="BCZ32" s="128"/>
      <c r="BDA32" s="128"/>
      <c r="BDB32" s="128"/>
      <c r="BDC32" s="128"/>
      <c r="BDD32" s="128"/>
      <c r="BDE32" s="128"/>
      <c r="BDF32" s="128"/>
      <c r="BDG32" s="128"/>
      <c r="BDH32" s="128"/>
      <c r="BDI32" s="128"/>
      <c r="BDJ32" s="128"/>
      <c r="BDK32" s="128"/>
      <c r="BDL32" s="128"/>
      <c r="BDM32" s="128"/>
      <c r="BDN32" s="128"/>
      <c r="BDO32" s="128"/>
      <c r="BDP32" s="128"/>
      <c r="BDQ32" s="128"/>
      <c r="BDR32" s="128"/>
      <c r="BDS32" s="128"/>
      <c r="BDT32" s="128"/>
      <c r="BDU32" s="128"/>
      <c r="BDV32" s="128"/>
      <c r="BDW32" s="128"/>
      <c r="BDX32" s="128"/>
      <c r="BDY32" s="128"/>
      <c r="BDZ32" s="128"/>
      <c r="BEA32" s="128"/>
      <c r="BEB32" s="128"/>
      <c r="BEC32" s="128"/>
      <c r="BED32" s="128"/>
      <c r="BEE32" s="128"/>
      <c r="BEF32" s="128"/>
      <c r="BEG32" s="128"/>
      <c r="BEH32" s="128"/>
      <c r="BEI32" s="128"/>
      <c r="BEJ32" s="128"/>
      <c r="BEK32" s="128"/>
      <c r="BEL32" s="128"/>
      <c r="BEM32" s="128"/>
      <c r="BEN32" s="128"/>
      <c r="BEO32" s="128"/>
      <c r="BEP32" s="128"/>
      <c r="BEQ32" s="128"/>
      <c r="BER32" s="128"/>
      <c r="BES32" s="128"/>
      <c r="BET32" s="128"/>
      <c r="BEU32" s="128"/>
      <c r="BEV32" s="128"/>
      <c r="BEW32" s="128"/>
      <c r="BEX32" s="128"/>
      <c r="BEY32" s="128"/>
      <c r="BEZ32" s="128"/>
      <c r="BFA32" s="128"/>
      <c r="BFB32" s="128"/>
      <c r="BFC32" s="128"/>
      <c r="BFD32" s="128"/>
      <c r="BFE32" s="128"/>
      <c r="BFF32" s="128"/>
      <c r="BFG32" s="128"/>
      <c r="BFH32" s="128"/>
      <c r="BFI32" s="128"/>
      <c r="BFJ32" s="128"/>
      <c r="BFK32" s="128"/>
      <c r="BFL32" s="128"/>
      <c r="BFM32" s="128"/>
      <c r="BFN32" s="128"/>
      <c r="BFO32" s="128"/>
      <c r="BFP32" s="128"/>
      <c r="BFQ32" s="128"/>
      <c r="BFR32" s="128"/>
      <c r="BFS32" s="128"/>
      <c r="BFT32" s="128"/>
      <c r="BFU32" s="128"/>
      <c r="BFV32" s="128"/>
      <c r="BFW32" s="128"/>
      <c r="BFX32" s="128"/>
      <c r="BFY32" s="128"/>
      <c r="BFZ32" s="128"/>
      <c r="BGA32" s="128"/>
      <c r="BGB32" s="128"/>
      <c r="BGC32" s="128"/>
      <c r="BGD32" s="128"/>
      <c r="BGE32" s="128"/>
      <c r="BGF32" s="128"/>
      <c r="BGG32" s="128"/>
      <c r="BGH32" s="128"/>
      <c r="BGI32" s="128"/>
      <c r="BGJ32" s="128"/>
      <c r="BGK32" s="128"/>
      <c r="BGL32" s="128"/>
      <c r="BGM32" s="128"/>
      <c r="BGN32" s="128"/>
      <c r="BGO32" s="128"/>
      <c r="BGP32" s="128"/>
      <c r="BGQ32" s="128"/>
      <c r="BGR32" s="128"/>
      <c r="BGS32" s="128"/>
      <c r="BGT32" s="128"/>
      <c r="BGU32" s="128"/>
      <c r="BGV32" s="128"/>
      <c r="BGW32" s="128"/>
      <c r="BGX32" s="128"/>
      <c r="BGY32" s="128"/>
      <c r="BGZ32" s="128"/>
      <c r="BHA32" s="128"/>
      <c r="BHB32" s="128"/>
      <c r="BHC32" s="128"/>
      <c r="BHD32" s="128"/>
      <c r="BHE32" s="128"/>
      <c r="BHF32" s="128"/>
      <c r="BHG32" s="128"/>
      <c r="BHH32" s="128"/>
      <c r="BHI32" s="128"/>
      <c r="BHJ32" s="128"/>
      <c r="BHK32" s="128"/>
      <c r="BHL32" s="128"/>
      <c r="BHM32" s="128"/>
      <c r="BHN32" s="128"/>
      <c r="BHO32" s="128"/>
      <c r="BHP32" s="128"/>
      <c r="BHQ32" s="128"/>
      <c r="BHR32" s="128"/>
      <c r="BHS32" s="128"/>
      <c r="BHT32" s="128"/>
      <c r="BHU32" s="128"/>
      <c r="BHV32" s="128"/>
      <c r="BHW32" s="128"/>
      <c r="BHX32" s="128"/>
      <c r="BHY32" s="128"/>
      <c r="BHZ32" s="128"/>
      <c r="BIA32" s="128"/>
      <c r="BIB32" s="128"/>
      <c r="BIC32" s="128"/>
      <c r="BID32" s="128"/>
      <c r="BIE32" s="128"/>
      <c r="BIF32" s="128"/>
      <c r="BIG32" s="128"/>
      <c r="BIH32" s="128"/>
      <c r="BII32" s="128"/>
      <c r="BIJ32" s="128"/>
      <c r="BIK32" s="128"/>
      <c r="BIL32" s="128"/>
      <c r="BIM32" s="128"/>
      <c r="BIN32" s="128"/>
      <c r="BIO32" s="128"/>
      <c r="BIP32" s="128"/>
      <c r="BIQ32" s="128"/>
      <c r="BIR32" s="128"/>
      <c r="BIS32" s="128"/>
      <c r="BIT32" s="128"/>
      <c r="BIU32" s="128"/>
      <c r="BIV32" s="128"/>
      <c r="BIW32" s="128"/>
      <c r="BIX32" s="128"/>
      <c r="BIY32" s="128"/>
      <c r="BIZ32" s="128"/>
      <c r="BJA32" s="128"/>
      <c r="BJB32" s="128"/>
      <c r="BJC32" s="128"/>
      <c r="BJD32" s="128"/>
      <c r="BJE32" s="128"/>
      <c r="BJF32" s="128"/>
      <c r="BJG32" s="128"/>
      <c r="BJH32" s="128"/>
      <c r="BJI32" s="128"/>
      <c r="BJJ32" s="128"/>
      <c r="BJK32" s="128"/>
      <c r="BJL32" s="128"/>
      <c r="BJM32" s="128"/>
      <c r="BJN32" s="128"/>
      <c r="BJO32" s="128"/>
      <c r="BJP32" s="128"/>
      <c r="BJQ32" s="128"/>
      <c r="BJR32" s="128"/>
      <c r="BJS32" s="128"/>
      <c r="BJT32" s="128"/>
      <c r="BJU32" s="128"/>
      <c r="BJV32" s="128"/>
      <c r="BJW32" s="128"/>
      <c r="BJX32" s="128"/>
      <c r="BJY32" s="128"/>
      <c r="BJZ32" s="128"/>
      <c r="BKA32" s="128"/>
      <c r="BKB32" s="128"/>
      <c r="BKC32" s="128"/>
      <c r="BKD32" s="128"/>
      <c r="BKE32" s="128"/>
      <c r="BKF32" s="128"/>
      <c r="BKG32" s="128"/>
      <c r="BKH32" s="128"/>
      <c r="BKI32" s="128"/>
      <c r="BKJ32" s="128"/>
      <c r="BKK32" s="128"/>
      <c r="BKL32" s="128"/>
      <c r="BKM32" s="128"/>
      <c r="BKN32" s="128"/>
      <c r="BKO32" s="128"/>
      <c r="BKP32" s="128"/>
      <c r="BKQ32" s="128"/>
      <c r="BKR32" s="128"/>
      <c r="BKS32" s="128"/>
      <c r="BKT32" s="128"/>
      <c r="BKU32" s="128"/>
      <c r="BKV32" s="128"/>
      <c r="BKW32" s="128"/>
      <c r="BKX32" s="128"/>
      <c r="BKY32" s="128"/>
      <c r="BKZ32" s="128"/>
      <c r="BLA32" s="128"/>
      <c r="BLB32" s="128"/>
      <c r="BLC32" s="128"/>
      <c r="BLD32" s="128"/>
      <c r="BLE32" s="128"/>
      <c r="BLF32" s="128"/>
      <c r="BLG32" s="128"/>
      <c r="BLH32" s="128"/>
      <c r="BLI32" s="128"/>
      <c r="BLJ32" s="128"/>
      <c r="BLK32" s="128"/>
      <c r="BLL32" s="128"/>
      <c r="BLM32" s="128"/>
      <c r="BLN32" s="128"/>
      <c r="BLO32" s="128"/>
      <c r="BLP32" s="128"/>
      <c r="BLQ32" s="128"/>
      <c r="BLR32" s="128"/>
      <c r="BLS32" s="128"/>
      <c r="BLT32" s="128"/>
      <c r="BLU32" s="128"/>
      <c r="BLV32" s="128"/>
      <c r="BLW32" s="128"/>
      <c r="BLX32" s="128"/>
      <c r="BLY32" s="128"/>
      <c r="BLZ32" s="128"/>
      <c r="BMA32" s="128"/>
      <c r="BMB32" s="128"/>
      <c r="BMC32" s="128"/>
      <c r="BMD32" s="128"/>
      <c r="BME32" s="128"/>
      <c r="BMF32" s="128"/>
      <c r="BMG32" s="128"/>
      <c r="BMH32" s="128"/>
      <c r="BMI32" s="128"/>
      <c r="BMJ32" s="128"/>
      <c r="BMK32" s="128"/>
      <c r="BML32" s="128"/>
      <c r="BMM32" s="128"/>
      <c r="BMN32" s="128"/>
      <c r="BMO32" s="128"/>
      <c r="BMP32" s="128"/>
      <c r="BMQ32" s="128"/>
      <c r="BMR32" s="128"/>
      <c r="BMS32" s="128"/>
      <c r="BMT32" s="128"/>
      <c r="BMU32" s="128"/>
      <c r="BMV32" s="128"/>
      <c r="BMW32" s="128"/>
      <c r="BMX32" s="128"/>
      <c r="BMY32" s="128"/>
      <c r="BMZ32" s="128"/>
      <c r="BNA32" s="128"/>
      <c r="BNB32" s="128"/>
      <c r="BNC32" s="128"/>
      <c r="BND32" s="128"/>
      <c r="BNE32" s="128"/>
      <c r="BNF32" s="128"/>
      <c r="BNG32" s="128"/>
      <c r="BNH32" s="128"/>
      <c r="BNI32" s="128"/>
      <c r="BNJ32" s="128"/>
      <c r="BNK32" s="128"/>
      <c r="BNL32" s="128"/>
      <c r="BNM32" s="128"/>
      <c r="BNN32" s="128"/>
      <c r="BNO32" s="128"/>
      <c r="BNP32" s="128"/>
      <c r="BNQ32" s="128"/>
      <c r="BNR32" s="128"/>
      <c r="BNS32" s="128"/>
      <c r="BNT32" s="128"/>
      <c r="BNU32" s="128"/>
      <c r="BNV32" s="128"/>
      <c r="BNW32" s="128"/>
      <c r="BNX32" s="128"/>
      <c r="BNY32" s="128"/>
      <c r="BNZ32" s="128"/>
      <c r="BOA32" s="128"/>
      <c r="BOB32" s="128"/>
      <c r="BOC32" s="128"/>
      <c r="BOD32" s="128"/>
      <c r="BOE32" s="128"/>
      <c r="BOF32" s="128"/>
      <c r="BOG32" s="128"/>
      <c r="BOH32" s="128"/>
      <c r="BOI32" s="128"/>
      <c r="BOJ32" s="128"/>
      <c r="BOK32" s="128"/>
      <c r="BOL32" s="128"/>
      <c r="BOM32" s="128"/>
      <c r="BON32" s="128"/>
      <c r="BOO32" s="128"/>
      <c r="BOP32" s="128"/>
      <c r="BOQ32" s="128"/>
      <c r="BOR32" s="128"/>
      <c r="BOS32" s="128"/>
      <c r="BOT32" s="128"/>
      <c r="BOU32" s="128"/>
      <c r="BOV32" s="128"/>
      <c r="BOW32" s="128"/>
      <c r="BOX32" s="128"/>
      <c r="BOY32" s="128"/>
      <c r="BOZ32" s="128"/>
      <c r="BPA32" s="128"/>
      <c r="BPB32" s="128"/>
      <c r="BPC32" s="128"/>
      <c r="BPD32" s="128"/>
      <c r="BPE32" s="128"/>
      <c r="BPF32" s="128"/>
      <c r="BPG32" s="128"/>
      <c r="BPH32" s="128"/>
      <c r="BPI32" s="128"/>
      <c r="BPJ32" s="128"/>
      <c r="BPK32" s="128"/>
      <c r="BPL32" s="128"/>
      <c r="BPM32" s="128"/>
      <c r="BPN32" s="128"/>
      <c r="BPO32" s="128"/>
      <c r="BPP32" s="128"/>
      <c r="BPQ32" s="128"/>
      <c r="BPR32" s="128"/>
      <c r="BPS32" s="128"/>
      <c r="BPT32" s="128"/>
      <c r="BPU32" s="128"/>
      <c r="BPV32" s="128"/>
      <c r="BPW32" s="128"/>
      <c r="BPX32" s="128"/>
      <c r="BPY32" s="128"/>
      <c r="BPZ32" s="128"/>
      <c r="BQA32" s="128"/>
      <c r="BQB32" s="128"/>
      <c r="BQC32" s="128"/>
      <c r="BQD32" s="128"/>
      <c r="BQE32" s="128"/>
      <c r="BQF32" s="128"/>
      <c r="BQG32" s="128"/>
      <c r="BQH32" s="128"/>
      <c r="BQI32" s="128"/>
      <c r="BQJ32" s="128"/>
      <c r="BQK32" s="128"/>
      <c r="BQL32" s="128"/>
      <c r="BQM32" s="128"/>
      <c r="BQN32" s="128"/>
      <c r="BQO32" s="128"/>
      <c r="BQP32" s="128"/>
      <c r="BQQ32" s="128"/>
      <c r="BQR32" s="128"/>
      <c r="BQS32" s="128"/>
      <c r="BQT32" s="128"/>
      <c r="BQU32" s="128"/>
      <c r="BQV32" s="128"/>
      <c r="BQW32" s="128"/>
      <c r="BQX32" s="128"/>
      <c r="BQY32" s="128"/>
      <c r="BQZ32" s="128"/>
      <c r="BRA32" s="128"/>
      <c r="BRB32" s="128"/>
      <c r="BRC32" s="128"/>
      <c r="BRD32" s="128"/>
      <c r="BRE32" s="128"/>
      <c r="BRF32" s="128"/>
      <c r="BRG32" s="128"/>
      <c r="BRH32" s="128"/>
      <c r="BRI32" s="128"/>
      <c r="BRJ32" s="128"/>
      <c r="BRK32" s="128"/>
      <c r="BRL32" s="128"/>
      <c r="BRM32" s="128"/>
      <c r="BRN32" s="128"/>
      <c r="BRO32" s="128"/>
      <c r="BRP32" s="128"/>
      <c r="BRQ32" s="128"/>
      <c r="BRR32" s="128"/>
      <c r="BRS32" s="128"/>
      <c r="BRT32" s="128"/>
      <c r="BRU32" s="128"/>
      <c r="BRV32" s="128"/>
      <c r="BRW32" s="128"/>
      <c r="BRX32" s="128"/>
      <c r="BRY32" s="128"/>
      <c r="BRZ32" s="128"/>
      <c r="BSA32" s="128"/>
      <c r="BSB32" s="128"/>
      <c r="BSC32" s="128"/>
      <c r="BSD32" s="128"/>
      <c r="BSE32" s="128"/>
      <c r="BSF32" s="128"/>
      <c r="BSG32" s="128"/>
      <c r="BSH32" s="128"/>
      <c r="BSI32" s="128"/>
      <c r="BSJ32" s="128"/>
      <c r="BSK32" s="128"/>
      <c r="BSL32" s="128"/>
      <c r="BSM32" s="128"/>
      <c r="BSN32" s="128"/>
      <c r="BSO32" s="128"/>
      <c r="BSP32" s="128"/>
      <c r="BSQ32" s="128"/>
      <c r="BSR32" s="128"/>
      <c r="BSS32" s="128"/>
      <c r="BST32" s="128"/>
      <c r="BSU32" s="128"/>
      <c r="BSV32" s="128"/>
      <c r="BSW32" s="128"/>
      <c r="BSX32" s="128"/>
      <c r="BSY32" s="128"/>
      <c r="BSZ32" s="128"/>
      <c r="BTA32" s="128"/>
      <c r="BTB32" s="128"/>
      <c r="BTC32" s="128"/>
      <c r="BTD32" s="128"/>
      <c r="BTE32" s="128"/>
      <c r="BTF32" s="128"/>
      <c r="BTG32" s="128"/>
      <c r="BTH32" s="128"/>
      <c r="BTI32" s="128"/>
      <c r="BTJ32" s="128"/>
      <c r="BTK32" s="128"/>
      <c r="BTL32" s="128"/>
      <c r="BTM32" s="128"/>
      <c r="BTN32" s="128"/>
      <c r="BTO32" s="128"/>
      <c r="BTP32" s="128"/>
      <c r="BTQ32" s="128"/>
      <c r="BTR32" s="128"/>
      <c r="BTS32" s="128"/>
      <c r="BTT32" s="128"/>
      <c r="BTU32" s="128"/>
      <c r="BTV32" s="128"/>
      <c r="BTW32" s="128"/>
      <c r="BTX32" s="128"/>
      <c r="BTY32" s="128"/>
      <c r="BTZ32" s="128"/>
      <c r="BUA32" s="128"/>
      <c r="BUB32" s="128"/>
      <c r="BUC32" s="128"/>
      <c r="BUD32" s="128"/>
      <c r="BUE32" s="128"/>
      <c r="BUF32" s="128"/>
      <c r="BUG32" s="128"/>
      <c r="BUH32" s="128"/>
      <c r="BUI32" s="128"/>
      <c r="BUJ32" s="128"/>
      <c r="BUK32" s="128"/>
      <c r="BUL32" s="128"/>
      <c r="BUM32" s="128"/>
      <c r="BUN32" s="128"/>
      <c r="BUO32" s="128"/>
      <c r="BUP32" s="128"/>
      <c r="BUQ32" s="128"/>
      <c r="BUR32" s="128"/>
      <c r="BUS32" s="128"/>
      <c r="BUT32" s="128"/>
      <c r="BUU32" s="128"/>
      <c r="BUV32" s="128"/>
      <c r="BUW32" s="128"/>
      <c r="BUX32" s="128"/>
      <c r="BUY32" s="128"/>
      <c r="BUZ32" s="128"/>
      <c r="BVA32" s="128"/>
      <c r="BVB32" s="128"/>
      <c r="BVC32" s="128"/>
      <c r="BVD32" s="128"/>
      <c r="BVE32" s="128"/>
      <c r="BVF32" s="128"/>
      <c r="BVG32" s="128"/>
      <c r="BVH32" s="128"/>
      <c r="BVI32" s="128"/>
      <c r="BVJ32" s="128"/>
      <c r="BVK32" s="128"/>
      <c r="BVL32" s="128"/>
      <c r="BVM32" s="128"/>
      <c r="BVN32" s="128"/>
      <c r="BVO32" s="128"/>
      <c r="BVP32" s="128"/>
      <c r="BVQ32" s="128"/>
      <c r="BVR32" s="128"/>
      <c r="BVS32" s="128"/>
      <c r="BVT32" s="128"/>
      <c r="BVU32" s="128"/>
      <c r="BVV32" s="128"/>
      <c r="BVW32" s="128"/>
      <c r="BVX32" s="128"/>
      <c r="BVY32" s="128"/>
      <c r="BVZ32" s="128"/>
      <c r="BWA32" s="128"/>
      <c r="BWB32" s="128"/>
      <c r="BWC32" s="128"/>
      <c r="BWD32" s="128"/>
      <c r="BWE32" s="128"/>
      <c r="BWF32" s="128"/>
      <c r="BWG32" s="128"/>
      <c r="BWH32" s="128"/>
      <c r="BWI32" s="128"/>
      <c r="BWJ32" s="128"/>
      <c r="BWK32" s="128"/>
      <c r="BWL32" s="128"/>
      <c r="BWM32" s="128"/>
      <c r="BWN32" s="128"/>
      <c r="BWO32" s="128"/>
      <c r="BWP32" s="128"/>
      <c r="BWQ32" s="128"/>
      <c r="BWR32" s="128"/>
      <c r="BWS32" s="128"/>
      <c r="BWT32" s="128"/>
      <c r="BWU32" s="128"/>
      <c r="BWV32" s="128"/>
      <c r="BWW32" s="128"/>
      <c r="BWX32" s="128"/>
      <c r="BWY32" s="128"/>
      <c r="BWZ32" s="128"/>
      <c r="BXA32" s="128"/>
      <c r="BXB32" s="128"/>
      <c r="BXC32" s="128"/>
      <c r="BXD32" s="128"/>
      <c r="BXE32" s="128"/>
      <c r="BXF32" s="128"/>
      <c r="BXG32" s="128"/>
      <c r="BXH32" s="128"/>
      <c r="BXI32" s="128"/>
      <c r="BXJ32" s="128"/>
      <c r="BXK32" s="128"/>
      <c r="BXL32" s="128"/>
      <c r="BXM32" s="128"/>
      <c r="BXN32" s="128"/>
      <c r="BXO32" s="128"/>
      <c r="BXP32" s="128"/>
      <c r="BXQ32" s="128"/>
      <c r="BXR32" s="128"/>
      <c r="BXS32" s="128"/>
      <c r="BXT32" s="128"/>
      <c r="BXU32" s="128"/>
      <c r="BXV32" s="128"/>
      <c r="BXW32" s="128"/>
      <c r="BXX32" s="128"/>
      <c r="BXY32" s="128"/>
      <c r="BXZ32" s="128"/>
      <c r="BYA32" s="128"/>
      <c r="BYB32" s="128"/>
      <c r="BYC32" s="128"/>
      <c r="BYD32" s="128"/>
      <c r="BYE32" s="128"/>
      <c r="BYF32" s="128"/>
      <c r="BYG32" s="128"/>
      <c r="BYH32" s="128"/>
      <c r="BYI32" s="128"/>
      <c r="BYJ32" s="128"/>
      <c r="BYK32" s="128"/>
      <c r="BYL32" s="128"/>
      <c r="BYM32" s="128"/>
      <c r="BYN32" s="128"/>
      <c r="BYO32" s="128"/>
      <c r="BYP32" s="128"/>
      <c r="BYQ32" s="128"/>
      <c r="BYR32" s="128"/>
      <c r="BYS32" s="128"/>
      <c r="BYT32" s="128"/>
      <c r="BYU32" s="128"/>
      <c r="BYV32" s="128"/>
      <c r="BYW32" s="128"/>
      <c r="BYX32" s="128"/>
      <c r="BYY32" s="128"/>
      <c r="BYZ32" s="128"/>
      <c r="BZA32" s="128"/>
      <c r="BZB32" s="128"/>
      <c r="BZC32" s="128"/>
      <c r="BZD32" s="128"/>
      <c r="BZE32" s="128"/>
      <c r="BZF32" s="128"/>
      <c r="BZG32" s="128"/>
      <c r="BZH32" s="128"/>
      <c r="BZI32" s="128"/>
      <c r="BZJ32" s="128"/>
      <c r="BZK32" s="128"/>
      <c r="BZL32" s="128"/>
      <c r="BZM32" s="128"/>
      <c r="BZN32" s="128"/>
      <c r="BZO32" s="128"/>
      <c r="BZP32" s="128"/>
      <c r="BZQ32" s="128"/>
      <c r="BZR32" s="128"/>
      <c r="BZS32" s="128"/>
      <c r="BZT32" s="128"/>
      <c r="BZU32" s="128"/>
      <c r="BZV32" s="128"/>
      <c r="BZW32" s="128"/>
      <c r="BZX32" s="128"/>
      <c r="BZY32" s="128"/>
      <c r="BZZ32" s="128"/>
      <c r="CAA32" s="128"/>
      <c r="CAB32" s="128"/>
      <c r="CAC32" s="128"/>
      <c r="CAD32" s="128"/>
      <c r="CAE32" s="128"/>
      <c r="CAF32" s="128"/>
      <c r="CAG32" s="128"/>
      <c r="CAH32" s="128"/>
      <c r="CAI32" s="128"/>
      <c r="CAJ32" s="128"/>
      <c r="CAK32" s="128"/>
      <c r="CAL32" s="128"/>
      <c r="CAM32" s="128"/>
      <c r="CAN32" s="128"/>
      <c r="CAO32" s="128"/>
      <c r="CAP32" s="128"/>
      <c r="CAQ32" s="128"/>
      <c r="CAR32" s="128"/>
      <c r="CAS32" s="128"/>
      <c r="CAT32" s="128"/>
      <c r="CAU32" s="128"/>
      <c r="CAV32" s="128"/>
      <c r="CAW32" s="128"/>
      <c r="CAX32" s="128"/>
      <c r="CAY32" s="128"/>
      <c r="CAZ32" s="128"/>
      <c r="CBA32" s="128"/>
      <c r="CBB32" s="128"/>
      <c r="CBC32" s="128"/>
      <c r="CBD32" s="128"/>
      <c r="CBE32" s="128"/>
      <c r="CBF32" s="128"/>
      <c r="CBG32" s="128"/>
      <c r="CBH32" s="128"/>
      <c r="CBI32" s="128"/>
      <c r="CBJ32" s="128"/>
      <c r="CBK32" s="128"/>
      <c r="CBL32" s="128"/>
      <c r="CBM32" s="128"/>
      <c r="CBN32" s="128"/>
      <c r="CBO32" s="128"/>
      <c r="CBP32" s="128"/>
      <c r="CBQ32" s="128"/>
      <c r="CBR32" s="128"/>
      <c r="CBS32" s="128"/>
      <c r="CBT32" s="128"/>
      <c r="CBU32" s="128"/>
      <c r="CBV32" s="128"/>
      <c r="CBW32" s="128"/>
      <c r="CBX32" s="128"/>
      <c r="CBY32" s="128"/>
      <c r="CBZ32" s="128"/>
      <c r="CCA32" s="128"/>
      <c r="CCB32" s="128"/>
      <c r="CCC32" s="128"/>
      <c r="CCD32" s="128"/>
      <c r="CCE32" s="128"/>
      <c r="CCF32" s="128"/>
      <c r="CCG32" s="128"/>
      <c r="CCH32" s="128"/>
      <c r="CCI32" s="128"/>
      <c r="CCJ32" s="128"/>
      <c r="CCK32" s="128"/>
      <c r="CCL32" s="128"/>
      <c r="CCM32" s="128"/>
      <c r="CCN32" s="128"/>
      <c r="CCO32" s="128"/>
      <c r="CCP32" s="128"/>
      <c r="CCQ32" s="128"/>
      <c r="CCR32" s="128"/>
      <c r="CCS32" s="128"/>
      <c r="CCT32" s="128"/>
      <c r="CCU32" s="128"/>
      <c r="CCV32" s="128"/>
      <c r="CCW32" s="128"/>
      <c r="CCX32" s="128"/>
      <c r="CCY32" s="128"/>
      <c r="CCZ32" s="128"/>
      <c r="CDA32" s="128"/>
      <c r="CDB32" s="128"/>
      <c r="CDC32" s="128"/>
      <c r="CDD32" s="128"/>
      <c r="CDE32" s="128"/>
      <c r="CDF32" s="128"/>
      <c r="CDG32" s="128"/>
      <c r="CDH32" s="128"/>
      <c r="CDI32" s="128"/>
      <c r="CDJ32" s="128"/>
      <c r="CDK32" s="128"/>
      <c r="CDL32" s="128"/>
      <c r="CDM32" s="128"/>
      <c r="CDN32" s="128"/>
      <c r="CDO32" s="128"/>
      <c r="CDP32" s="128"/>
      <c r="CDQ32" s="128"/>
      <c r="CDR32" s="128"/>
      <c r="CDS32" s="128"/>
      <c r="CDT32" s="128"/>
      <c r="CDU32" s="128"/>
      <c r="CDV32" s="128"/>
      <c r="CDW32" s="128"/>
      <c r="CDX32" s="128"/>
      <c r="CDY32" s="128"/>
      <c r="CDZ32" s="128"/>
      <c r="CEA32" s="128"/>
      <c r="CEB32" s="128"/>
      <c r="CEC32" s="128"/>
      <c r="CED32" s="128"/>
      <c r="CEE32" s="128"/>
      <c r="CEF32" s="128"/>
      <c r="CEG32" s="128"/>
      <c r="CEH32" s="128"/>
      <c r="CEI32" s="128"/>
      <c r="CEJ32" s="128"/>
      <c r="CEK32" s="128"/>
      <c r="CEL32" s="128"/>
      <c r="CEM32" s="128"/>
      <c r="CEN32" s="128"/>
      <c r="CEO32" s="128"/>
      <c r="CEP32" s="128"/>
      <c r="CEQ32" s="128"/>
      <c r="CER32" s="128"/>
      <c r="CES32" s="128"/>
      <c r="CET32" s="128"/>
      <c r="CEU32" s="128"/>
      <c r="CEV32" s="128"/>
      <c r="CEW32" s="128"/>
      <c r="CEX32" s="128"/>
      <c r="CEY32" s="128"/>
      <c r="CEZ32" s="128"/>
      <c r="CFA32" s="128"/>
      <c r="CFB32" s="128"/>
      <c r="CFC32" s="128"/>
      <c r="CFD32" s="128"/>
      <c r="CFE32" s="128"/>
      <c r="CFF32" s="128"/>
      <c r="CFG32" s="128"/>
      <c r="CFH32" s="128"/>
      <c r="CFI32" s="128"/>
      <c r="CFJ32" s="128"/>
      <c r="CFK32" s="128"/>
      <c r="CFL32" s="128"/>
      <c r="CFM32" s="128"/>
      <c r="CFN32" s="128"/>
      <c r="CFO32" s="128"/>
      <c r="CFP32" s="128"/>
      <c r="CFQ32" s="128"/>
      <c r="CFR32" s="128"/>
      <c r="CFS32" s="128"/>
      <c r="CFT32" s="128"/>
      <c r="CFU32" s="128"/>
      <c r="CFV32" s="128"/>
      <c r="CFW32" s="128"/>
      <c r="CFX32" s="128"/>
      <c r="CFY32" s="128"/>
      <c r="CFZ32" s="128"/>
      <c r="CGA32" s="128"/>
      <c r="CGB32" s="128"/>
      <c r="CGC32" s="128"/>
      <c r="CGD32" s="128"/>
      <c r="CGE32" s="128"/>
      <c r="CGF32" s="128"/>
      <c r="CGG32" s="128"/>
      <c r="CGH32" s="128"/>
      <c r="CGI32" s="128"/>
      <c r="CGJ32" s="128"/>
      <c r="CGK32" s="128"/>
      <c r="CGL32" s="128"/>
      <c r="CGM32" s="128"/>
      <c r="CGN32" s="128"/>
      <c r="CGO32" s="128"/>
      <c r="CGP32" s="128"/>
      <c r="CGQ32" s="128"/>
      <c r="CGR32" s="128"/>
      <c r="CGS32" s="128"/>
      <c r="CGT32" s="128"/>
      <c r="CGU32" s="128"/>
      <c r="CGV32" s="128"/>
      <c r="CGW32" s="128"/>
      <c r="CGX32" s="128"/>
      <c r="CGY32" s="128"/>
      <c r="CGZ32" s="128"/>
      <c r="CHA32" s="128"/>
      <c r="CHB32" s="128"/>
      <c r="CHC32" s="128"/>
      <c r="CHD32" s="128"/>
      <c r="CHE32" s="128"/>
      <c r="CHF32" s="128"/>
      <c r="CHG32" s="128"/>
      <c r="CHH32" s="128"/>
      <c r="CHI32" s="128"/>
      <c r="CHJ32" s="128"/>
      <c r="CHK32" s="128"/>
      <c r="CHL32" s="128"/>
      <c r="CHM32" s="128"/>
      <c r="CHN32" s="128"/>
      <c r="CHO32" s="128"/>
      <c r="CHP32" s="128"/>
      <c r="CHQ32" s="128"/>
      <c r="CHR32" s="128"/>
      <c r="CHS32" s="128"/>
      <c r="CHT32" s="128"/>
      <c r="CHU32" s="128"/>
      <c r="CHV32" s="128"/>
      <c r="CHW32" s="128"/>
      <c r="CHX32" s="128"/>
      <c r="CHY32" s="128"/>
      <c r="CHZ32" s="128"/>
      <c r="CIA32" s="128"/>
      <c r="CIB32" s="128"/>
      <c r="CIC32" s="128"/>
      <c r="CID32" s="128"/>
      <c r="CIE32" s="128"/>
      <c r="CIF32" s="128"/>
      <c r="CIG32" s="128"/>
      <c r="CIH32" s="128"/>
      <c r="CII32" s="128"/>
      <c r="CIJ32" s="128"/>
      <c r="CIK32" s="128"/>
      <c r="CIL32" s="128"/>
      <c r="CIM32" s="128"/>
      <c r="CIN32" s="128"/>
      <c r="CIO32" s="128"/>
      <c r="CIP32" s="128"/>
      <c r="CIQ32" s="128"/>
      <c r="CIR32" s="128"/>
      <c r="CIS32" s="128"/>
      <c r="CIT32" s="128"/>
      <c r="CIU32" s="128"/>
      <c r="CIV32" s="128"/>
      <c r="CIW32" s="128"/>
      <c r="CIX32" s="128"/>
      <c r="CIY32" s="128"/>
      <c r="CIZ32" s="128"/>
      <c r="CJA32" s="128"/>
      <c r="CJB32" s="128"/>
      <c r="CJC32" s="128"/>
      <c r="CJD32" s="128"/>
      <c r="CJE32" s="128"/>
      <c r="CJF32" s="128"/>
      <c r="CJG32" s="128"/>
      <c r="CJH32" s="128"/>
      <c r="CJI32" s="128"/>
      <c r="CJJ32" s="128"/>
      <c r="CJK32" s="128"/>
      <c r="CJL32" s="128"/>
      <c r="CJM32" s="128"/>
      <c r="CJN32" s="128"/>
      <c r="CJO32" s="128"/>
      <c r="CJP32" s="128"/>
      <c r="CJQ32" s="128"/>
      <c r="CJR32" s="128"/>
      <c r="CJS32" s="128"/>
      <c r="CJT32" s="128"/>
      <c r="CJU32" s="128"/>
      <c r="CJV32" s="128"/>
      <c r="CJW32" s="128"/>
      <c r="CJX32" s="128"/>
      <c r="CJY32" s="128"/>
      <c r="CJZ32" s="128"/>
      <c r="CKA32" s="128"/>
      <c r="CKB32" s="128"/>
      <c r="CKC32" s="128"/>
      <c r="CKD32" s="128"/>
      <c r="CKE32" s="128"/>
      <c r="CKF32" s="128"/>
      <c r="CKG32" s="128"/>
      <c r="CKH32" s="128"/>
      <c r="CKI32" s="128"/>
      <c r="CKJ32" s="128"/>
      <c r="CKK32" s="128"/>
      <c r="CKL32" s="128"/>
      <c r="CKM32" s="128"/>
      <c r="CKN32" s="128"/>
      <c r="CKO32" s="128"/>
      <c r="CKP32" s="128"/>
      <c r="CKQ32" s="128"/>
      <c r="CKR32" s="128"/>
      <c r="CKS32" s="128"/>
      <c r="CKT32" s="128"/>
      <c r="CKU32" s="128"/>
      <c r="CKV32" s="128"/>
      <c r="CKW32" s="128"/>
      <c r="CKX32" s="128"/>
      <c r="CKY32" s="128"/>
      <c r="CKZ32" s="128"/>
      <c r="CLA32" s="128"/>
      <c r="CLB32" s="128"/>
      <c r="CLC32" s="128"/>
      <c r="CLD32" s="128"/>
      <c r="CLE32" s="128"/>
      <c r="CLF32" s="128"/>
      <c r="CLG32" s="128"/>
      <c r="CLH32" s="128"/>
      <c r="CLI32" s="128"/>
      <c r="CLJ32" s="128"/>
      <c r="CLK32" s="128"/>
      <c r="CLL32" s="128"/>
      <c r="CLM32" s="128"/>
      <c r="CLN32" s="128"/>
      <c r="CLO32" s="128"/>
      <c r="CLP32" s="128"/>
      <c r="CLQ32" s="128"/>
      <c r="CLR32" s="128"/>
      <c r="CLS32" s="128"/>
      <c r="CLT32" s="128"/>
      <c r="CLU32" s="128"/>
      <c r="CLV32" s="128"/>
      <c r="CLW32" s="128"/>
      <c r="CLX32" s="128"/>
      <c r="CLY32" s="128"/>
      <c r="CLZ32" s="128"/>
      <c r="CMA32" s="128"/>
      <c r="CMB32" s="128"/>
      <c r="CMC32" s="128"/>
      <c r="CMD32" s="128"/>
      <c r="CME32" s="128"/>
      <c r="CMF32" s="128"/>
      <c r="CMG32" s="128"/>
      <c r="CMH32" s="128"/>
      <c r="CMI32" s="128"/>
      <c r="CMJ32" s="128"/>
      <c r="CMK32" s="128"/>
      <c r="CML32" s="128"/>
      <c r="CMM32" s="128"/>
      <c r="CMN32" s="128"/>
      <c r="CMO32" s="128"/>
      <c r="CMP32" s="128"/>
      <c r="CMQ32" s="128"/>
      <c r="CMR32" s="128"/>
      <c r="CMS32" s="128"/>
      <c r="CMT32" s="128"/>
      <c r="CMU32" s="128"/>
      <c r="CMV32" s="128"/>
      <c r="CMW32" s="128"/>
      <c r="CMX32" s="128"/>
      <c r="CMY32" s="128"/>
      <c r="CMZ32" s="128"/>
      <c r="CNA32" s="128"/>
      <c r="CNB32" s="128"/>
      <c r="CNC32" s="128"/>
      <c r="CND32" s="128"/>
      <c r="CNE32" s="128"/>
      <c r="CNF32" s="128"/>
      <c r="CNG32" s="128"/>
      <c r="CNH32" s="128"/>
      <c r="CNI32" s="128"/>
      <c r="CNJ32" s="128"/>
      <c r="CNK32" s="128"/>
      <c r="CNL32" s="128"/>
      <c r="CNM32" s="128"/>
      <c r="CNN32" s="128"/>
      <c r="CNO32" s="128"/>
      <c r="CNP32" s="128"/>
      <c r="CNQ32" s="128"/>
      <c r="CNR32" s="128"/>
      <c r="CNS32" s="128"/>
      <c r="CNT32" s="128"/>
      <c r="CNU32" s="128"/>
      <c r="CNV32" s="128"/>
      <c r="CNW32" s="128"/>
      <c r="CNX32" s="128"/>
      <c r="CNY32" s="128"/>
      <c r="CNZ32" s="128"/>
      <c r="COA32" s="128"/>
      <c r="COB32" s="128"/>
      <c r="COC32" s="128"/>
      <c r="COD32" s="128"/>
      <c r="COE32" s="128"/>
      <c r="COF32" s="128"/>
      <c r="COG32" s="128"/>
      <c r="COH32" s="128"/>
      <c r="COI32" s="128"/>
      <c r="COJ32" s="128"/>
      <c r="COK32" s="128"/>
      <c r="COL32" s="128"/>
      <c r="COM32" s="128"/>
      <c r="CON32" s="128"/>
      <c r="COO32" s="128"/>
      <c r="COP32" s="128"/>
      <c r="COQ32" s="128"/>
      <c r="COR32" s="128"/>
      <c r="COS32" s="128"/>
      <c r="COT32" s="128"/>
      <c r="COU32" s="128"/>
      <c r="COV32" s="128"/>
      <c r="COW32" s="128"/>
      <c r="COX32" s="128"/>
      <c r="COY32" s="128"/>
      <c r="COZ32" s="128"/>
      <c r="CPA32" s="128"/>
      <c r="CPB32" s="128"/>
      <c r="CPC32" s="128"/>
      <c r="CPD32" s="128"/>
      <c r="CPE32" s="128"/>
      <c r="CPF32" s="128"/>
      <c r="CPG32" s="128"/>
      <c r="CPH32" s="128"/>
      <c r="CPI32" s="128"/>
      <c r="CPJ32" s="128"/>
      <c r="CPK32" s="128"/>
      <c r="CPL32" s="128"/>
      <c r="CPM32" s="128"/>
      <c r="CPN32" s="128"/>
      <c r="CPO32" s="128"/>
      <c r="CPP32" s="128"/>
      <c r="CPQ32" s="128"/>
      <c r="CPR32" s="128"/>
      <c r="CPS32" s="128"/>
      <c r="CPT32" s="128"/>
      <c r="CPU32" s="128"/>
      <c r="CPV32" s="128"/>
      <c r="CPW32" s="128"/>
      <c r="CPX32" s="128"/>
      <c r="CPY32" s="128"/>
      <c r="CPZ32" s="128"/>
      <c r="CQA32" s="128"/>
      <c r="CQB32" s="128"/>
      <c r="CQC32" s="128"/>
      <c r="CQD32" s="128"/>
      <c r="CQE32" s="128"/>
      <c r="CQF32" s="128"/>
      <c r="CQG32" s="128"/>
      <c r="CQH32" s="128"/>
      <c r="CQI32" s="128"/>
      <c r="CQJ32" s="128"/>
      <c r="CQK32" s="128"/>
      <c r="CQL32" s="128"/>
      <c r="CQM32" s="128"/>
      <c r="CQN32" s="128"/>
      <c r="CQO32" s="128"/>
      <c r="CQP32" s="128"/>
      <c r="CQQ32" s="128"/>
      <c r="CQR32" s="128"/>
      <c r="CQS32" s="128"/>
      <c r="CQT32" s="128"/>
      <c r="CQU32" s="128"/>
      <c r="CQV32" s="128"/>
      <c r="CQW32" s="128"/>
      <c r="CQX32" s="128"/>
      <c r="CQY32" s="128"/>
      <c r="CQZ32" s="128"/>
      <c r="CRA32" s="128"/>
      <c r="CRB32" s="128"/>
      <c r="CRC32" s="128"/>
      <c r="CRD32" s="128"/>
      <c r="CRE32" s="128"/>
      <c r="CRF32" s="128"/>
      <c r="CRG32" s="128"/>
      <c r="CRH32" s="128"/>
      <c r="CRI32" s="128"/>
      <c r="CRJ32" s="128"/>
      <c r="CRK32" s="128"/>
      <c r="CRL32" s="128"/>
      <c r="CRM32" s="128"/>
      <c r="CRN32" s="128"/>
      <c r="CRO32" s="128"/>
      <c r="CRP32" s="128"/>
      <c r="CRQ32" s="128"/>
      <c r="CRR32" s="128"/>
      <c r="CRS32" s="128"/>
      <c r="CRT32" s="128"/>
      <c r="CRU32" s="128"/>
      <c r="CRV32" s="128"/>
      <c r="CRW32" s="128"/>
      <c r="CRX32" s="128"/>
      <c r="CRY32" s="128"/>
      <c r="CRZ32" s="128"/>
      <c r="CSA32" s="128"/>
      <c r="CSB32" s="128"/>
      <c r="CSC32" s="128"/>
      <c r="CSD32" s="128"/>
      <c r="CSE32" s="128"/>
      <c r="CSF32" s="128"/>
      <c r="CSG32" s="128"/>
      <c r="CSH32" s="128"/>
      <c r="CSI32" s="128"/>
      <c r="CSJ32" s="128"/>
      <c r="CSK32" s="128"/>
      <c r="CSL32" s="128"/>
      <c r="CSM32" s="128"/>
      <c r="CSN32" s="128"/>
      <c r="CSO32" s="128"/>
      <c r="CSP32" s="128"/>
      <c r="CSQ32" s="128"/>
      <c r="CSR32" s="128"/>
      <c r="CSS32" s="128"/>
      <c r="CST32" s="128"/>
      <c r="CSU32" s="128"/>
      <c r="CSV32" s="128"/>
      <c r="CSW32" s="128"/>
      <c r="CSX32" s="128"/>
      <c r="CSY32" s="128"/>
      <c r="CSZ32" s="128"/>
      <c r="CTA32" s="128"/>
      <c r="CTB32" s="128"/>
      <c r="CTC32" s="128"/>
      <c r="CTD32" s="128"/>
      <c r="CTE32" s="128"/>
      <c r="CTF32" s="128"/>
      <c r="CTG32" s="128"/>
      <c r="CTH32" s="128"/>
      <c r="CTI32" s="128"/>
      <c r="CTJ32" s="128"/>
      <c r="CTK32" s="128"/>
      <c r="CTL32" s="128"/>
      <c r="CTM32" s="128"/>
      <c r="CTN32" s="128"/>
      <c r="CTO32" s="128"/>
      <c r="CTP32" s="128"/>
      <c r="CTQ32" s="128"/>
      <c r="CTR32" s="128"/>
      <c r="CTS32" s="128"/>
      <c r="CTT32" s="128"/>
      <c r="CTU32" s="128"/>
      <c r="CTV32" s="128"/>
      <c r="CTW32" s="128"/>
      <c r="CTX32" s="128"/>
      <c r="CTY32" s="128"/>
      <c r="CTZ32" s="128"/>
      <c r="CUA32" s="128"/>
      <c r="CUB32" s="128"/>
      <c r="CUC32" s="128"/>
      <c r="CUD32" s="128"/>
      <c r="CUE32" s="128"/>
      <c r="CUF32" s="128"/>
      <c r="CUG32" s="128"/>
      <c r="CUH32" s="128"/>
      <c r="CUI32" s="128"/>
      <c r="CUJ32" s="128"/>
      <c r="CUK32" s="128"/>
      <c r="CUL32" s="128"/>
      <c r="CUM32" s="128"/>
      <c r="CUN32" s="128"/>
      <c r="CUO32" s="128"/>
      <c r="CUP32" s="128"/>
      <c r="CUQ32" s="128"/>
      <c r="CUR32" s="128"/>
      <c r="CUS32" s="128"/>
      <c r="CUT32" s="128"/>
      <c r="CUU32" s="128"/>
      <c r="CUV32" s="128"/>
      <c r="CUW32" s="128"/>
      <c r="CUX32" s="128"/>
      <c r="CUY32" s="128"/>
      <c r="CUZ32" s="128"/>
      <c r="CVA32" s="128"/>
      <c r="CVB32" s="128"/>
      <c r="CVC32" s="128"/>
      <c r="CVD32" s="128"/>
      <c r="CVE32" s="128"/>
      <c r="CVF32" s="128"/>
      <c r="CVG32" s="128"/>
      <c r="CVH32" s="128"/>
      <c r="CVI32" s="128"/>
      <c r="CVJ32" s="128"/>
      <c r="CVK32" s="128"/>
      <c r="CVL32" s="128"/>
      <c r="CVM32" s="128"/>
      <c r="CVN32" s="128"/>
      <c r="CVO32" s="128"/>
      <c r="CVP32" s="128"/>
      <c r="CVQ32" s="128"/>
      <c r="CVR32" s="128"/>
      <c r="CVS32" s="128"/>
      <c r="CVT32" s="128"/>
      <c r="CVU32" s="128"/>
      <c r="CVV32" s="128"/>
      <c r="CVW32" s="128"/>
      <c r="CVX32" s="128"/>
      <c r="CVY32" s="128"/>
      <c r="CVZ32" s="128"/>
      <c r="CWA32" s="128"/>
      <c r="CWB32" s="128"/>
      <c r="CWC32" s="128"/>
      <c r="CWD32" s="128"/>
      <c r="CWE32" s="128"/>
      <c r="CWF32" s="128"/>
      <c r="CWG32" s="128"/>
      <c r="CWH32" s="128"/>
      <c r="CWI32" s="128"/>
      <c r="CWJ32" s="128"/>
      <c r="CWK32" s="128"/>
      <c r="CWL32" s="128"/>
      <c r="CWM32" s="128"/>
      <c r="CWN32" s="128"/>
      <c r="CWO32" s="128"/>
      <c r="CWP32" s="128"/>
      <c r="CWQ32" s="128"/>
      <c r="CWR32" s="128"/>
      <c r="CWS32" s="128"/>
      <c r="CWT32" s="128"/>
      <c r="CWU32" s="128"/>
      <c r="CWV32" s="128"/>
      <c r="CWW32" s="128"/>
      <c r="CWX32" s="128"/>
      <c r="CWY32" s="128"/>
      <c r="CWZ32" s="128"/>
      <c r="CXA32" s="128"/>
      <c r="CXB32" s="128"/>
      <c r="CXC32" s="128"/>
      <c r="CXD32" s="128"/>
      <c r="CXE32" s="128"/>
      <c r="CXF32" s="128"/>
      <c r="CXG32" s="128"/>
      <c r="CXH32" s="128"/>
      <c r="CXI32" s="128"/>
      <c r="CXJ32" s="128"/>
      <c r="CXK32" s="128"/>
      <c r="CXL32" s="128"/>
      <c r="CXM32" s="128"/>
      <c r="CXN32" s="128"/>
      <c r="CXO32" s="128"/>
      <c r="CXP32" s="128"/>
      <c r="CXQ32" s="128"/>
      <c r="CXR32" s="128"/>
      <c r="CXS32" s="128"/>
      <c r="CXT32" s="128"/>
      <c r="CXU32" s="128"/>
      <c r="CXV32" s="128"/>
      <c r="CXW32" s="128"/>
      <c r="CXX32" s="128"/>
      <c r="CXY32" s="128"/>
      <c r="CXZ32" s="128"/>
      <c r="CYA32" s="128"/>
      <c r="CYB32" s="128"/>
      <c r="CYC32" s="128"/>
      <c r="CYD32" s="128"/>
      <c r="CYE32" s="128"/>
      <c r="CYF32" s="128"/>
      <c r="CYG32" s="128"/>
      <c r="CYH32" s="128"/>
      <c r="CYI32" s="128"/>
      <c r="CYJ32" s="128"/>
      <c r="CYK32" s="128"/>
      <c r="CYL32" s="128"/>
      <c r="CYM32" s="128"/>
      <c r="CYN32" s="128"/>
      <c r="CYO32" s="128"/>
      <c r="CYP32" s="128"/>
      <c r="CYQ32" s="128"/>
      <c r="CYR32" s="128"/>
      <c r="CYS32" s="128"/>
      <c r="CYT32" s="128"/>
      <c r="CYU32" s="128"/>
      <c r="CYV32" s="128"/>
      <c r="CYW32" s="128"/>
      <c r="CYX32" s="128"/>
      <c r="CYY32" s="128"/>
      <c r="CYZ32" s="128"/>
      <c r="CZA32" s="128"/>
      <c r="CZB32" s="128"/>
      <c r="CZC32" s="128"/>
      <c r="CZD32" s="128"/>
      <c r="CZE32" s="128"/>
      <c r="CZF32" s="128"/>
      <c r="CZG32" s="128"/>
      <c r="CZH32" s="128"/>
      <c r="CZI32" s="128"/>
      <c r="CZJ32" s="128"/>
      <c r="CZK32" s="128"/>
      <c r="CZL32" s="128"/>
      <c r="CZM32" s="128"/>
      <c r="CZN32" s="128"/>
      <c r="CZO32" s="128"/>
      <c r="CZP32" s="128"/>
      <c r="CZQ32" s="128"/>
      <c r="CZR32" s="128"/>
      <c r="CZS32" s="128"/>
      <c r="CZT32" s="128"/>
      <c r="CZU32" s="128"/>
      <c r="CZV32" s="128"/>
      <c r="CZW32" s="128"/>
      <c r="CZX32" s="128"/>
      <c r="CZY32" s="128"/>
      <c r="CZZ32" s="128"/>
      <c r="DAA32" s="128"/>
      <c r="DAB32" s="128"/>
      <c r="DAC32" s="128"/>
      <c r="DAD32" s="128"/>
      <c r="DAE32" s="128"/>
      <c r="DAF32" s="128"/>
      <c r="DAG32" s="128"/>
      <c r="DAH32" s="128"/>
      <c r="DAI32" s="128"/>
      <c r="DAJ32" s="128"/>
      <c r="DAK32" s="128"/>
      <c r="DAL32" s="128"/>
      <c r="DAM32" s="128"/>
      <c r="DAN32" s="128"/>
      <c r="DAO32" s="128"/>
      <c r="DAP32" s="128"/>
      <c r="DAQ32" s="128"/>
      <c r="DAR32" s="128"/>
      <c r="DAS32" s="128"/>
      <c r="DAT32" s="128"/>
      <c r="DAU32" s="128"/>
      <c r="DAV32" s="128"/>
      <c r="DAW32" s="128"/>
      <c r="DAX32" s="128"/>
      <c r="DAY32" s="128"/>
      <c r="DAZ32" s="128"/>
      <c r="DBA32" s="128"/>
      <c r="DBB32" s="128"/>
      <c r="DBC32" s="128"/>
      <c r="DBD32" s="128"/>
      <c r="DBE32" s="128"/>
      <c r="DBF32" s="128"/>
      <c r="DBG32" s="128"/>
      <c r="DBH32" s="128"/>
      <c r="DBI32" s="128"/>
      <c r="DBJ32" s="128"/>
      <c r="DBK32" s="128"/>
      <c r="DBL32" s="128"/>
      <c r="DBM32" s="128"/>
      <c r="DBN32" s="128"/>
      <c r="DBO32" s="128"/>
      <c r="DBP32" s="128"/>
      <c r="DBQ32" s="128"/>
      <c r="DBR32" s="128"/>
      <c r="DBS32" s="128"/>
      <c r="DBT32" s="128"/>
      <c r="DBU32" s="128"/>
      <c r="DBV32" s="128"/>
      <c r="DBW32" s="128"/>
      <c r="DBX32" s="128"/>
      <c r="DBY32" s="128"/>
      <c r="DBZ32" s="128"/>
      <c r="DCA32" s="128"/>
      <c r="DCB32" s="128"/>
      <c r="DCC32" s="128"/>
      <c r="DCD32" s="128"/>
      <c r="DCE32" s="128"/>
      <c r="DCF32" s="128"/>
      <c r="DCG32" s="128"/>
      <c r="DCH32" s="128"/>
      <c r="DCI32" s="128"/>
      <c r="DCJ32" s="128"/>
      <c r="DCK32" s="128"/>
      <c r="DCL32" s="128"/>
      <c r="DCM32" s="128"/>
      <c r="DCN32" s="128"/>
      <c r="DCO32" s="128"/>
      <c r="DCP32" s="128"/>
      <c r="DCQ32" s="128"/>
      <c r="DCR32" s="128"/>
      <c r="DCS32" s="128"/>
      <c r="DCT32" s="128"/>
      <c r="DCU32" s="128"/>
      <c r="DCV32" s="128"/>
      <c r="DCW32" s="128"/>
      <c r="DCX32" s="128"/>
      <c r="DCY32" s="128"/>
      <c r="DCZ32" s="128"/>
      <c r="DDA32" s="128"/>
      <c r="DDB32" s="128"/>
      <c r="DDC32" s="128"/>
      <c r="DDD32" s="128"/>
      <c r="DDE32" s="128"/>
      <c r="DDF32" s="128"/>
      <c r="DDG32" s="128"/>
      <c r="DDH32" s="128"/>
      <c r="DDI32" s="128"/>
      <c r="DDJ32" s="128"/>
      <c r="DDK32" s="128"/>
      <c r="DDL32" s="128"/>
      <c r="DDM32" s="128"/>
      <c r="DDN32" s="128"/>
      <c r="DDO32" s="128"/>
      <c r="DDP32" s="128"/>
      <c r="DDQ32" s="128"/>
      <c r="DDR32" s="128"/>
      <c r="DDS32" s="128"/>
      <c r="DDT32" s="128"/>
      <c r="DDU32" s="128"/>
      <c r="DDV32" s="128"/>
      <c r="DDW32" s="128"/>
      <c r="DDX32" s="128"/>
      <c r="DDY32" s="128"/>
      <c r="DDZ32" s="128"/>
      <c r="DEA32" s="128"/>
      <c r="DEB32" s="128"/>
      <c r="DEC32" s="128"/>
      <c r="DED32" s="128"/>
      <c r="DEE32" s="128"/>
      <c r="DEF32" s="128"/>
      <c r="DEG32" s="128"/>
      <c r="DEH32" s="128"/>
      <c r="DEI32" s="128"/>
      <c r="DEJ32" s="128"/>
      <c r="DEK32" s="128"/>
      <c r="DEL32" s="128"/>
      <c r="DEM32" s="128"/>
      <c r="DEN32" s="128"/>
      <c r="DEO32" s="128"/>
      <c r="DEP32" s="128"/>
      <c r="DEQ32" s="128"/>
      <c r="DER32" s="128"/>
      <c r="DES32" s="128"/>
      <c r="DET32" s="128"/>
      <c r="DEU32" s="128"/>
      <c r="DEV32" s="128"/>
      <c r="DEW32" s="128"/>
      <c r="DEX32" s="128"/>
      <c r="DEY32" s="128"/>
      <c r="DEZ32" s="128"/>
      <c r="DFA32" s="128"/>
      <c r="DFB32" s="128"/>
      <c r="DFC32" s="128"/>
      <c r="DFD32" s="128"/>
      <c r="DFE32" s="128"/>
      <c r="DFF32" s="128"/>
      <c r="DFG32" s="128"/>
      <c r="DFH32" s="128"/>
      <c r="DFI32" s="128"/>
      <c r="DFJ32" s="128"/>
      <c r="DFK32" s="128"/>
      <c r="DFL32" s="128"/>
      <c r="DFM32" s="128"/>
      <c r="DFN32" s="128"/>
      <c r="DFO32" s="128"/>
      <c r="DFP32" s="128"/>
      <c r="DFQ32" s="128"/>
      <c r="DFR32" s="128"/>
      <c r="DFS32" s="128"/>
      <c r="DFT32" s="128"/>
      <c r="DFU32" s="128"/>
      <c r="DFV32" s="128"/>
      <c r="DFW32" s="128"/>
      <c r="DFX32" s="128"/>
      <c r="DFY32" s="128"/>
      <c r="DFZ32" s="128"/>
      <c r="DGA32" s="128"/>
      <c r="DGB32" s="128"/>
      <c r="DGC32" s="128"/>
      <c r="DGD32" s="128"/>
      <c r="DGE32" s="128"/>
      <c r="DGF32" s="128"/>
      <c r="DGG32" s="128"/>
      <c r="DGH32" s="128"/>
      <c r="DGI32" s="128"/>
      <c r="DGJ32" s="128"/>
      <c r="DGK32" s="128"/>
      <c r="DGL32" s="128"/>
      <c r="DGM32" s="128"/>
      <c r="DGN32" s="128"/>
      <c r="DGO32" s="128"/>
      <c r="DGP32" s="128"/>
      <c r="DGQ32" s="128"/>
      <c r="DGR32" s="128"/>
      <c r="DGS32" s="128"/>
      <c r="DGT32" s="128"/>
      <c r="DGU32" s="128"/>
      <c r="DGV32" s="128"/>
      <c r="DGW32" s="128"/>
      <c r="DGX32" s="128"/>
      <c r="DGY32" s="128"/>
      <c r="DGZ32" s="128"/>
      <c r="DHA32" s="128"/>
      <c r="DHB32" s="128"/>
      <c r="DHC32" s="128"/>
      <c r="DHD32" s="128"/>
      <c r="DHE32" s="128"/>
      <c r="DHF32" s="128"/>
      <c r="DHG32" s="128"/>
      <c r="DHH32" s="128"/>
      <c r="DHI32" s="128"/>
      <c r="DHJ32" s="128"/>
      <c r="DHK32" s="128"/>
      <c r="DHL32" s="128"/>
      <c r="DHM32" s="128"/>
      <c r="DHN32" s="128"/>
      <c r="DHO32" s="128"/>
      <c r="DHP32" s="128"/>
      <c r="DHQ32" s="128"/>
      <c r="DHR32" s="128"/>
      <c r="DHS32" s="128"/>
      <c r="DHT32" s="128"/>
      <c r="DHU32" s="128"/>
      <c r="DHV32" s="128"/>
      <c r="DHW32" s="128"/>
      <c r="DHX32" s="128"/>
      <c r="DHY32" s="128"/>
      <c r="DHZ32" s="128"/>
      <c r="DIA32" s="128"/>
      <c r="DIB32" s="128"/>
      <c r="DIC32" s="128"/>
    </row>
    <row r="33" spans="1:2941" s="154" customFormat="1" ht="12" x14ac:dyDescent="0.2">
      <c r="A33" s="155"/>
      <c r="B33" s="142"/>
      <c r="C33" s="142"/>
      <c r="D33" s="142"/>
      <c r="E33" s="142"/>
      <c r="F33" s="142"/>
      <c r="G33" s="142"/>
      <c r="H33" s="236"/>
      <c r="I33" s="151"/>
      <c r="J33" s="151"/>
      <c r="K33" s="151"/>
      <c r="L33" s="151"/>
      <c r="M33" s="151"/>
      <c r="N33" s="151"/>
      <c r="O33" s="199"/>
      <c r="P33" s="206"/>
      <c r="Q33" s="206"/>
      <c r="R33" s="206"/>
      <c r="S33" s="206"/>
      <c r="T33" s="206"/>
      <c r="U33" s="206"/>
      <c r="V33" s="206"/>
      <c r="W33" s="206"/>
      <c r="X33" s="206"/>
      <c r="Y33" s="206"/>
      <c r="Z33" s="206"/>
      <c r="AA33" s="206"/>
      <c r="AB33" s="206"/>
      <c r="AC33" s="206"/>
      <c r="AD33" s="206"/>
      <c r="AE33" s="206"/>
      <c r="AF33" s="206"/>
      <c r="AG33" s="206"/>
      <c r="AH33" s="206"/>
      <c r="AI33" s="206"/>
      <c r="AJ33" s="187"/>
      <c r="AK33" s="206"/>
      <c r="AL33" s="206"/>
      <c r="AM33" s="206"/>
      <c r="AN33" s="206"/>
      <c r="AO33" s="206"/>
      <c r="AP33" s="206"/>
      <c r="AQ33" s="206"/>
      <c r="AR33" s="206"/>
      <c r="AS33" s="206"/>
      <c r="AT33" s="206"/>
      <c r="AU33" s="206"/>
      <c r="AV33" s="206"/>
      <c r="AW33" s="206"/>
      <c r="AX33" s="206"/>
      <c r="AY33" s="206"/>
      <c r="AZ33" s="206"/>
      <c r="BA33" s="206"/>
      <c r="BB33" s="206"/>
      <c r="BC33" s="206"/>
      <c r="BD33" s="206"/>
      <c r="BE33" s="206"/>
      <c r="BF33" s="206"/>
      <c r="BG33" s="206"/>
      <c r="BH33" s="174"/>
      <c r="BI33" s="174"/>
      <c r="BJ33" s="174"/>
      <c r="BK33" s="174"/>
      <c r="BL33" s="174"/>
      <c r="BM33" s="174"/>
      <c r="BN33" s="174"/>
      <c r="BO33" s="174"/>
      <c r="BP33" s="174"/>
      <c r="BQ33" s="206"/>
      <c r="BR33" s="206"/>
      <c r="BS33" s="206"/>
      <c r="BT33" s="206"/>
      <c r="BU33" s="206"/>
      <c r="BV33" s="206"/>
      <c r="BW33" s="206"/>
      <c r="BX33" s="206"/>
      <c r="BY33" s="206"/>
      <c r="BZ33" s="206"/>
      <c r="CA33" s="206"/>
      <c r="CB33" s="206"/>
      <c r="CC33" s="206"/>
      <c r="CD33" s="206"/>
      <c r="CE33" s="206"/>
      <c r="CF33" s="206"/>
      <c r="CG33" s="206"/>
      <c r="CH33" s="206"/>
      <c r="CI33" s="206"/>
      <c r="CJ33" s="206"/>
      <c r="CK33" s="206"/>
      <c r="CL33" s="206"/>
      <c r="CM33" s="206"/>
      <c r="CN33" s="206"/>
      <c r="CO33" s="206"/>
      <c r="CP33" s="206"/>
      <c r="CQ33" s="206"/>
      <c r="CR33" s="206"/>
      <c r="CS33" s="206"/>
      <c r="CT33" s="206"/>
      <c r="CU33" s="206"/>
      <c r="CV33" s="206"/>
      <c r="CW33" s="206"/>
      <c r="CX33" s="206"/>
      <c r="CY33" s="206"/>
      <c r="CZ33" s="206"/>
      <c r="DA33" s="206"/>
      <c r="DB33" s="206"/>
      <c r="DC33" s="206"/>
      <c r="DD33" s="206"/>
      <c r="DE33" s="206"/>
      <c r="DF33" s="206"/>
      <c r="DG33" s="241"/>
      <c r="DH33" s="241"/>
      <c r="DI33" s="242"/>
      <c r="DJ33" s="242"/>
      <c r="DK33" s="128"/>
      <c r="DL33" s="128"/>
      <c r="DM33" s="128"/>
      <c r="DN33" s="128"/>
      <c r="DO33" s="128"/>
      <c r="DP33" s="128"/>
      <c r="DQ33" s="128"/>
      <c r="DR33" s="128"/>
      <c r="DS33" s="128"/>
      <c r="DT33" s="128"/>
      <c r="DU33" s="128"/>
      <c r="DV33" s="128"/>
      <c r="DW33" s="128"/>
      <c r="DX33" s="128"/>
      <c r="DY33" s="128"/>
      <c r="DZ33" s="128"/>
      <c r="EA33" s="128"/>
      <c r="EB33" s="128"/>
      <c r="EC33" s="128"/>
      <c r="ED33" s="128"/>
      <c r="EE33" s="128"/>
      <c r="EF33" s="128"/>
      <c r="EG33" s="128"/>
      <c r="EH33" s="128"/>
      <c r="EI33" s="128"/>
      <c r="EJ33" s="128"/>
      <c r="EK33" s="128"/>
      <c r="EL33" s="128"/>
      <c r="EM33" s="128"/>
      <c r="EN33" s="128"/>
      <c r="EO33" s="128"/>
      <c r="EP33" s="128"/>
      <c r="EQ33" s="128"/>
      <c r="ER33" s="128"/>
      <c r="ES33" s="128"/>
      <c r="ET33" s="128"/>
      <c r="EU33" s="128"/>
      <c r="EV33" s="128"/>
      <c r="EW33" s="128"/>
      <c r="EX33" s="128"/>
      <c r="EY33" s="128"/>
      <c r="EZ33" s="128"/>
      <c r="FA33" s="128"/>
      <c r="FB33" s="128"/>
      <c r="FC33" s="128"/>
      <c r="FD33" s="128"/>
      <c r="FE33" s="128"/>
      <c r="FF33" s="128"/>
      <c r="FG33" s="128"/>
      <c r="FH33" s="128"/>
      <c r="FI33" s="128"/>
      <c r="FJ33" s="128"/>
      <c r="FK33" s="128"/>
      <c r="FL33" s="128"/>
      <c r="FM33" s="128"/>
      <c r="FN33" s="128"/>
      <c r="FO33" s="128"/>
      <c r="FP33" s="128"/>
      <c r="FQ33" s="128"/>
      <c r="FR33" s="128"/>
      <c r="FS33" s="128"/>
      <c r="FT33" s="128"/>
      <c r="FU33" s="128"/>
      <c r="FV33" s="128"/>
      <c r="FW33" s="128"/>
      <c r="FX33" s="128"/>
      <c r="FY33" s="128"/>
      <c r="FZ33" s="128"/>
      <c r="GA33" s="128"/>
      <c r="GB33" s="128"/>
      <c r="GC33" s="128"/>
      <c r="GD33" s="128"/>
      <c r="GE33" s="128"/>
      <c r="GF33" s="128"/>
      <c r="GG33" s="128"/>
      <c r="GH33" s="128"/>
      <c r="GI33" s="128"/>
      <c r="GJ33" s="128"/>
      <c r="GK33" s="128"/>
      <c r="GL33" s="128"/>
      <c r="GM33" s="128"/>
      <c r="GN33" s="128"/>
      <c r="GO33" s="128"/>
      <c r="GP33" s="128"/>
      <c r="GQ33" s="128"/>
      <c r="GR33" s="128"/>
      <c r="GS33" s="128"/>
      <c r="GT33" s="128"/>
      <c r="GU33" s="128"/>
      <c r="GV33" s="128"/>
      <c r="GW33" s="128"/>
      <c r="GX33" s="128"/>
      <c r="GY33" s="128"/>
      <c r="GZ33" s="128"/>
      <c r="HA33" s="128"/>
      <c r="HB33" s="128"/>
      <c r="HC33" s="128"/>
      <c r="HD33" s="128"/>
      <c r="HE33" s="128"/>
      <c r="HF33" s="128"/>
      <c r="HG33" s="128"/>
      <c r="HH33" s="128"/>
      <c r="HI33" s="128"/>
      <c r="HJ33" s="128"/>
      <c r="HK33" s="128"/>
      <c r="HL33" s="128"/>
      <c r="HM33" s="128"/>
      <c r="HN33" s="128"/>
      <c r="HO33" s="128"/>
      <c r="HP33" s="128"/>
      <c r="HQ33" s="128"/>
      <c r="HR33" s="128"/>
      <c r="HS33" s="128"/>
      <c r="HT33" s="128"/>
      <c r="HU33" s="128"/>
      <c r="HV33" s="128"/>
      <c r="HW33" s="128"/>
      <c r="HX33" s="128"/>
      <c r="HY33" s="128"/>
      <c r="HZ33" s="128"/>
      <c r="IA33" s="128"/>
      <c r="IB33" s="128"/>
      <c r="IC33" s="128"/>
      <c r="ID33" s="128"/>
      <c r="IE33" s="128"/>
      <c r="IF33" s="128"/>
      <c r="IG33" s="128"/>
      <c r="IH33" s="128"/>
      <c r="II33" s="128"/>
      <c r="IJ33" s="128"/>
      <c r="IK33" s="128"/>
      <c r="IL33" s="128"/>
      <c r="IM33" s="128"/>
      <c r="IN33" s="128"/>
      <c r="IO33" s="128"/>
      <c r="IP33" s="128"/>
      <c r="IQ33" s="128"/>
      <c r="IR33" s="128"/>
      <c r="IS33" s="128"/>
      <c r="IT33" s="128"/>
      <c r="IU33" s="128"/>
      <c r="IV33" s="128"/>
      <c r="IW33" s="128"/>
      <c r="IX33" s="128"/>
      <c r="IY33" s="128"/>
      <c r="IZ33" s="128"/>
      <c r="JA33" s="128"/>
      <c r="JB33" s="128"/>
      <c r="JC33" s="128"/>
      <c r="JD33" s="128"/>
      <c r="JE33" s="128"/>
      <c r="JF33" s="128"/>
      <c r="JG33" s="128"/>
      <c r="JH33" s="128"/>
      <c r="JI33" s="128"/>
      <c r="JJ33" s="128"/>
      <c r="JK33" s="128"/>
      <c r="JL33" s="128"/>
      <c r="JM33" s="128"/>
      <c r="JN33" s="128"/>
      <c r="JO33" s="128"/>
      <c r="JP33" s="128"/>
      <c r="JQ33" s="128"/>
      <c r="JR33" s="128"/>
      <c r="JS33" s="128"/>
      <c r="JT33" s="128"/>
      <c r="JU33" s="128"/>
      <c r="JV33" s="128"/>
      <c r="JW33" s="128"/>
      <c r="JX33" s="128"/>
      <c r="JY33" s="128"/>
      <c r="JZ33" s="128"/>
      <c r="KA33" s="128"/>
      <c r="KB33" s="128"/>
      <c r="KC33" s="128"/>
      <c r="KD33" s="128"/>
      <c r="KE33" s="128"/>
      <c r="KF33" s="128"/>
      <c r="KG33" s="128"/>
      <c r="KH33" s="128"/>
      <c r="KI33" s="128"/>
      <c r="KJ33" s="128"/>
      <c r="KK33" s="128"/>
      <c r="KL33" s="128"/>
      <c r="KM33" s="128"/>
      <c r="KN33" s="128"/>
      <c r="KO33" s="128"/>
      <c r="KP33" s="128"/>
      <c r="KQ33" s="128"/>
      <c r="KR33" s="128"/>
      <c r="KS33" s="128"/>
      <c r="KT33" s="128"/>
      <c r="KU33" s="128"/>
      <c r="KV33" s="128"/>
      <c r="KW33" s="128"/>
      <c r="KX33" s="128"/>
      <c r="KY33" s="128"/>
      <c r="KZ33" s="128"/>
      <c r="LA33" s="128"/>
      <c r="LB33" s="128"/>
      <c r="LC33" s="128"/>
      <c r="LD33" s="128"/>
      <c r="LE33" s="128"/>
      <c r="LF33" s="128"/>
      <c r="LG33" s="128"/>
      <c r="LH33" s="128"/>
      <c r="LI33" s="128"/>
      <c r="LJ33" s="128"/>
      <c r="LK33" s="128"/>
      <c r="LL33" s="128"/>
      <c r="LM33" s="128"/>
      <c r="LN33" s="128"/>
      <c r="LO33" s="128"/>
      <c r="LP33" s="128"/>
      <c r="LQ33" s="128"/>
      <c r="LR33" s="128"/>
      <c r="LS33" s="128"/>
      <c r="LT33" s="128"/>
      <c r="LU33" s="128"/>
      <c r="LV33" s="128"/>
      <c r="LW33" s="128"/>
      <c r="LX33" s="128"/>
      <c r="LY33" s="128"/>
      <c r="LZ33" s="128"/>
      <c r="MA33" s="128"/>
      <c r="MB33" s="128"/>
      <c r="MC33" s="128"/>
      <c r="MD33" s="128"/>
      <c r="ME33" s="128"/>
      <c r="MF33" s="128"/>
      <c r="MG33" s="128"/>
      <c r="MH33" s="128"/>
      <c r="MI33" s="128"/>
      <c r="MJ33" s="128"/>
      <c r="MK33" s="128"/>
      <c r="ML33" s="128"/>
      <c r="MM33" s="128"/>
      <c r="MN33" s="128"/>
      <c r="MO33" s="128"/>
      <c r="MP33" s="128"/>
      <c r="MQ33" s="128"/>
      <c r="MR33" s="128"/>
      <c r="MS33" s="128"/>
      <c r="MT33" s="128"/>
      <c r="MU33" s="128"/>
      <c r="MV33" s="128"/>
      <c r="MW33" s="128"/>
      <c r="MX33" s="128"/>
      <c r="MY33" s="128"/>
      <c r="MZ33" s="128"/>
      <c r="NA33" s="128"/>
      <c r="NB33" s="128"/>
      <c r="NC33" s="128"/>
      <c r="ND33" s="128"/>
      <c r="NE33" s="128"/>
      <c r="NF33" s="128"/>
      <c r="NG33" s="128"/>
      <c r="NH33" s="128"/>
      <c r="NI33" s="128"/>
      <c r="NJ33" s="128"/>
      <c r="NK33" s="128"/>
      <c r="NL33" s="128"/>
      <c r="NM33" s="128"/>
      <c r="NN33" s="128"/>
      <c r="NO33" s="128"/>
      <c r="NP33" s="128"/>
      <c r="NQ33" s="128"/>
      <c r="NR33" s="128"/>
      <c r="NS33" s="128"/>
      <c r="NT33" s="128"/>
      <c r="NU33" s="128"/>
      <c r="NV33" s="128"/>
      <c r="NW33" s="128"/>
      <c r="NX33" s="128"/>
      <c r="NY33" s="128"/>
      <c r="NZ33" s="128"/>
      <c r="OA33" s="128"/>
      <c r="OB33" s="128"/>
      <c r="OC33" s="128"/>
      <c r="OD33" s="128"/>
      <c r="OE33" s="128"/>
      <c r="OF33" s="128"/>
      <c r="OG33" s="128"/>
      <c r="OH33" s="128"/>
      <c r="OI33" s="128"/>
      <c r="OJ33" s="128"/>
      <c r="OK33" s="128"/>
      <c r="OL33" s="128"/>
      <c r="OM33" s="128"/>
      <c r="ON33" s="128"/>
      <c r="OO33" s="128"/>
      <c r="OP33" s="128"/>
      <c r="OQ33" s="128"/>
      <c r="OR33" s="128"/>
      <c r="OS33" s="128"/>
      <c r="OT33" s="128"/>
      <c r="OU33" s="128"/>
      <c r="OV33" s="128"/>
      <c r="OW33" s="128"/>
      <c r="OX33" s="128"/>
      <c r="OY33" s="128"/>
      <c r="OZ33" s="128"/>
      <c r="PA33" s="128"/>
      <c r="PB33" s="128"/>
      <c r="PC33" s="128"/>
      <c r="PD33" s="128"/>
      <c r="PE33" s="128"/>
      <c r="PF33" s="128"/>
      <c r="PG33" s="128"/>
      <c r="PH33" s="128"/>
      <c r="PI33" s="128"/>
      <c r="PJ33" s="128"/>
      <c r="PK33" s="128"/>
      <c r="PL33" s="128"/>
      <c r="PM33" s="128"/>
      <c r="PN33" s="128"/>
      <c r="PO33" s="128"/>
      <c r="PP33" s="128"/>
      <c r="PQ33" s="128"/>
      <c r="PR33" s="128"/>
      <c r="PS33" s="128"/>
      <c r="PT33" s="128"/>
      <c r="PU33" s="128"/>
      <c r="PV33" s="128"/>
      <c r="PW33" s="128"/>
      <c r="PX33" s="128"/>
      <c r="PY33" s="128"/>
      <c r="PZ33" s="128"/>
      <c r="QA33" s="128"/>
      <c r="QB33" s="128"/>
      <c r="QC33" s="128"/>
      <c r="QD33" s="128"/>
      <c r="QE33" s="128"/>
      <c r="QF33" s="128"/>
      <c r="QG33" s="128"/>
      <c r="QH33" s="128"/>
      <c r="QI33" s="128"/>
      <c r="QJ33" s="128"/>
      <c r="QK33" s="128"/>
      <c r="QL33" s="128"/>
      <c r="QM33" s="128"/>
      <c r="QN33" s="128"/>
      <c r="QO33" s="128"/>
      <c r="QP33" s="128"/>
      <c r="QQ33" s="128"/>
      <c r="QR33" s="128"/>
      <c r="QS33" s="128"/>
      <c r="QT33" s="128"/>
      <c r="QU33" s="128"/>
      <c r="QV33" s="128"/>
      <c r="QW33" s="128"/>
      <c r="QX33" s="128"/>
      <c r="QY33" s="128"/>
      <c r="QZ33" s="128"/>
      <c r="RA33" s="128"/>
      <c r="RB33" s="128"/>
      <c r="RC33" s="128"/>
      <c r="RD33" s="128"/>
      <c r="RE33" s="128"/>
      <c r="RF33" s="128"/>
      <c r="RG33" s="128"/>
      <c r="RH33" s="128"/>
      <c r="RI33" s="128"/>
      <c r="RJ33" s="128"/>
      <c r="RK33" s="128"/>
      <c r="RL33" s="128"/>
      <c r="RM33" s="128"/>
      <c r="RN33" s="128"/>
      <c r="RO33" s="128"/>
      <c r="RP33" s="128"/>
      <c r="RQ33" s="128"/>
      <c r="RR33" s="128"/>
      <c r="RS33" s="128"/>
      <c r="RT33" s="128"/>
      <c r="RU33" s="128"/>
      <c r="RV33" s="128"/>
      <c r="RW33" s="128"/>
      <c r="RX33" s="128"/>
      <c r="RY33" s="128"/>
      <c r="RZ33" s="128"/>
      <c r="SA33" s="128"/>
      <c r="SB33" s="128"/>
      <c r="SC33" s="128"/>
      <c r="SD33" s="128"/>
      <c r="SE33" s="128"/>
      <c r="SF33" s="128"/>
      <c r="SG33" s="128"/>
      <c r="SH33" s="128"/>
      <c r="SI33" s="128"/>
      <c r="SJ33" s="128"/>
      <c r="SK33" s="128"/>
      <c r="SL33" s="128"/>
      <c r="SM33" s="128"/>
      <c r="SN33" s="128"/>
      <c r="SO33" s="128"/>
      <c r="SP33" s="128"/>
      <c r="SQ33" s="128"/>
      <c r="SR33" s="128"/>
      <c r="SS33" s="128"/>
      <c r="ST33" s="128"/>
      <c r="SU33" s="128"/>
      <c r="SV33" s="128"/>
      <c r="SW33" s="128"/>
      <c r="SX33" s="128"/>
      <c r="SY33" s="128"/>
      <c r="SZ33" s="128"/>
      <c r="TA33" s="128"/>
      <c r="TB33" s="128"/>
      <c r="TC33" s="128"/>
      <c r="TD33" s="128"/>
      <c r="TE33" s="128"/>
      <c r="TF33" s="128"/>
      <c r="TG33" s="128"/>
      <c r="TH33" s="128"/>
      <c r="TI33" s="128"/>
      <c r="TJ33" s="128"/>
      <c r="TK33" s="128"/>
      <c r="TL33" s="128"/>
      <c r="TM33" s="128"/>
      <c r="TN33" s="128"/>
      <c r="TO33" s="128"/>
      <c r="TP33" s="128"/>
      <c r="TQ33" s="128"/>
      <c r="TR33" s="128"/>
      <c r="TS33" s="128"/>
      <c r="TT33" s="128"/>
      <c r="TU33" s="128"/>
      <c r="TV33" s="128"/>
      <c r="TW33" s="128"/>
      <c r="TX33" s="128"/>
      <c r="TY33" s="128"/>
      <c r="TZ33" s="128"/>
      <c r="UA33" s="128"/>
      <c r="UB33" s="128"/>
      <c r="UC33" s="128"/>
      <c r="UD33" s="128"/>
      <c r="UE33" s="128"/>
      <c r="UF33" s="128"/>
      <c r="UG33" s="128"/>
      <c r="UH33" s="128"/>
      <c r="UI33" s="128"/>
      <c r="UJ33" s="128"/>
      <c r="UK33" s="128"/>
      <c r="UL33" s="128"/>
      <c r="UM33" s="128"/>
      <c r="UN33" s="128"/>
      <c r="UO33" s="128"/>
      <c r="UP33" s="128"/>
      <c r="UQ33" s="128"/>
      <c r="UR33" s="128"/>
      <c r="US33" s="128"/>
      <c r="UT33" s="128"/>
      <c r="UU33" s="128"/>
      <c r="UV33" s="128"/>
      <c r="UW33" s="128"/>
      <c r="UX33" s="128"/>
      <c r="UY33" s="128"/>
      <c r="UZ33" s="128"/>
      <c r="VA33" s="128"/>
      <c r="VB33" s="128"/>
      <c r="VC33" s="128"/>
      <c r="VD33" s="128"/>
      <c r="VE33" s="128"/>
      <c r="VF33" s="128"/>
      <c r="VG33" s="128"/>
      <c r="VH33" s="128"/>
      <c r="VI33" s="128"/>
      <c r="VJ33" s="128"/>
      <c r="VK33" s="128"/>
      <c r="VL33" s="128"/>
      <c r="VM33" s="128"/>
      <c r="VN33" s="128"/>
      <c r="VO33" s="128"/>
      <c r="VP33" s="128"/>
      <c r="VQ33" s="128"/>
      <c r="VR33" s="128"/>
      <c r="VS33" s="128"/>
      <c r="VT33" s="128"/>
      <c r="VU33" s="128"/>
      <c r="VV33" s="128"/>
      <c r="VW33" s="128"/>
      <c r="VX33" s="128"/>
      <c r="VY33" s="128"/>
      <c r="VZ33" s="128"/>
      <c r="WA33" s="128"/>
      <c r="WB33" s="128"/>
      <c r="WC33" s="128"/>
      <c r="WD33" s="128"/>
      <c r="WE33" s="128"/>
      <c r="WF33" s="128"/>
      <c r="WG33" s="128"/>
      <c r="WH33" s="128"/>
      <c r="WI33" s="128"/>
      <c r="WJ33" s="128"/>
      <c r="WK33" s="128"/>
      <c r="WL33" s="128"/>
      <c r="WM33" s="128"/>
      <c r="WN33" s="128"/>
      <c r="WO33" s="128"/>
      <c r="WP33" s="128"/>
      <c r="WQ33" s="128"/>
      <c r="WR33" s="128"/>
      <c r="WS33" s="128"/>
      <c r="WT33" s="128"/>
      <c r="WU33" s="128"/>
      <c r="WV33" s="128"/>
      <c r="WW33" s="128"/>
      <c r="WX33" s="128"/>
      <c r="WY33" s="128"/>
      <c r="WZ33" s="128"/>
      <c r="XA33" s="128"/>
      <c r="XB33" s="128"/>
      <c r="XC33" s="128"/>
      <c r="XD33" s="128"/>
      <c r="XE33" s="128"/>
      <c r="XF33" s="128"/>
      <c r="XG33" s="128"/>
      <c r="XH33" s="128"/>
      <c r="XI33" s="128"/>
      <c r="XJ33" s="128"/>
      <c r="XK33" s="128"/>
      <c r="XL33" s="128"/>
      <c r="XM33" s="128"/>
      <c r="XN33" s="128"/>
      <c r="XO33" s="128"/>
      <c r="XP33" s="128"/>
      <c r="XQ33" s="128"/>
      <c r="XR33" s="128"/>
      <c r="XS33" s="128"/>
      <c r="XT33" s="128"/>
      <c r="XU33" s="128"/>
      <c r="XV33" s="128"/>
      <c r="XW33" s="128"/>
      <c r="XX33" s="128"/>
      <c r="XY33" s="128"/>
      <c r="XZ33" s="128"/>
      <c r="YA33" s="128"/>
      <c r="YB33" s="128"/>
      <c r="YC33" s="128"/>
      <c r="YD33" s="128"/>
      <c r="YE33" s="128"/>
      <c r="YF33" s="128"/>
      <c r="YG33" s="128"/>
      <c r="YH33" s="128"/>
      <c r="YI33" s="128"/>
      <c r="YJ33" s="128"/>
      <c r="YK33" s="128"/>
      <c r="YL33" s="128"/>
      <c r="YM33" s="128"/>
      <c r="YN33" s="128"/>
      <c r="YO33" s="128"/>
      <c r="YP33" s="128"/>
      <c r="YQ33" s="128"/>
      <c r="YR33" s="128"/>
      <c r="YS33" s="128"/>
      <c r="YT33" s="128"/>
      <c r="YU33" s="128"/>
      <c r="YV33" s="128"/>
      <c r="YW33" s="128"/>
      <c r="YX33" s="128"/>
      <c r="YY33" s="128"/>
      <c r="YZ33" s="128"/>
      <c r="ZA33" s="128"/>
      <c r="ZB33" s="128"/>
      <c r="ZC33" s="128"/>
      <c r="ZD33" s="128"/>
      <c r="ZE33" s="128"/>
      <c r="ZF33" s="128"/>
      <c r="ZG33" s="128"/>
      <c r="ZH33" s="128"/>
      <c r="ZI33" s="128"/>
      <c r="ZJ33" s="128"/>
      <c r="ZK33" s="128"/>
      <c r="ZL33" s="128"/>
      <c r="ZM33" s="128"/>
      <c r="ZN33" s="128"/>
      <c r="ZO33" s="128"/>
      <c r="ZP33" s="128"/>
      <c r="ZQ33" s="128"/>
      <c r="ZR33" s="128"/>
      <c r="ZS33" s="128"/>
      <c r="ZT33" s="128"/>
      <c r="ZU33" s="128"/>
      <c r="ZV33" s="128"/>
      <c r="ZW33" s="128"/>
      <c r="ZX33" s="128"/>
      <c r="ZY33" s="128"/>
      <c r="ZZ33" s="128"/>
      <c r="AAA33" s="128"/>
      <c r="AAB33" s="128"/>
      <c r="AAC33" s="128"/>
      <c r="AAD33" s="128"/>
      <c r="AAE33" s="128"/>
      <c r="AAF33" s="128"/>
      <c r="AAG33" s="128"/>
      <c r="AAH33" s="128"/>
      <c r="AAI33" s="128"/>
      <c r="AAJ33" s="128"/>
      <c r="AAK33" s="128"/>
      <c r="AAL33" s="128"/>
      <c r="AAM33" s="128"/>
      <c r="AAN33" s="128"/>
      <c r="AAO33" s="128"/>
      <c r="AAP33" s="128"/>
      <c r="AAQ33" s="128"/>
      <c r="AAR33" s="128"/>
      <c r="AAS33" s="128"/>
      <c r="AAT33" s="128"/>
      <c r="AAU33" s="128"/>
      <c r="AAV33" s="128"/>
      <c r="AAW33" s="128"/>
      <c r="AAX33" s="128"/>
      <c r="AAY33" s="128"/>
      <c r="AAZ33" s="128"/>
      <c r="ABA33" s="128"/>
      <c r="ABB33" s="128"/>
      <c r="ABC33" s="128"/>
      <c r="ABD33" s="128"/>
      <c r="ABE33" s="128"/>
      <c r="ABF33" s="128"/>
      <c r="ABG33" s="128"/>
      <c r="ABH33" s="128"/>
      <c r="ABI33" s="128"/>
      <c r="ABJ33" s="128"/>
      <c r="ABK33" s="128"/>
      <c r="ABL33" s="128"/>
      <c r="ABM33" s="128"/>
      <c r="ABN33" s="128"/>
      <c r="ABO33" s="128"/>
      <c r="ABP33" s="128"/>
      <c r="ABQ33" s="128"/>
      <c r="ABR33" s="128"/>
      <c r="ABS33" s="128"/>
      <c r="ABT33" s="128"/>
      <c r="ABU33" s="128"/>
      <c r="ABV33" s="128"/>
      <c r="ABW33" s="128"/>
      <c r="ABX33" s="128"/>
      <c r="ABY33" s="128"/>
      <c r="ABZ33" s="128"/>
      <c r="ACA33" s="128"/>
      <c r="ACB33" s="128"/>
      <c r="ACC33" s="128"/>
      <c r="ACD33" s="128"/>
      <c r="ACE33" s="128"/>
      <c r="ACF33" s="128"/>
      <c r="ACG33" s="128"/>
      <c r="ACH33" s="128"/>
      <c r="ACI33" s="128"/>
      <c r="ACJ33" s="128"/>
      <c r="ACK33" s="128"/>
      <c r="ACL33" s="128"/>
      <c r="ACM33" s="128"/>
      <c r="ACN33" s="128"/>
      <c r="ACO33" s="128"/>
      <c r="ACP33" s="128"/>
      <c r="ACQ33" s="128"/>
      <c r="ACR33" s="128"/>
      <c r="ACS33" s="128"/>
      <c r="ACT33" s="128"/>
      <c r="ACU33" s="128"/>
      <c r="ACV33" s="128"/>
      <c r="ACW33" s="128"/>
      <c r="ACX33" s="128"/>
      <c r="ACY33" s="128"/>
      <c r="ACZ33" s="128"/>
      <c r="ADA33" s="128"/>
      <c r="ADB33" s="128"/>
      <c r="ADC33" s="128"/>
      <c r="ADD33" s="128"/>
      <c r="ADE33" s="128"/>
      <c r="ADF33" s="128"/>
      <c r="ADG33" s="128"/>
      <c r="ADH33" s="128"/>
      <c r="ADI33" s="128"/>
      <c r="ADJ33" s="128"/>
      <c r="ADK33" s="128"/>
      <c r="ADL33" s="128"/>
      <c r="ADM33" s="128"/>
      <c r="ADN33" s="128"/>
      <c r="ADO33" s="128"/>
      <c r="ADP33" s="128"/>
      <c r="ADQ33" s="128"/>
      <c r="ADR33" s="128"/>
      <c r="ADS33" s="128"/>
      <c r="ADT33" s="128"/>
      <c r="ADU33" s="128"/>
      <c r="ADV33" s="128"/>
      <c r="ADW33" s="128"/>
      <c r="ADX33" s="128"/>
      <c r="ADY33" s="128"/>
      <c r="ADZ33" s="128"/>
      <c r="AEA33" s="128"/>
      <c r="AEB33" s="128"/>
      <c r="AEC33" s="128"/>
      <c r="AED33" s="128"/>
      <c r="AEE33" s="128"/>
      <c r="AEF33" s="128"/>
      <c r="AEG33" s="128"/>
      <c r="AEH33" s="128"/>
      <c r="AEI33" s="128"/>
      <c r="AEJ33" s="128"/>
      <c r="AEK33" s="128"/>
      <c r="AEL33" s="128"/>
      <c r="AEM33" s="128"/>
      <c r="AEN33" s="128"/>
      <c r="AEO33" s="128"/>
      <c r="AEP33" s="128"/>
      <c r="AEQ33" s="128"/>
      <c r="AER33" s="128"/>
      <c r="AES33" s="128"/>
      <c r="AET33" s="128"/>
      <c r="AEU33" s="128"/>
      <c r="AEV33" s="128"/>
      <c r="AEW33" s="128"/>
      <c r="AEX33" s="128"/>
      <c r="AEY33" s="128"/>
      <c r="AEZ33" s="128"/>
      <c r="AFA33" s="128"/>
      <c r="AFB33" s="128"/>
      <c r="AFC33" s="128"/>
      <c r="AFD33" s="128"/>
      <c r="AFE33" s="128"/>
      <c r="AFF33" s="128"/>
      <c r="AFG33" s="128"/>
      <c r="AFH33" s="128"/>
      <c r="AFI33" s="128"/>
      <c r="AFJ33" s="128"/>
      <c r="AFK33" s="128"/>
      <c r="AFL33" s="128"/>
      <c r="AFM33" s="128"/>
      <c r="AFN33" s="128"/>
      <c r="AFO33" s="128"/>
      <c r="AFP33" s="128"/>
      <c r="AFQ33" s="128"/>
      <c r="AFR33" s="128"/>
      <c r="AFS33" s="128"/>
      <c r="AFT33" s="128"/>
      <c r="AFU33" s="128"/>
      <c r="AFV33" s="128"/>
      <c r="AFW33" s="128"/>
      <c r="AFX33" s="128"/>
      <c r="AFY33" s="128"/>
      <c r="AFZ33" s="128"/>
      <c r="AGA33" s="128"/>
      <c r="AGB33" s="128"/>
      <c r="AGC33" s="128"/>
      <c r="AGD33" s="128"/>
      <c r="AGE33" s="128"/>
      <c r="AGF33" s="128"/>
      <c r="AGG33" s="128"/>
      <c r="AGH33" s="128"/>
      <c r="AGI33" s="128"/>
      <c r="AGJ33" s="128"/>
      <c r="AGK33" s="128"/>
      <c r="AGL33" s="128"/>
      <c r="AGM33" s="128"/>
      <c r="AGN33" s="128"/>
      <c r="AGO33" s="128"/>
      <c r="AGP33" s="128"/>
      <c r="AGQ33" s="128"/>
      <c r="AGR33" s="128"/>
      <c r="AGS33" s="128"/>
      <c r="AGT33" s="128"/>
      <c r="AGU33" s="128"/>
      <c r="AGV33" s="128"/>
      <c r="AGW33" s="128"/>
      <c r="AGX33" s="128"/>
      <c r="AGY33" s="128"/>
      <c r="AGZ33" s="128"/>
      <c r="AHA33" s="128"/>
      <c r="AHB33" s="128"/>
      <c r="AHC33" s="128"/>
      <c r="AHD33" s="128"/>
      <c r="AHE33" s="128"/>
      <c r="AHF33" s="128"/>
      <c r="AHG33" s="128"/>
      <c r="AHH33" s="128"/>
      <c r="AHI33" s="128"/>
      <c r="AHJ33" s="128"/>
      <c r="AHK33" s="128"/>
      <c r="AHL33" s="128"/>
      <c r="AHM33" s="128"/>
      <c r="AHN33" s="128"/>
      <c r="AHO33" s="128"/>
      <c r="AHP33" s="128"/>
      <c r="AHQ33" s="128"/>
      <c r="AHR33" s="128"/>
      <c r="AHS33" s="128"/>
      <c r="AHT33" s="128"/>
      <c r="AHU33" s="128"/>
      <c r="AHV33" s="128"/>
      <c r="AHW33" s="128"/>
      <c r="AHX33" s="128"/>
      <c r="AHY33" s="128"/>
      <c r="AHZ33" s="128"/>
      <c r="AIA33" s="128"/>
      <c r="AIB33" s="128"/>
      <c r="AIC33" s="128"/>
      <c r="AID33" s="128"/>
      <c r="AIE33" s="128"/>
      <c r="AIF33" s="128"/>
      <c r="AIG33" s="128"/>
      <c r="AIH33" s="128"/>
      <c r="AII33" s="128"/>
      <c r="AIJ33" s="128"/>
      <c r="AIK33" s="128"/>
      <c r="AIL33" s="128"/>
      <c r="AIM33" s="128"/>
      <c r="AIN33" s="128"/>
      <c r="AIO33" s="128"/>
      <c r="AIP33" s="128"/>
      <c r="AIQ33" s="128"/>
      <c r="AIR33" s="128"/>
      <c r="AIS33" s="128"/>
      <c r="AIT33" s="128"/>
      <c r="AIU33" s="128"/>
      <c r="AIV33" s="128"/>
      <c r="AIW33" s="128"/>
      <c r="AIX33" s="128"/>
      <c r="AIY33" s="128"/>
      <c r="AIZ33" s="128"/>
      <c r="AJA33" s="128"/>
      <c r="AJB33" s="128"/>
      <c r="AJC33" s="128"/>
      <c r="AJD33" s="128"/>
      <c r="AJE33" s="128"/>
      <c r="AJF33" s="128"/>
      <c r="AJG33" s="128"/>
      <c r="AJH33" s="128"/>
      <c r="AJI33" s="128"/>
      <c r="AJJ33" s="128"/>
      <c r="AJK33" s="128"/>
      <c r="AJL33" s="128"/>
      <c r="AJM33" s="128"/>
      <c r="AJN33" s="128"/>
      <c r="AJO33" s="128"/>
      <c r="AJP33" s="128"/>
      <c r="AJQ33" s="128"/>
      <c r="AJR33" s="128"/>
      <c r="AJS33" s="128"/>
      <c r="AJT33" s="128"/>
      <c r="AJU33" s="128"/>
      <c r="AJV33" s="128"/>
      <c r="AJW33" s="128"/>
      <c r="AJX33" s="128"/>
      <c r="AJY33" s="128"/>
      <c r="AJZ33" s="128"/>
      <c r="AKA33" s="128"/>
      <c r="AKB33" s="128"/>
      <c r="AKC33" s="128"/>
      <c r="AKD33" s="128"/>
      <c r="AKE33" s="128"/>
      <c r="AKF33" s="128"/>
      <c r="AKG33" s="128"/>
      <c r="AKH33" s="128"/>
      <c r="AKI33" s="128"/>
      <c r="AKJ33" s="128"/>
      <c r="AKK33" s="128"/>
      <c r="AKL33" s="128"/>
      <c r="AKM33" s="128"/>
      <c r="AKN33" s="128"/>
      <c r="AKO33" s="128"/>
      <c r="AKP33" s="128"/>
      <c r="AKQ33" s="128"/>
      <c r="AKR33" s="128"/>
      <c r="AKS33" s="128"/>
      <c r="AKT33" s="128"/>
      <c r="AKU33" s="128"/>
      <c r="AKV33" s="128"/>
      <c r="AKW33" s="128"/>
      <c r="AKX33" s="128"/>
      <c r="AKY33" s="128"/>
      <c r="AKZ33" s="128"/>
      <c r="ALA33" s="128"/>
      <c r="ALB33" s="128"/>
      <c r="ALC33" s="128"/>
      <c r="ALD33" s="128"/>
      <c r="ALE33" s="128"/>
      <c r="ALF33" s="128"/>
      <c r="ALG33" s="128"/>
      <c r="ALH33" s="128"/>
      <c r="ALI33" s="128"/>
      <c r="ALJ33" s="128"/>
      <c r="ALK33" s="128"/>
      <c r="ALL33" s="128"/>
      <c r="ALM33" s="128"/>
      <c r="ALN33" s="128"/>
      <c r="ALO33" s="128"/>
      <c r="ALP33" s="128"/>
      <c r="ALQ33" s="128"/>
      <c r="ALR33" s="128"/>
      <c r="ALS33" s="128"/>
      <c r="ALT33" s="128"/>
      <c r="ALU33" s="128"/>
      <c r="ALV33" s="128"/>
      <c r="ALW33" s="128"/>
      <c r="ALX33" s="128"/>
      <c r="ALY33" s="128"/>
      <c r="ALZ33" s="128"/>
      <c r="AMA33" s="128"/>
      <c r="AMB33" s="128"/>
      <c r="AMC33" s="128"/>
      <c r="AMD33" s="128"/>
      <c r="AME33" s="128"/>
      <c r="AMF33" s="128"/>
      <c r="AMG33" s="128"/>
      <c r="AMH33" s="128"/>
      <c r="AMI33" s="128"/>
      <c r="AMJ33" s="128"/>
      <c r="AMK33" s="128"/>
      <c r="AML33" s="128"/>
      <c r="AMM33" s="128"/>
      <c r="AMN33" s="128"/>
      <c r="AMO33" s="128"/>
      <c r="AMP33" s="128"/>
      <c r="AMQ33" s="128"/>
      <c r="AMR33" s="128"/>
      <c r="AMS33" s="128"/>
      <c r="AMT33" s="128"/>
      <c r="AMU33" s="128"/>
      <c r="AMV33" s="128"/>
      <c r="AMW33" s="128"/>
      <c r="AMX33" s="128"/>
      <c r="AMY33" s="128"/>
      <c r="AMZ33" s="128"/>
      <c r="ANA33" s="128"/>
      <c r="ANB33" s="128"/>
      <c r="ANC33" s="128"/>
      <c r="AND33" s="128"/>
      <c r="ANE33" s="128"/>
      <c r="ANF33" s="128"/>
      <c r="ANG33" s="128"/>
      <c r="ANH33" s="128"/>
      <c r="ANI33" s="128"/>
      <c r="ANJ33" s="128"/>
      <c r="ANK33" s="128"/>
      <c r="ANL33" s="128"/>
      <c r="ANM33" s="128"/>
      <c r="ANN33" s="128"/>
      <c r="ANO33" s="128"/>
      <c r="ANP33" s="128"/>
      <c r="ANQ33" s="128"/>
      <c r="ANR33" s="128"/>
      <c r="ANS33" s="128"/>
      <c r="ANT33" s="128"/>
      <c r="ANU33" s="128"/>
      <c r="ANV33" s="128"/>
      <c r="ANW33" s="128"/>
      <c r="ANX33" s="128"/>
      <c r="ANY33" s="128"/>
      <c r="ANZ33" s="128"/>
      <c r="AOA33" s="128"/>
      <c r="AOB33" s="128"/>
      <c r="AOC33" s="128"/>
      <c r="AOD33" s="128"/>
      <c r="AOE33" s="128"/>
      <c r="AOF33" s="128"/>
      <c r="AOG33" s="128"/>
      <c r="AOH33" s="128"/>
      <c r="AOI33" s="128"/>
      <c r="AOJ33" s="128"/>
      <c r="AOK33" s="128"/>
      <c r="AOL33" s="128"/>
      <c r="AOM33" s="128"/>
      <c r="AON33" s="128"/>
      <c r="AOO33" s="128"/>
      <c r="AOP33" s="128"/>
      <c r="AOQ33" s="128"/>
      <c r="AOR33" s="128"/>
      <c r="AOS33" s="128"/>
      <c r="AOT33" s="128"/>
      <c r="AOU33" s="128"/>
      <c r="AOV33" s="128"/>
      <c r="AOW33" s="128"/>
      <c r="AOX33" s="128"/>
      <c r="AOY33" s="128"/>
      <c r="AOZ33" s="128"/>
      <c r="APA33" s="128"/>
      <c r="APB33" s="128"/>
      <c r="APC33" s="128"/>
      <c r="APD33" s="128"/>
      <c r="APE33" s="128"/>
      <c r="APF33" s="128"/>
      <c r="APG33" s="128"/>
      <c r="APH33" s="128"/>
      <c r="API33" s="128"/>
      <c r="APJ33" s="128"/>
      <c r="APK33" s="128"/>
      <c r="APL33" s="128"/>
      <c r="APM33" s="128"/>
      <c r="APN33" s="128"/>
      <c r="APO33" s="128"/>
      <c r="APP33" s="128"/>
      <c r="APQ33" s="128"/>
      <c r="APR33" s="128"/>
      <c r="APS33" s="128"/>
      <c r="APT33" s="128"/>
      <c r="APU33" s="128"/>
      <c r="APV33" s="128"/>
      <c r="APW33" s="128"/>
      <c r="APX33" s="128"/>
      <c r="APY33" s="128"/>
      <c r="APZ33" s="128"/>
      <c r="AQA33" s="128"/>
      <c r="AQB33" s="128"/>
      <c r="AQC33" s="128"/>
      <c r="AQD33" s="128"/>
      <c r="AQE33" s="128"/>
      <c r="AQF33" s="128"/>
      <c r="AQG33" s="128"/>
      <c r="AQH33" s="128"/>
      <c r="AQI33" s="128"/>
      <c r="AQJ33" s="128"/>
      <c r="AQK33" s="128"/>
      <c r="AQL33" s="128"/>
      <c r="AQM33" s="128"/>
      <c r="AQN33" s="128"/>
      <c r="AQO33" s="128"/>
      <c r="AQP33" s="128"/>
      <c r="AQQ33" s="128"/>
      <c r="AQR33" s="128"/>
      <c r="AQS33" s="128"/>
      <c r="AQT33" s="128"/>
      <c r="AQU33" s="128"/>
      <c r="AQV33" s="128"/>
      <c r="AQW33" s="128"/>
      <c r="AQX33" s="128"/>
      <c r="AQY33" s="128"/>
      <c r="AQZ33" s="128"/>
      <c r="ARA33" s="128"/>
      <c r="ARB33" s="128"/>
      <c r="ARC33" s="128"/>
      <c r="ARD33" s="128"/>
      <c r="ARE33" s="128"/>
      <c r="ARF33" s="128"/>
      <c r="ARG33" s="128"/>
      <c r="ARH33" s="128"/>
      <c r="ARI33" s="128"/>
      <c r="ARJ33" s="128"/>
      <c r="ARK33" s="128"/>
      <c r="ARL33" s="128"/>
      <c r="ARM33" s="128"/>
      <c r="ARN33" s="128"/>
      <c r="ARO33" s="128"/>
      <c r="ARP33" s="128"/>
      <c r="ARQ33" s="128"/>
      <c r="ARR33" s="128"/>
      <c r="ARS33" s="128"/>
      <c r="ART33" s="128"/>
      <c r="ARU33" s="128"/>
      <c r="ARV33" s="128"/>
      <c r="ARW33" s="128"/>
      <c r="ARX33" s="128"/>
      <c r="ARY33" s="128"/>
      <c r="ARZ33" s="128"/>
      <c r="ASA33" s="128"/>
      <c r="ASB33" s="128"/>
      <c r="ASC33" s="128"/>
      <c r="ASD33" s="128"/>
      <c r="ASE33" s="128"/>
      <c r="ASF33" s="128"/>
      <c r="ASG33" s="128"/>
      <c r="ASH33" s="128"/>
      <c r="ASI33" s="128"/>
      <c r="ASJ33" s="128"/>
      <c r="ASK33" s="128"/>
      <c r="ASL33" s="128"/>
      <c r="ASM33" s="128"/>
      <c r="ASN33" s="128"/>
      <c r="ASO33" s="128"/>
      <c r="ASP33" s="128"/>
      <c r="ASQ33" s="128"/>
      <c r="ASR33" s="128"/>
      <c r="ASS33" s="128"/>
      <c r="AST33" s="128"/>
      <c r="ASU33" s="128"/>
      <c r="ASV33" s="128"/>
      <c r="ASW33" s="128"/>
      <c r="ASX33" s="128"/>
      <c r="ASY33" s="128"/>
      <c r="ASZ33" s="128"/>
      <c r="ATA33" s="128"/>
      <c r="ATB33" s="128"/>
      <c r="ATC33" s="128"/>
      <c r="ATD33" s="128"/>
      <c r="ATE33" s="128"/>
      <c r="ATF33" s="128"/>
      <c r="ATG33" s="128"/>
      <c r="ATH33" s="128"/>
      <c r="ATI33" s="128"/>
      <c r="ATJ33" s="128"/>
      <c r="ATK33" s="128"/>
      <c r="ATL33" s="128"/>
      <c r="ATM33" s="128"/>
      <c r="ATN33" s="128"/>
      <c r="ATO33" s="128"/>
      <c r="ATP33" s="128"/>
      <c r="ATQ33" s="128"/>
      <c r="ATR33" s="128"/>
      <c r="ATS33" s="128"/>
      <c r="ATT33" s="128"/>
      <c r="ATU33" s="128"/>
      <c r="ATV33" s="128"/>
      <c r="ATW33" s="128"/>
      <c r="ATX33" s="128"/>
      <c r="ATY33" s="128"/>
      <c r="ATZ33" s="128"/>
      <c r="AUA33" s="128"/>
      <c r="AUB33" s="128"/>
      <c r="AUC33" s="128"/>
      <c r="AUD33" s="128"/>
      <c r="AUE33" s="128"/>
      <c r="AUF33" s="128"/>
      <c r="AUG33" s="128"/>
      <c r="AUH33" s="128"/>
      <c r="AUI33" s="128"/>
      <c r="AUJ33" s="128"/>
      <c r="AUK33" s="128"/>
      <c r="AUL33" s="128"/>
      <c r="AUM33" s="128"/>
      <c r="AUN33" s="128"/>
      <c r="AUO33" s="128"/>
      <c r="AUP33" s="128"/>
      <c r="AUQ33" s="128"/>
      <c r="AUR33" s="128"/>
      <c r="AUS33" s="128"/>
      <c r="AUT33" s="128"/>
      <c r="AUU33" s="128"/>
      <c r="AUV33" s="128"/>
      <c r="AUW33" s="128"/>
      <c r="AUX33" s="128"/>
      <c r="AUY33" s="128"/>
      <c r="AUZ33" s="128"/>
      <c r="AVA33" s="128"/>
      <c r="AVB33" s="128"/>
      <c r="AVC33" s="128"/>
      <c r="AVD33" s="128"/>
      <c r="AVE33" s="128"/>
      <c r="AVF33" s="128"/>
      <c r="AVG33" s="128"/>
      <c r="AVH33" s="128"/>
      <c r="AVI33" s="128"/>
      <c r="AVJ33" s="128"/>
      <c r="AVK33" s="128"/>
      <c r="AVL33" s="128"/>
      <c r="AVM33" s="128"/>
      <c r="AVN33" s="128"/>
      <c r="AVO33" s="128"/>
      <c r="AVP33" s="128"/>
      <c r="AVQ33" s="128"/>
      <c r="AVR33" s="128"/>
      <c r="AVS33" s="128"/>
      <c r="AVT33" s="128"/>
      <c r="AVU33" s="128"/>
      <c r="AVV33" s="128"/>
      <c r="AVW33" s="128"/>
      <c r="AVX33" s="128"/>
      <c r="AVY33" s="128"/>
      <c r="AVZ33" s="128"/>
      <c r="AWA33" s="128"/>
      <c r="AWB33" s="128"/>
      <c r="AWC33" s="128"/>
      <c r="AWD33" s="128"/>
      <c r="AWE33" s="128"/>
      <c r="AWF33" s="128"/>
      <c r="AWG33" s="128"/>
      <c r="AWH33" s="128"/>
      <c r="AWI33" s="128"/>
      <c r="AWJ33" s="128"/>
      <c r="AWK33" s="128"/>
      <c r="AWL33" s="128"/>
      <c r="AWM33" s="128"/>
      <c r="AWN33" s="128"/>
      <c r="AWO33" s="128"/>
      <c r="AWP33" s="128"/>
      <c r="AWQ33" s="128"/>
      <c r="AWR33" s="128"/>
      <c r="AWS33" s="128"/>
      <c r="AWT33" s="128"/>
      <c r="AWU33" s="128"/>
      <c r="AWV33" s="128"/>
      <c r="AWW33" s="128"/>
      <c r="AWX33" s="128"/>
      <c r="AWY33" s="128"/>
      <c r="AWZ33" s="128"/>
      <c r="AXA33" s="128"/>
      <c r="AXB33" s="128"/>
      <c r="AXC33" s="128"/>
      <c r="AXD33" s="128"/>
      <c r="AXE33" s="128"/>
      <c r="AXF33" s="128"/>
      <c r="AXG33" s="128"/>
      <c r="AXH33" s="128"/>
      <c r="AXI33" s="128"/>
      <c r="AXJ33" s="128"/>
      <c r="AXK33" s="128"/>
      <c r="AXL33" s="128"/>
      <c r="AXM33" s="128"/>
      <c r="AXN33" s="128"/>
      <c r="AXO33" s="128"/>
      <c r="AXP33" s="128"/>
      <c r="AXQ33" s="128"/>
      <c r="AXR33" s="128"/>
      <c r="AXS33" s="128"/>
      <c r="AXT33" s="128"/>
      <c r="AXU33" s="128"/>
      <c r="AXV33" s="128"/>
      <c r="AXW33" s="128"/>
      <c r="AXX33" s="128"/>
      <c r="AXY33" s="128"/>
      <c r="AXZ33" s="128"/>
      <c r="AYA33" s="128"/>
      <c r="AYB33" s="128"/>
      <c r="AYC33" s="128"/>
      <c r="AYD33" s="128"/>
      <c r="AYE33" s="128"/>
      <c r="AYF33" s="128"/>
      <c r="AYG33" s="128"/>
      <c r="AYH33" s="128"/>
      <c r="AYI33" s="128"/>
      <c r="AYJ33" s="128"/>
      <c r="AYK33" s="128"/>
      <c r="AYL33" s="128"/>
      <c r="AYM33" s="128"/>
      <c r="AYN33" s="128"/>
      <c r="AYO33" s="128"/>
      <c r="AYP33" s="128"/>
      <c r="AYQ33" s="128"/>
      <c r="AYR33" s="128"/>
      <c r="AYS33" s="128"/>
      <c r="AYT33" s="128"/>
      <c r="AYU33" s="128"/>
      <c r="AYV33" s="128"/>
      <c r="AYW33" s="128"/>
      <c r="AYX33" s="128"/>
      <c r="AYY33" s="128"/>
      <c r="AYZ33" s="128"/>
      <c r="AZA33" s="128"/>
      <c r="AZB33" s="128"/>
      <c r="AZC33" s="128"/>
      <c r="AZD33" s="128"/>
      <c r="AZE33" s="128"/>
      <c r="AZF33" s="128"/>
      <c r="AZG33" s="128"/>
      <c r="AZH33" s="128"/>
      <c r="AZI33" s="128"/>
      <c r="AZJ33" s="128"/>
      <c r="AZK33" s="128"/>
      <c r="AZL33" s="128"/>
      <c r="AZM33" s="128"/>
      <c r="AZN33" s="128"/>
      <c r="AZO33" s="128"/>
      <c r="AZP33" s="128"/>
      <c r="AZQ33" s="128"/>
      <c r="AZR33" s="128"/>
      <c r="AZS33" s="128"/>
      <c r="AZT33" s="128"/>
      <c r="AZU33" s="128"/>
      <c r="AZV33" s="128"/>
      <c r="AZW33" s="128"/>
      <c r="AZX33" s="128"/>
      <c r="AZY33" s="128"/>
      <c r="AZZ33" s="128"/>
      <c r="BAA33" s="128"/>
      <c r="BAB33" s="128"/>
      <c r="BAC33" s="128"/>
      <c r="BAD33" s="128"/>
      <c r="BAE33" s="128"/>
      <c r="BAF33" s="128"/>
      <c r="BAG33" s="128"/>
      <c r="BAH33" s="128"/>
      <c r="BAI33" s="128"/>
      <c r="BAJ33" s="128"/>
      <c r="BAK33" s="128"/>
      <c r="BAL33" s="128"/>
      <c r="BAM33" s="128"/>
      <c r="BAN33" s="128"/>
      <c r="BAO33" s="128"/>
      <c r="BAP33" s="128"/>
      <c r="BAQ33" s="128"/>
      <c r="BAR33" s="128"/>
      <c r="BAS33" s="128"/>
      <c r="BAT33" s="128"/>
      <c r="BAU33" s="128"/>
      <c r="BAV33" s="128"/>
      <c r="BAW33" s="128"/>
      <c r="BAX33" s="128"/>
      <c r="BAY33" s="128"/>
      <c r="BAZ33" s="128"/>
      <c r="BBA33" s="128"/>
      <c r="BBB33" s="128"/>
      <c r="BBC33" s="128"/>
      <c r="BBD33" s="128"/>
      <c r="BBE33" s="128"/>
      <c r="BBF33" s="128"/>
      <c r="BBG33" s="128"/>
      <c r="BBH33" s="128"/>
      <c r="BBI33" s="128"/>
      <c r="BBJ33" s="128"/>
      <c r="BBK33" s="128"/>
      <c r="BBL33" s="128"/>
      <c r="BBM33" s="128"/>
      <c r="BBN33" s="128"/>
      <c r="BBO33" s="128"/>
      <c r="BBP33" s="128"/>
      <c r="BBQ33" s="128"/>
      <c r="BBR33" s="128"/>
      <c r="BBS33" s="128"/>
      <c r="BBT33" s="128"/>
      <c r="BBU33" s="128"/>
      <c r="BBV33" s="128"/>
      <c r="BBW33" s="128"/>
      <c r="BBX33" s="128"/>
      <c r="BBY33" s="128"/>
      <c r="BBZ33" s="128"/>
      <c r="BCA33" s="128"/>
      <c r="BCB33" s="128"/>
      <c r="BCC33" s="128"/>
      <c r="BCD33" s="128"/>
      <c r="BCE33" s="128"/>
      <c r="BCF33" s="128"/>
      <c r="BCG33" s="128"/>
      <c r="BCH33" s="128"/>
      <c r="BCI33" s="128"/>
      <c r="BCJ33" s="128"/>
      <c r="BCK33" s="128"/>
      <c r="BCL33" s="128"/>
      <c r="BCM33" s="128"/>
      <c r="BCN33" s="128"/>
      <c r="BCO33" s="128"/>
      <c r="BCP33" s="128"/>
      <c r="BCQ33" s="128"/>
      <c r="BCR33" s="128"/>
      <c r="BCS33" s="128"/>
      <c r="BCT33" s="128"/>
      <c r="BCU33" s="128"/>
      <c r="BCV33" s="128"/>
      <c r="BCW33" s="128"/>
      <c r="BCX33" s="128"/>
      <c r="BCY33" s="128"/>
      <c r="BCZ33" s="128"/>
      <c r="BDA33" s="128"/>
      <c r="BDB33" s="128"/>
      <c r="BDC33" s="128"/>
      <c r="BDD33" s="128"/>
      <c r="BDE33" s="128"/>
      <c r="BDF33" s="128"/>
      <c r="BDG33" s="128"/>
      <c r="BDH33" s="128"/>
      <c r="BDI33" s="128"/>
      <c r="BDJ33" s="128"/>
      <c r="BDK33" s="128"/>
      <c r="BDL33" s="128"/>
      <c r="BDM33" s="128"/>
      <c r="BDN33" s="128"/>
      <c r="BDO33" s="128"/>
      <c r="BDP33" s="128"/>
      <c r="BDQ33" s="128"/>
      <c r="BDR33" s="128"/>
      <c r="BDS33" s="128"/>
      <c r="BDT33" s="128"/>
      <c r="BDU33" s="128"/>
      <c r="BDV33" s="128"/>
      <c r="BDW33" s="128"/>
      <c r="BDX33" s="128"/>
      <c r="BDY33" s="128"/>
      <c r="BDZ33" s="128"/>
      <c r="BEA33" s="128"/>
      <c r="BEB33" s="128"/>
      <c r="BEC33" s="128"/>
      <c r="BED33" s="128"/>
      <c r="BEE33" s="128"/>
      <c r="BEF33" s="128"/>
      <c r="BEG33" s="128"/>
      <c r="BEH33" s="128"/>
      <c r="BEI33" s="128"/>
      <c r="BEJ33" s="128"/>
      <c r="BEK33" s="128"/>
      <c r="BEL33" s="128"/>
      <c r="BEM33" s="128"/>
      <c r="BEN33" s="128"/>
      <c r="BEO33" s="128"/>
      <c r="BEP33" s="128"/>
      <c r="BEQ33" s="128"/>
      <c r="BER33" s="128"/>
      <c r="BES33" s="128"/>
      <c r="BET33" s="128"/>
      <c r="BEU33" s="128"/>
      <c r="BEV33" s="128"/>
      <c r="BEW33" s="128"/>
      <c r="BEX33" s="128"/>
      <c r="BEY33" s="128"/>
      <c r="BEZ33" s="128"/>
      <c r="BFA33" s="128"/>
      <c r="BFB33" s="128"/>
      <c r="BFC33" s="128"/>
      <c r="BFD33" s="128"/>
      <c r="BFE33" s="128"/>
      <c r="BFF33" s="128"/>
      <c r="BFG33" s="128"/>
      <c r="BFH33" s="128"/>
      <c r="BFI33" s="128"/>
      <c r="BFJ33" s="128"/>
      <c r="BFK33" s="128"/>
      <c r="BFL33" s="128"/>
      <c r="BFM33" s="128"/>
      <c r="BFN33" s="128"/>
      <c r="BFO33" s="128"/>
      <c r="BFP33" s="128"/>
      <c r="BFQ33" s="128"/>
      <c r="BFR33" s="128"/>
      <c r="BFS33" s="128"/>
      <c r="BFT33" s="128"/>
      <c r="BFU33" s="128"/>
      <c r="BFV33" s="128"/>
      <c r="BFW33" s="128"/>
      <c r="BFX33" s="128"/>
      <c r="BFY33" s="128"/>
      <c r="BFZ33" s="128"/>
      <c r="BGA33" s="128"/>
      <c r="BGB33" s="128"/>
      <c r="BGC33" s="128"/>
      <c r="BGD33" s="128"/>
      <c r="BGE33" s="128"/>
      <c r="BGF33" s="128"/>
      <c r="BGG33" s="128"/>
      <c r="BGH33" s="128"/>
      <c r="BGI33" s="128"/>
      <c r="BGJ33" s="128"/>
      <c r="BGK33" s="128"/>
      <c r="BGL33" s="128"/>
      <c r="BGM33" s="128"/>
      <c r="BGN33" s="128"/>
      <c r="BGO33" s="128"/>
      <c r="BGP33" s="128"/>
      <c r="BGQ33" s="128"/>
      <c r="BGR33" s="128"/>
      <c r="BGS33" s="128"/>
      <c r="BGT33" s="128"/>
      <c r="BGU33" s="128"/>
      <c r="BGV33" s="128"/>
      <c r="BGW33" s="128"/>
      <c r="BGX33" s="128"/>
      <c r="BGY33" s="128"/>
      <c r="BGZ33" s="128"/>
      <c r="BHA33" s="128"/>
      <c r="BHB33" s="128"/>
      <c r="BHC33" s="128"/>
      <c r="BHD33" s="128"/>
      <c r="BHE33" s="128"/>
      <c r="BHF33" s="128"/>
      <c r="BHG33" s="128"/>
      <c r="BHH33" s="128"/>
      <c r="BHI33" s="128"/>
      <c r="BHJ33" s="128"/>
      <c r="BHK33" s="128"/>
      <c r="BHL33" s="128"/>
      <c r="BHM33" s="128"/>
      <c r="BHN33" s="128"/>
      <c r="BHO33" s="128"/>
      <c r="BHP33" s="128"/>
      <c r="BHQ33" s="128"/>
      <c r="BHR33" s="128"/>
      <c r="BHS33" s="128"/>
      <c r="BHT33" s="128"/>
      <c r="BHU33" s="128"/>
      <c r="BHV33" s="128"/>
      <c r="BHW33" s="128"/>
      <c r="BHX33" s="128"/>
      <c r="BHY33" s="128"/>
      <c r="BHZ33" s="128"/>
      <c r="BIA33" s="128"/>
      <c r="BIB33" s="128"/>
      <c r="BIC33" s="128"/>
      <c r="BID33" s="128"/>
      <c r="BIE33" s="128"/>
      <c r="BIF33" s="128"/>
      <c r="BIG33" s="128"/>
      <c r="BIH33" s="128"/>
      <c r="BII33" s="128"/>
      <c r="BIJ33" s="128"/>
      <c r="BIK33" s="128"/>
      <c r="BIL33" s="128"/>
      <c r="BIM33" s="128"/>
      <c r="BIN33" s="128"/>
      <c r="BIO33" s="128"/>
      <c r="BIP33" s="128"/>
      <c r="BIQ33" s="128"/>
      <c r="BIR33" s="128"/>
      <c r="BIS33" s="128"/>
      <c r="BIT33" s="128"/>
      <c r="BIU33" s="128"/>
      <c r="BIV33" s="128"/>
      <c r="BIW33" s="128"/>
      <c r="BIX33" s="128"/>
      <c r="BIY33" s="128"/>
      <c r="BIZ33" s="128"/>
      <c r="BJA33" s="128"/>
      <c r="BJB33" s="128"/>
      <c r="BJC33" s="128"/>
      <c r="BJD33" s="128"/>
      <c r="BJE33" s="128"/>
      <c r="BJF33" s="128"/>
      <c r="BJG33" s="128"/>
      <c r="BJH33" s="128"/>
      <c r="BJI33" s="128"/>
      <c r="BJJ33" s="128"/>
      <c r="BJK33" s="128"/>
      <c r="BJL33" s="128"/>
      <c r="BJM33" s="128"/>
      <c r="BJN33" s="128"/>
      <c r="BJO33" s="128"/>
      <c r="BJP33" s="128"/>
      <c r="BJQ33" s="128"/>
      <c r="BJR33" s="128"/>
      <c r="BJS33" s="128"/>
      <c r="BJT33" s="128"/>
      <c r="BJU33" s="128"/>
      <c r="BJV33" s="128"/>
      <c r="BJW33" s="128"/>
      <c r="BJX33" s="128"/>
      <c r="BJY33" s="128"/>
      <c r="BJZ33" s="128"/>
      <c r="BKA33" s="128"/>
      <c r="BKB33" s="128"/>
      <c r="BKC33" s="128"/>
      <c r="BKD33" s="128"/>
      <c r="BKE33" s="128"/>
      <c r="BKF33" s="128"/>
      <c r="BKG33" s="128"/>
      <c r="BKH33" s="128"/>
      <c r="BKI33" s="128"/>
      <c r="BKJ33" s="128"/>
      <c r="BKK33" s="128"/>
      <c r="BKL33" s="128"/>
      <c r="BKM33" s="128"/>
      <c r="BKN33" s="128"/>
      <c r="BKO33" s="128"/>
      <c r="BKP33" s="128"/>
      <c r="BKQ33" s="128"/>
      <c r="BKR33" s="128"/>
      <c r="BKS33" s="128"/>
      <c r="BKT33" s="128"/>
      <c r="BKU33" s="128"/>
      <c r="BKV33" s="128"/>
      <c r="BKW33" s="128"/>
      <c r="BKX33" s="128"/>
      <c r="BKY33" s="128"/>
      <c r="BKZ33" s="128"/>
      <c r="BLA33" s="128"/>
      <c r="BLB33" s="128"/>
      <c r="BLC33" s="128"/>
      <c r="BLD33" s="128"/>
      <c r="BLE33" s="128"/>
      <c r="BLF33" s="128"/>
      <c r="BLG33" s="128"/>
      <c r="BLH33" s="128"/>
      <c r="BLI33" s="128"/>
      <c r="BLJ33" s="128"/>
      <c r="BLK33" s="128"/>
      <c r="BLL33" s="128"/>
      <c r="BLM33" s="128"/>
      <c r="BLN33" s="128"/>
      <c r="BLO33" s="128"/>
      <c r="BLP33" s="128"/>
      <c r="BLQ33" s="128"/>
      <c r="BLR33" s="128"/>
      <c r="BLS33" s="128"/>
      <c r="BLT33" s="128"/>
      <c r="BLU33" s="128"/>
      <c r="BLV33" s="128"/>
      <c r="BLW33" s="128"/>
      <c r="BLX33" s="128"/>
      <c r="BLY33" s="128"/>
      <c r="BLZ33" s="128"/>
      <c r="BMA33" s="128"/>
      <c r="BMB33" s="128"/>
      <c r="BMC33" s="128"/>
      <c r="BMD33" s="128"/>
      <c r="BME33" s="128"/>
      <c r="BMF33" s="128"/>
      <c r="BMG33" s="128"/>
      <c r="BMH33" s="128"/>
      <c r="BMI33" s="128"/>
      <c r="BMJ33" s="128"/>
      <c r="BMK33" s="128"/>
      <c r="BML33" s="128"/>
      <c r="BMM33" s="128"/>
      <c r="BMN33" s="128"/>
      <c r="BMO33" s="128"/>
      <c r="BMP33" s="128"/>
      <c r="BMQ33" s="128"/>
      <c r="BMR33" s="128"/>
      <c r="BMS33" s="128"/>
      <c r="BMT33" s="128"/>
      <c r="BMU33" s="128"/>
      <c r="BMV33" s="128"/>
      <c r="BMW33" s="128"/>
      <c r="BMX33" s="128"/>
      <c r="BMY33" s="128"/>
      <c r="BMZ33" s="128"/>
      <c r="BNA33" s="128"/>
      <c r="BNB33" s="128"/>
      <c r="BNC33" s="128"/>
      <c r="BND33" s="128"/>
      <c r="BNE33" s="128"/>
      <c r="BNF33" s="128"/>
      <c r="BNG33" s="128"/>
      <c r="BNH33" s="128"/>
      <c r="BNI33" s="128"/>
      <c r="BNJ33" s="128"/>
      <c r="BNK33" s="128"/>
      <c r="BNL33" s="128"/>
      <c r="BNM33" s="128"/>
      <c r="BNN33" s="128"/>
      <c r="BNO33" s="128"/>
      <c r="BNP33" s="128"/>
      <c r="BNQ33" s="128"/>
      <c r="BNR33" s="128"/>
      <c r="BNS33" s="128"/>
      <c r="BNT33" s="128"/>
      <c r="BNU33" s="128"/>
      <c r="BNV33" s="128"/>
      <c r="BNW33" s="128"/>
      <c r="BNX33" s="128"/>
      <c r="BNY33" s="128"/>
      <c r="BNZ33" s="128"/>
      <c r="BOA33" s="128"/>
      <c r="BOB33" s="128"/>
      <c r="BOC33" s="128"/>
      <c r="BOD33" s="128"/>
      <c r="BOE33" s="128"/>
      <c r="BOF33" s="128"/>
      <c r="BOG33" s="128"/>
      <c r="BOH33" s="128"/>
      <c r="BOI33" s="128"/>
      <c r="BOJ33" s="128"/>
      <c r="BOK33" s="128"/>
      <c r="BOL33" s="128"/>
      <c r="BOM33" s="128"/>
      <c r="BON33" s="128"/>
      <c r="BOO33" s="128"/>
      <c r="BOP33" s="128"/>
      <c r="BOQ33" s="128"/>
      <c r="BOR33" s="128"/>
      <c r="BOS33" s="128"/>
      <c r="BOT33" s="128"/>
      <c r="BOU33" s="128"/>
      <c r="BOV33" s="128"/>
      <c r="BOW33" s="128"/>
      <c r="BOX33" s="128"/>
      <c r="BOY33" s="128"/>
      <c r="BOZ33" s="128"/>
      <c r="BPA33" s="128"/>
      <c r="BPB33" s="128"/>
      <c r="BPC33" s="128"/>
      <c r="BPD33" s="128"/>
      <c r="BPE33" s="128"/>
      <c r="BPF33" s="128"/>
      <c r="BPG33" s="128"/>
      <c r="BPH33" s="128"/>
      <c r="BPI33" s="128"/>
      <c r="BPJ33" s="128"/>
      <c r="BPK33" s="128"/>
      <c r="BPL33" s="128"/>
      <c r="BPM33" s="128"/>
      <c r="BPN33" s="128"/>
      <c r="BPO33" s="128"/>
      <c r="BPP33" s="128"/>
      <c r="BPQ33" s="128"/>
      <c r="BPR33" s="128"/>
      <c r="BPS33" s="128"/>
      <c r="BPT33" s="128"/>
      <c r="BPU33" s="128"/>
      <c r="BPV33" s="128"/>
      <c r="BPW33" s="128"/>
      <c r="BPX33" s="128"/>
      <c r="BPY33" s="128"/>
      <c r="BPZ33" s="128"/>
      <c r="BQA33" s="128"/>
      <c r="BQB33" s="128"/>
      <c r="BQC33" s="128"/>
      <c r="BQD33" s="128"/>
      <c r="BQE33" s="128"/>
      <c r="BQF33" s="128"/>
      <c r="BQG33" s="128"/>
      <c r="BQH33" s="128"/>
      <c r="BQI33" s="128"/>
      <c r="BQJ33" s="128"/>
      <c r="BQK33" s="128"/>
      <c r="BQL33" s="128"/>
      <c r="BQM33" s="128"/>
      <c r="BQN33" s="128"/>
      <c r="BQO33" s="128"/>
      <c r="BQP33" s="128"/>
      <c r="BQQ33" s="128"/>
      <c r="BQR33" s="128"/>
      <c r="BQS33" s="128"/>
      <c r="BQT33" s="128"/>
      <c r="BQU33" s="128"/>
      <c r="BQV33" s="128"/>
      <c r="BQW33" s="128"/>
      <c r="BQX33" s="128"/>
      <c r="BQY33" s="128"/>
      <c r="BQZ33" s="128"/>
      <c r="BRA33" s="128"/>
      <c r="BRB33" s="128"/>
      <c r="BRC33" s="128"/>
      <c r="BRD33" s="128"/>
      <c r="BRE33" s="128"/>
      <c r="BRF33" s="128"/>
      <c r="BRG33" s="128"/>
      <c r="BRH33" s="128"/>
      <c r="BRI33" s="128"/>
      <c r="BRJ33" s="128"/>
      <c r="BRK33" s="128"/>
      <c r="BRL33" s="128"/>
      <c r="BRM33" s="128"/>
      <c r="BRN33" s="128"/>
      <c r="BRO33" s="128"/>
      <c r="BRP33" s="128"/>
      <c r="BRQ33" s="128"/>
      <c r="BRR33" s="128"/>
      <c r="BRS33" s="128"/>
      <c r="BRT33" s="128"/>
      <c r="BRU33" s="128"/>
      <c r="BRV33" s="128"/>
      <c r="BRW33" s="128"/>
      <c r="BRX33" s="128"/>
      <c r="BRY33" s="128"/>
      <c r="BRZ33" s="128"/>
      <c r="BSA33" s="128"/>
      <c r="BSB33" s="128"/>
      <c r="BSC33" s="128"/>
      <c r="BSD33" s="128"/>
      <c r="BSE33" s="128"/>
      <c r="BSF33" s="128"/>
      <c r="BSG33" s="128"/>
      <c r="BSH33" s="128"/>
      <c r="BSI33" s="128"/>
      <c r="BSJ33" s="128"/>
      <c r="BSK33" s="128"/>
      <c r="BSL33" s="128"/>
      <c r="BSM33" s="128"/>
      <c r="BSN33" s="128"/>
      <c r="BSO33" s="128"/>
      <c r="BSP33" s="128"/>
      <c r="BSQ33" s="128"/>
      <c r="BSR33" s="128"/>
      <c r="BSS33" s="128"/>
      <c r="BST33" s="128"/>
      <c r="BSU33" s="128"/>
      <c r="BSV33" s="128"/>
      <c r="BSW33" s="128"/>
      <c r="BSX33" s="128"/>
      <c r="BSY33" s="128"/>
      <c r="BSZ33" s="128"/>
      <c r="BTA33" s="128"/>
      <c r="BTB33" s="128"/>
      <c r="BTC33" s="128"/>
      <c r="BTD33" s="128"/>
      <c r="BTE33" s="128"/>
      <c r="BTF33" s="128"/>
      <c r="BTG33" s="128"/>
      <c r="BTH33" s="128"/>
      <c r="BTI33" s="128"/>
      <c r="BTJ33" s="128"/>
      <c r="BTK33" s="128"/>
      <c r="BTL33" s="128"/>
      <c r="BTM33" s="128"/>
      <c r="BTN33" s="128"/>
      <c r="BTO33" s="128"/>
      <c r="BTP33" s="128"/>
      <c r="BTQ33" s="128"/>
      <c r="BTR33" s="128"/>
      <c r="BTS33" s="128"/>
      <c r="BTT33" s="128"/>
      <c r="BTU33" s="128"/>
      <c r="BTV33" s="128"/>
      <c r="BTW33" s="128"/>
      <c r="BTX33" s="128"/>
      <c r="BTY33" s="128"/>
      <c r="BTZ33" s="128"/>
      <c r="BUA33" s="128"/>
      <c r="BUB33" s="128"/>
      <c r="BUC33" s="128"/>
      <c r="BUD33" s="128"/>
      <c r="BUE33" s="128"/>
      <c r="BUF33" s="128"/>
      <c r="BUG33" s="128"/>
      <c r="BUH33" s="128"/>
      <c r="BUI33" s="128"/>
      <c r="BUJ33" s="128"/>
      <c r="BUK33" s="128"/>
      <c r="BUL33" s="128"/>
      <c r="BUM33" s="128"/>
      <c r="BUN33" s="128"/>
      <c r="BUO33" s="128"/>
      <c r="BUP33" s="128"/>
      <c r="BUQ33" s="128"/>
      <c r="BUR33" s="128"/>
      <c r="BUS33" s="128"/>
      <c r="BUT33" s="128"/>
      <c r="BUU33" s="128"/>
      <c r="BUV33" s="128"/>
      <c r="BUW33" s="128"/>
      <c r="BUX33" s="128"/>
      <c r="BUY33" s="128"/>
      <c r="BUZ33" s="128"/>
      <c r="BVA33" s="128"/>
      <c r="BVB33" s="128"/>
      <c r="BVC33" s="128"/>
      <c r="BVD33" s="128"/>
      <c r="BVE33" s="128"/>
      <c r="BVF33" s="128"/>
      <c r="BVG33" s="128"/>
      <c r="BVH33" s="128"/>
      <c r="BVI33" s="128"/>
      <c r="BVJ33" s="128"/>
      <c r="BVK33" s="128"/>
      <c r="BVL33" s="128"/>
      <c r="BVM33" s="128"/>
      <c r="BVN33" s="128"/>
      <c r="BVO33" s="128"/>
      <c r="BVP33" s="128"/>
      <c r="BVQ33" s="128"/>
      <c r="BVR33" s="128"/>
      <c r="BVS33" s="128"/>
      <c r="BVT33" s="128"/>
      <c r="BVU33" s="128"/>
      <c r="BVV33" s="128"/>
      <c r="BVW33" s="128"/>
      <c r="BVX33" s="128"/>
      <c r="BVY33" s="128"/>
      <c r="BVZ33" s="128"/>
      <c r="BWA33" s="128"/>
      <c r="BWB33" s="128"/>
      <c r="BWC33" s="128"/>
      <c r="BWD33" s="128"/>
      <c r="BWE33" s="128"/>
      <c r="BWF33" s="128"/>
      <c r="BWG33" s="128"/>
      <c r="BWH33" s="128"/>
      <c r="BWI33" s="128"/>
      <c r="BWJ33" s="128"/>
      <c r="BWK33" s="128"/>
      <c r="BWL33" s="128"/>
      <c r="BWM33" s="128"/>
      <c r="BWN33" s="128"/>
      <c r="BWO33" s="128"/>
      <c r="BWP33" s="128"/>
      <c r="BWQ33" s="128"/>
      <c r="BWR33" s="128"/>
      <c r="BWS33" s="128"/>
      <c r="BWT33" s="128"/>
      <c r="BWU33" s="128"/>
      <c r="BWV33" s="128"/>
      <c r="BWW33" s="128"/>
      <c r="BWX33" s="128"/>
      <c r="BWY33" s="128"/>
      <c r="BWZ33" s="128"/>
      <c r="BXA33" s="128"/>
      <c r="BXB33" s="128"/>
      <c r="BXC33" s="128"/>
      <c r="BXD33" s="128"/>
      <c r="BXE33" s="128"/>
      <c r="BXF33" s="128"/>
      <c r="BXG33" s="128"/>
      <c r="BXH33" s="128"/>
      <c r="BXI33" s="128"/>
      <c r="BXJ33" s="128"/>
      <c r="BXK33" s="128"/>
      <c r="BXL33" s="128"/>
      <c r="BXM33" s="128"/>
      <c r="BXN33" s="128"/>
      <c r="BXO33" s="128"/>
      <c r="BXP33" s="128"/>
      <c r="BXQ33" s="128"/>
      <c r="BXR33" s="128"/>
      <c r="BXS33" s="128"/>
      <c r="BXT33" s="128"/>
      <c r="BXU33" s="128"/>
      <c r="BXV33" s="128"/>
      <c r="BXW33" s="128"/>
      <c r="BXX33" s="128"/>
      <c r="BXY33" s="128"/>
      <c r="BXZ33" s="128"/>
      <c r="BYA33" s="128"/>
      <c r="BYB33" s="128"/>
      <c r="BYC33" s="128"/>
      <c r="BYD33" s="128"/>
      <c r="BYE33" s="128"/>
      <c r="BYF33" s="128"/>
      <c r="BYG33" s="128"/>
      <c r="BYH33" s="128"/>
      <c r="BYI33" s="128"/>
      <c r="BYJ33" s="128"/>
      <c r="BYK33" s="128"/>
      <c r="BYL33" s="128"/>
      <c r="BYM33" s="128"/>
      <c r="BYN33" s="128"/>
      <c r="BYO33" s="128"/>
      <c r="BYP33" s="128"/>
      <c r="BYQ33" s="128"/>
      <c r="BYR33" s="128"/>
      <c r="BYS33" s="128"/>
      <c r="BYT33" s="128"/>
      <c r="BYU33" s="128"/>
      <c r="BYV33" s="128"/>
      <c r="BYW33" s="128"/>
      <c r="BYX33" s="128"/>
      <c r="BYY33" s="128"/>
      <c r="BYZ33" s="128"/>
      <c r="BZA33" s="128"/>
      <c r="BZB33" s="128"/>
      <c r="BZC33" s="128"/>
      <c r="BZD33" s="128"/>
      <c r="BZE33" s="128"/>
      <c r="BZF33" s="128"/>
      <c r="BZG33" s="128"/>
      <c r="BZH33" s="128"/>
      <c r="BZI33" s="128"/>
      <c r="BZJ33" s="128"/>
      <c r="BZK33" s="128"/>
      <c r="BZL33" s="128"/>
      <c r="BZM33" s="128"/>
      <c r="BZN33" s="128"/>
      <c r="BZO33" s="128"/>
      <c r="BZP33" s="128"/>
      <c r="BZQ33" s="128"/>
      <c r="BZR33" s="128"/>
      <c r="BZS33" s="128"/>
      <c r="BZT33" s="128"/>
      <c r="BZU33" s="128"/>
      <c r="BZV33" s="128"/>
      <c r="BZW33" s="128"/>
      <c r="BZX33" s="128"/>
      <c r="BZY33" s="128"/>
      <c r="BZZ33" s="128"/>
      <c r="CAA33" s="128"/>
      <c r="CAB33" s="128"/>
      <c r="CAC33" s="128"/>
      <c r="CAD33" s="128"/>
      <c r="CAE33" s="128"/>
      <c r="CAF33" s="128"/>
      <c r="CAG33" s="128"/>
      <c r="CAH33" s="128"/>
      <c r="CAI33" s="128"/>
      <c r="CAJ33" s="128"/>
      <c r="CAK33" s="128"/>
      <c r="CAL33" s="128"/>
      <c r="CAM33" s="128"/>
      <c r="CAN33" s="128"/>
      <c r="CAO33" s="128"/>
      <c r="CAP33" s="128"/>
      <c r="CAQ33" s="128"/>
      <c r="CAR33" s="128"/>
      <c r="CAS33" s="128"/>
      <c r="CAT33" s="128"/>
      <c r="CAU33" s="128"/>
      <c r="CAV33" s="128"/>
      <c r="CAW33" s="128"/>
      <c r="CAX33" s="128"/>
      <c r="CAY33" s="128"/>
      <c r="CAZ33" s="128"/>
      <c r="CBA33" s="128"/>
      <c r="CBB33" s="128"/>
      <c r="CBC33" s="128"/>
      <c r="CBD33" s="128"/>
      <c r="CBE33" s="128"/>
      <c r="CBF33" s="128"/>
      <c r="CBG33" s="128"/>
      <c r="CBH33" s="128"/>
      <c r="CBI33" s="128"/>
      <c r="CBJ33" s="128"/>
      <c r="CBK33" s="128"/>
      <c r="CBL33" s="128"/>
      <c r="CBM33" s="128"/>
      <c r="CBN33" s="128"/>
      <c r="CBO33" s="128"/>
      <c r="CBP33" s="128"/>
      <c r="CBQ33" s="128"/>
      <c r="CBR33" s="128"/>
      <c r="CBS33" s="128"/>
      <c r="CBT33" s="128"/>
      <c r="CBU33" s="128"/>
      <c r="CBV33" s="128"/>
      <c r="CBW33" s="128"/>
      <c r="CBX33" s="128"/>
      <c r="CBY33" s="128"/>
      <c r="CBZ33" s="128"/>
      <c r="CCA33" s="128"/>
      <c r="CCB33" s="128"/>
      <c r="CCC33" s="128"/>
      <c r="CCD33" s="128"/>
      <c r="CCE33" s="128"/>
      <c r="CCF33" s="128"/>
      <c r="CCG33" s="128"/>
      <c r="CCH33" s="128"/>
      <c r="CCI33" s="128"/>
      <c r="CCJ33" s="128"/>
      <c r="CCK33" s="128"/>
      <c r="CCL33" s="128"/>
      <c r="CCM33" s="128"/>
      <c r="CCN33" s="128"/>
      <c r="CCO33" s="128"/>
      <c r="CCP33" s="128"/>
      <c r="CCQ33" s="128"/>
      <c r="CCR33" s="128"/>
      <c r="CCS33" s="128"/>
      <c r="CCT33" s="128"/>
      <c r="CCU33" s="128"/>
      <c r="CCV33" s="128"/>
      <c r="CCW33" s="128"/>
      <c r="CCX33" s="128"/>
      <c r="CCY33" s="128"/>
      <c r="CCZ33" s="128"/>
      <c r="CDA33" s="128"/>
      <c r="CDB33" s="128"/>
      <c r="CDC33" s="128"/>
      <c r="CDD33" s="128"/>
      <c r="CDE33" s="128"/>
      <c r="CDF33" s="128"/>
      <c r="CDG33" s="128"/>
      <c r="CDH33" s="128"/>
      <c r="CDI33" s="128"/>
      <c r="CDJ33" s="128"/>
      <c r="CDK33" s="128"/>
      <c r="CDL33" s="128"/>
      <c r="CDM33" s="128"/>
      <c r="CDN33" s="128"/>
      <c r="CDO33" s="128"/>
      <c r="CDP33" s="128"/>
      <c r="CDQ33" s="128"/>
      <c r="CDR33" s="128"/>
      <c r="CDS33" s="128"/>
      <c r="CDT33" s="128"/>
      <c r="CDU33" s="128"/>
      <c r="CDV33" s="128"/>
      <c r="CDW33" s="128"/>
      <c r="CDX33" s="128"/>
      <c r="CDY33" s="128"/>
      <c r="CDZ33" s="128"/>
      <c r="CEA33" s="128"/>
      <c r="CEB33" s="128"/>
      <c r="CEC33" s="128"/>
      <c r="CED33" s="128"/>
      <c r="CEE33" s="128"/>
      <c r="CEF33" s="128"/>
      <c r="CEG33" s="128"/>
      <c r="CEH33" s="128"/>
      <c r="CEI33" s="128"/>
      <c r="CEJ33" s="128"/>
      <c r="CEK33" s="128"/>
      <c r="CEL33" s="128"/>
      <c r="CEM33" s="128"/>
      <c r="CEN33" s="128"/>
      <c r="CEO33" s="128"/>
      <c r="CEP33" s="128"/>
      <c r="CEQ33" s="128"/>
      <c r="CER33" s="128"/>
      <c r="CES33" s="128"/>
      <c r="CET33" s="128"/>
      <c r="CEU33" s="128"/>
      <c r="CEV33" s="128"/>
      <c r="CEW33" s="128"/>
      <c r="CEX33" s="128"/>
      <c r="CEY33" s="128"/>
      <c r="CEZ33" s="128"/>
      <c r="CFA33" s="128"/>
      <c r="CFB33" s="128"/>
      <c r="CFC33" s="128"/>
      <c r="CFD33" s="128"/>
      <c r="CFE33" s="128"/>
      <c r="CFF33" s="128"/>
      <c r="CFG33" s="128"/>
      <c r="CFH33" s="128"/>
      <c r="CFI33" s="128"/>
      <c r="CFJ33" s="128"/>
      <c r="CFK33" s="128"/>
      <c r="CFL33" s="128"/>
      <c r="CFM33" s="128"/>
      <c r="CFN33" s="128"/>
      <c r="CFO33" s="128"/>
      <c r="CFP33" s="128"/>
      <c r="CFQ33" s="128"/>
      <c r="CFR33" s="128"/>
      <c r="CFS33" s="128"/>
      <c r="CFT33" s="128"/>
      <c r="CFU33" s="128"/>
      <c r="CFV33" s="128"/>
      <c r="CFW33" s="128"/>
      <c r="CFX33" s="128"/>
      <c r="CFY33" s="128"/>
      <c r="CFZ33" s="128"/>
      <c r="CGA33" s="128"/>
      <c r="CGB33" s="128"/>
      <c r="CGC33" s="128"/>
      <c r="CGD33" s="128"/>
      <c r="CGE33" s="128"/>
      <c r="CGF33" s="128"/>
      <c r="CGG33" s="128"/>
      <c r="CGH33" s="128"/>
      <c r="CGI33" s="128"/>
      <c r="CGJ33" s="128"/>
      <c r="CGK33" s="128"/>
      <c r="CGL33" s="128"/>
      <c r="CGM33" s="128"/>
      <c r="CGN33" s="128"/>
      <c r="CGO33" s="128"/>
      <c r="CGP33" s="128"/>
      <c r="CGQ33" s="128"/>
      <c r="CGR33" s="128"/>
      <c r="CGS33" s="128"/>
      <c r="CGT33" s="128"/>
      <c r="CGU33" s="128"/>
      <c r="CGV33" s="128"/>
      <c r="CGW33" s="128"/>
      <c r="CGX33" s="128"/>
      <c r="CGY33" s="128"/>
      <c r="CGZ33" s="128"/>
      <c r="CHA33" s="128"/>
      <c r="CHB33" s="128"/>
      <c r="CHC33" s="128"/>
      <c r="CHD33" s="128"/>
      <c r="CHE33" s="128"/>
      <c r="CHF33" s="128"/>
      <c r="CHG33" s="128"/>
      <c r="CHH33" s="128"/>
      <c r="CHI33" s="128"/>
      <c r="CHJ33" s="128"/>
      <c r="CHK33" s="128"/>
      <c r="CHL33" s="128"/>
      <c r="CHM33" s="128"/>
      <c r="CHN33" s="128"/>
      <c r="CHO33" s="128"/>
      <c r="CHP33" s="128"/>
      <c r="CHQ33" s="128"/>
      <c r="CHR33" s="128"/>
      <c r="CHS33" s="128"/>
      <c r="CHT33" s="128"/>
      <c r="CHU33" s="128"/>
      <c r="CHV33" s="128"/>
      <c r="CHW33" s="128"/>
      <c r="CHX33" s="128"/>
      <c r="CHY33" s="128"/>
      <c r="CHZ33" s="128"/>
      <c r="CIA33" s="128"/>
      <c r="CIB33" s="128"/>
      <c r="CIC33" s="128"/>
      <c r="CID33" s="128"/>
      <c r="CIE33" s="128"/>
      <c r="CIF33" s="128"/>
      <c r="CIG33" s="128"/>
      <c r="CIH33" s="128"/>
      <c r="CII33" s="128"/>
      <c r="CIJ33" s="128"/>
      <c r="CIK33" s="128"/>
      <c r="CIL33" s="128"/>
      <c r="CIM33" s="128"/>
      <c r="CIN33" s="128"/>
      <c r="CIO33" s="128"/>
      <c r="CIP33" s="128"/>
      <c r="CIQ33" s="128"/>
      <c r="CIR33" s="128"/>
      <c r="CIS33" s="128"/>
      <c r="CIT33" s="128"/>
      <c r="CIU33" s="128"/>
      <c r="CIV33" s="128"/>
      <c r="CIW33" s="128"/>
      <c r="CIX33" s="128"/>
      <c r="CIY33" s="128"/>
      <c r="CIZ33" s="128"/>
      <c r="CJA33" s="128"/>
      <c r="CJB33" s="128"/>
      <c r="CJC33" s="128"/>
      <c r="CJD33" s="128"/>
      <c r="CJE33" s="128"/>
      <c r="CJF33" s="128"/>
      <c r="CJG33" s="128"/>
      <c r="CJH33" s="128"/>
      <c r="CJI33" s="128"/>
      <c r="CJJ33" s="128"/>
      <c r="CJK33" s="128"/>
      <c r="CJL33" s="128"/>
      <c r="CJM33" s="128"/>
      <c r="CJN33" s="128"/>
      <c r="CJO33" s="128"/>
      <c r="CJP33" s="128"/>
      <c r="CJQ33" s="128"/>
      <c r="CJR33" s="128"/>
      <c r="CJS33" s="128"/>
      <c r="CJT33" s="128"/>
      <c r="CJU33" s="128"/>
      <c r="CJV33" s="128"/>
      <c r="CJW33" s="128"/>
      <c r="CJX33" s="128"/>
      <c r="CJY33" s="128"/>
      <c r="CJZ33" s="128"/>
      <c r="CKA33" s="128"/>
      <c r="CKB33" s="128"/>
      <c r="CKC33" s="128"/>
      <c r="CKD33" s="128"/>
      <c r="CKE33" s="128"/>
      <c r="CKF33" s="128"/>
      <c r="CKG33" s="128"/>
      <c r="CKH33" s="128"/>
      <c r="CKI33" s="128"/>
      <c r="CKJ33" s="128"/>
      <c r="CKK33" s="128"/>
      <c r="CKL33" s="128"/>
      <c r="CKM33" s="128"/>
      <c r="CKN33" s="128"/>
      <c r="CKO33" s="128"/>
      <c r="CKP33" s="128"/>
      <c r="CKQ33" s="128"/>
      <c r="CKR33" s="128"/>
      <c r="CKS33" s="128"/>
      <c r="CKT33" s="128"/>
      <c r="CKU33" s="128"/>
      <c r="CKV33" s="128"/>
      <c r="CKW33" s="128"/>
      <c r="CKX33" s="128"/>
      <c r="CKY33" s="128"/>
      <c r="CKZ33" s="128"/>
      <c r="CLA33" s="128"/>
      <c r="CLB33" s="128"/>
      <c r="CLC33" s="128"/>
      <c r="CLD33" s="128"/>
      <c r="CLE33" s="128"/>
      <c r="CLF33" s="128"/>
      <c r="CLG33" s="128"/>
      <c r="CLH33" s="128"/>
      <c r="CLI33" s="128"/>
      <c r="CLJ33" s="128"/>
      <c r="CLK33" s="128"/>
      <c r="CLL33" s="128"/>
      <c r="CLM33" s="128"/>
      <c r="CLN33" s="128"/>
      <c r="CLO33" s="128"/>
      <c r="CLP33" s="128"/>
      <c r="CLQ33" s="128"/>
      <c r="CLR33" s="128"/>
      <c r="CLS33" s="128"/>
      <c r="CLT33" s="128"/>
      <c r="CLU33" s="128"/>
      <c r="CLV33" s="128"/>
      <c r="CLW33" s="128"/>
      <c r="CLX33" s="128"/>
      <c r="CLY33" s="128"/>
      <c r="CLZ33" s="128"/>
      <c r="CMA33" s="128"/>
      <c r="CMB33" s="128"/>
      <c r="CMC33" s="128"/>
      <c r="CMD33" s="128"/>
      <c r="CME33" s="128"/>
      <c r="CMF33" s="128"/>
      <c r="CMG33" s="128"/>
      <c r="CMH33" s="128"/>
      <c r="CMI33" s="128"/>
      <c r="CMJ33" s="128"/>
      <c r="CMK33" s="128"/>
      <c r="CML33" s="128"/>
      <c r="CMM33" s="128"/>
      <c r="CMN33" s="128"/>
      <c r="CMO33" s="128"/>
      <c r="CMP33" s="128"/>
      <c r="CMQ33" s="128"/>
      <c r="CMR33" s="128"/>
      <c r="CMS33" s="128"/>
      <c r="CMT33" s="128"/>
      <c r="CMU33" s="128"/>
      <c r="CMV33" s="128"/>
      <c r="CMW33" s="128"/>
      <c r="CMX33" s="128"/>
      <c r="CMY33" s="128"/>
      <c r="CMZ33" s="128"/>
      <c r="CNA33" s="128"/>
      <c r="CNB33" s="128"/>
      <c r="CNC33" s="128"/>
      <c r="CND33" s="128"/>
      <c r="CNE33" s="128"/>
      <c r="CNF33" s="128"/>
      <c r="CNG33" s="128"/>
      <c r="CNH33" s="128"/>
      <c r="CNI33" s="128"/>
      <c r="CNJ33" s="128"/>
      <c r="CNK33" s="128"/>
      <c r="CNL33" s="128"/>
      <c r="CNM33" s="128"/>
      <c r="CNN33" s="128"/>
      <c r="CNO33" s="128"/>
      <c r="CNP33" s="128"/>
      <c r="CNQ33" s="128"/>
      <c r="CNR33" s="128"/>
      <c r="CNS33" s="128"/>
      <c r="CNT33" s="128"/>
      <c r="CNU33" s="128"/>
      <c r="CNV33" s="128"/>
      <c r="CNW33" s="128"/>
      <c r="CNX33" s="128"/>
      <c r="CNY33" s="128"/>
      <c r="CNZ33" s="128"/>
      <c r="COA33" s="128"/>
      <c r="COB33" s="128"/>
      <c r="COC33" s="128"/>
      <c r="COD33" s="128"/>
      <c r="COE33" s="128"/>
      <c r="COF33" s="128"/>
      <c r="COG33" s="128"/>
      <c r="COH33" s="128"/>
      <c r="COI33" s="128"/>
      <c r="COJ33" s="128"/>
      <c r="COK33" s="128"/>
      <c r="COL33" s="128"/>
      <c r="COM33" s="128"/>
      <c r="CON33" s="128"/>
      <c r="COO33" s="128"/>
      <c r="COP33" s="128"/>
      <c r="COQ33" s="128"/>
      <c r="COR33" s="128"/>
      <c r="COS33" s="128"/>
      <c r="COT33" s="128"/>
      <c r="COU33" s="128"/>
      <c r="COV33" s="128"/>
      <c r="COW33" s="128"/>
      <c r="COX33" s="128"/>
      <c r="COY33" s="128"/>
      <c r="COZ33" s="128"/>
      <c r="CPA33" s="128"/>
      <c r="CPB33" s="128"/>
      <c r="CPC33" s="128"/>
      <c r="CPD33" s="128"/>
      <c r="CPE33" s="128"/>
      <c r="CPF33" s="128"/>
      <c r="CPG33" s="128"/>
      <c r="CPH33" s="128"/>
      <c r="CPI33" s="128"/>
      <c r="CPJ33" s="128"/>
      <c r="CPK33" s="128"/>
      <c r="CPL33" s="128"/>
      <c r="CPM33" s="128"/>
      <c r="CPN33" s="128"/>
      <c r="CPO33" s="128"/>
      <c r="CPP33" s="128"/>
      <c r="CPQ33" s="128"/>
      <c r="CPR33" s="128"/>
      <c r="CPS33" s="128"/>
      <c r="CPT33" s="128"/>
      <c r="CPU33" s="128"/>
      <c r="CPV33" s="128"/>
      <c r="CPW33" s="128"/>
      <c r="CPX33" s="128"/>
      <c r="CPY33" s="128"/>
      <c r="CPZ33" s="128"/>
      <c r="CQA33" s="128"/>
      <c r="CQB33" s="128"/>
      <c r="CQC33" s="128"/>
      <c r="CQD33" s="128"/>
      <c r="CQE33" s="128"/>
      <c r="CQF33" s="128"/>
      <c r="CQG33" s="128"/>
      <c r="CQH33" s="128"/>
      <c r="CQI33" s="128"/>
      <c r="CQJ33" s="128"/>
      <c r="CQK33" s="128"/>
      <c r="CQL33" s="128"/>
      <c r="CQM33" s="128"/>
      <c r="CQN33" s="128"/>
      <c r="CQO33" s="128"/>
      <c r="CQP33" s="128"/>
      <c r="CQQ33" s="128"/>
      <c r="CQR33" s="128"/>
      <c r="CQS33" s="128"/>
      <c r="CQT33" s="128"/>
      <c r="CQU33" s="128"/>
      <c r="CQV33" s="128"/>
      <c r="CQW33" s="128"/>
      <c r="CQX33" s="128"/>
      <c r="CQY33" s="128"/>
      <c r="CQZ33" s="128"/>
      <c r="CRA33" s="128"/>
      <c r="CRB33" s="128"/>
      <c r="CRC33" s="128"/>
      <c r="CRD33" s="128"/>
      <c r="CRE33" s="128"/>
      <c r="CRF33" s="128"/>
      <c r="CRG33" s="128"/>
      <c r="CRH33" s="128"/>
      <c r="CRI33" s="128"/>
      <c r="CRJ33" s="128"/>
      <c r="CRK33" s="128"/>
      <c r="CRL33" s="128"/>
      <c r="CRM33" s="128"/>
      <c r="CRN33" s="128"/>
      <c r="CRO33" s="128"/>
      <c r="CRP33" s="128"/>
      <c r="CRQ33" s="128"/>
      <c r="CRR33" s="128"/>
      <c r="CRS33" s="128"/>
      <c r="CRT33" s="128"/>
      <c r="CRU33" s="128"/>
      <c r="CRV33" s="128"/>
      <c r="CRW33" s="128"/>
      <c r="CRX33" s="128"/>
      <c r="CRY33" s="128"/>
      <c r="CRZ33" s="128"/>
      <c r="CSA33" s="128"/>
      <c r="CSB33" s="128"/>
      <c r="CSC33" s="128"/>
      <c r="CSD33" s="128"/>
      <c r="CSE33" s="128"/>
      <c r="CSF33" s="128"/>
      <c r="CSG33" s="128"/>
      <c r="CSH33" s="128"/>
      <c r="CSI33" s="128"/>
      <c r="CSJ33" s="128"/>
      <c r="CSK33" s="128"/>
      <c r="CSL33" s="128"/>
      <c r="CSM33" s="128"/>
      <c r="CSN33" s="128"/>
      <c r="CSO33" s="128"/>
      <c r="CSP33" s="128"/>
      <c r="CSQ33" s="128"/>
      <c r="CSR33" s="128"/>
      <c r="CSS33" s="128"/>
      <c r="CST33" s="128"/>
      <c r="CSU33" s="128"/>
      <c r="CSV33" s="128"/>
      <c r="CSW33" s="128"/>
      <c r="CSX33" s="128"/>
      <c r="CSY33" s="128"/>
      <c r="CSZ33" s="128"/>
      <c r="CTA33" s="128"/>
      <c r="CTB33" s="128"/>
      <c r="CTC33" s="128"/>
      <c r="CTD33" s="128"/>
      <c r="CTE33" s="128"/>
      <c r="CTF33" s="128"/>
      <c r="CTG33" s="128"/>
      <c r="CTH33" s="128"/>
      <c r="CTI33" s="128"/>
      <c r="CTJ33" s="128"/>
      <c r="CTK33" s="128"/>
      <c r="CTL33" s="128"/>
      <c r="CTM33" s="128"/>
      <c r="CTN33" s="128"/>
      <c r="CTO33" s="128"/>
      <c r="CTP33" s="128"/>
      <c r="CTQ33" s="128"/>
      <c r="CTR33" s="128"/>
      <c r="CTS33" s="128"/>
      <c r="CTT33" s="128"/>
      <c r="CTU33" s="128"/>
      <c r="CTV33" s="128"/>
      <c r="CTW33" s="128"/>
      <c r="CTX33" s="128"/>
      <c r="CTY33" s="128"/>
      <c r="CTZ33" s="128"/>
      <c r="CUA33" s="128"/>
      <c r="CUB33" s="128"/>
      <c r="CUC33" s="128"/>
      <c r="CUD33" s="128"/>
      <c r="CUE33" s="128"/>
      <c r="CUF33" s="128"/>
      <c r="CUG33" s="128"/>
      <c r="CUH33" s="128"/>
      <c r="CUI33" s="128"/>
      <c r="CUJ33" s="128"/>
      <c r="CUK33" s="128"/>
      <c r="CUL33" s="128"/>
      <c r="CUM33" s="128"/>
      <c r="CUN33" s="128"/>
      <c r="CUO33" s="128"/>
      <c r="CUP33" s="128"/>
      <c r="CUQ33" s="128"/>
      <c r="CUR33" s="128"/>
      <c r="CUS33" s="128"/>
      <c r="CUT33" s="128"/>
      <c r="CUU33" s="128"/>
      <c r="CUV33" s="128"/>
      <c r="CUW33" s="128"/>
      <c r="CUX33" s="128"/>
      <c r="CUY33" s="128"/>
      <c r="CUZ33" s="128"/>
      <c r="CVA33" s="128"/>
      <c r="CVB33" s="128"/>
      <c r="CVC33" s="128"/>
      <c r="CVD33" s="128"/>
      <c r="CVE33" s="128"/>
      <c r="CVF33" s="128"/>
      <c r="CVG33" s="128"/>
      <c r="CVH33" s="128"/>
      <c r="CVI33" s="128"/>
      <c r="CVJ33" s="128"/>
      <c r="CVK33" s="128"/>
      <c r="CVL33" s="128"/>
      <c r="CVM33" s="128"/>
      <c r="CVN33" s="128"/>
      <c r="CVO33" s="128"/>
      <c r="CVP33" s="128"/>
      <c r="CVQ33" s="128"/>
      <c r="CVR33" s="128"/>
      <c r="CVS33" s="128"/>
      <c r="CVT33" s="128"/>
      <c r="CVU33" s="128"/>
      <c r="CVV33" s="128"/>
      <c r="CVW33" s="128"/>
      <c r="CVX33" s="128"/>
      <c r="CVY33" s="128"/>
      <c r="CVZ33" s="128"/>
      <c r="CWA33" s="128"/>
      <c r="CWB33" s="128"/>
      <c r="CWC33" s="128"/>
      <c r="CWD33" s="128"/>
      <c r="CWE33" s="128"/>
      <c r="CWF33" s="128"/>
      <c r="CWG33" s="128"/>
      <c r="CWH33" s="128"/>
      <c r="CWI33" s="128"/>
      <c r="CWJ33" s="128"/>
      <c r="CWK33" s="128"/>
      <c r="CWL33" s="128"/>
      <c r="CWM33" s="128"/>
      <c r="CWN33" s="128"/>
      <c r="CWO33" s="128"/>
      <c r="CWP33" s="128"/>
      <c r="CWQ33" s="128"/>
      <c r="CWR33" s="128"/>
      <c r="CWS33" s="128"/>
      <c r="CWT33" s="128"/>
      <c r="CWU33" s="128"/>
      <c r="CWV33" s="128"/>
      <c r="CWW33" s="128"/>
      <c r="CWX33" s="128"/>
      <c r="CWY33" s="128"/>
      <c r="CWZ33" s="128"/>
      <c r="CXA33" s="128"/>
      <c r="CXB33" s="128"/>
      <c r="CXC33" s="128"/>
      <c r="CXD33" s="128"/>
      <c r="CXE33" s="128"/>
      <c r="CXF33" s="128"/>
      <c r="CXG33" s="128"/>
      <c r="CXH33" s="128"/>
      <c r="CXI33" s="128"/>
      <c r="CXJ33" s="128"/>
      <c r="CXK33" s="128"/>
      <c r="CXL33" s="128"/>
      <c r="CXM33" s="128"/>
      <c r="CXN33" s="128"/>
      <c r="CXO33" s="128"/>
      <c r="CXP33" s="128"/>
      <c r="CXQ33" s="128"/>
      <c r="CXR33" s="128"/>
      <c r="CXS33" s="128"/>
      <c r="CXT33" s="128"/>
      <c r="CXU33" s="128"/>
      <c r="CXV33" s="128"/>
      <c r="CXW33" s="128"/>
      <c r="CXX33" s="128"/>
      <c r="CXY33" s="128"/>
      <c r="CXZ33" s="128"/>
      <c r="CYA33" s="128"/>
      <c r="CYB33" s="128"/>
      <c r="CYC33" s="128"/>
      <c r="CYD33" s="128"/>
      <c r="CYE33" s="128"/>
      <c r="CYF33" s="128"/>
      <c r="CYG33" s="128"/>
      <c r="CYH33" s="128"/>
      <c r="CYI33" s="128"/>
      <c r="CYJ33" s="128"/>
      <c r="CYK33" s="128"/>
      <c r="CYL33" s="128"/>
      <c r="CYM33" s="128"/>
      <c r="CYN33" s="128"/>
      <c r="CYO33" s="128"/>
      <c r="CYP33" s="128"/>
      <c r="CYQ33" s="128"/>
      <c r="CYR33" s="128"/>
      <c r="CYS33" s="128"/>
      <c r="CYT33" s="128"/>
      <c r="CYU33" s="128"/>
      <c r="CYV33" s="128"/>
      <c r="CYW33" s="128"/>
      <c r="CYX33" s="128"/>
      <c r="CYY33" s="128"/>
      <c r="CYZ33" s="128"/>
      <c r="CZA33" s="128"/>
      <c r="CZB33" s="128"/>
      <c r="CZC33" s="128"/>
      <c r="CZD33" s="128"/>
      <c r="CZE33" s="128"/>
      <c r="CZF33" s="128"/>
      <c r="CZG33" s="128"/>
      <c r="CZH33" s="128"/>
      <c r="CZI33" s="128"/>
      <c r="CZJ33" s="128"/>
      <c r="CZK33" s="128"/>
      <c r="CZL33" s="128"/>
      <c r="CZM33" s="128"/>
      <c r="CZN33" s="128"/>
      <c r="CZO33" s="128"/>
      <c r="CZP33" s="128"/>
      <c r="CZQ33" s="128"/>
      <c r="CZR33" s="128"/>
      <c r="CZS33" s="128"/>
      <c r="CZT33" s="128"/>
      <c r="CZU33" s="128"/>
      <c r="CZV33" s="128"/>
      <c r="CZW33" s="128"/>
      <c r="CZX33" s="128"/>
      <c r="CZY33" s="128"/>
      <c r="CZZ33" s="128"/>
      <c r="DAA33" s="128"/>
      <c r="DAB33" s="128"/>
      <c r="DAC33" s="128"/>
      <c r="DAD33" s="128"/>
      <c r="DAE33" s="128"/>
      <c r="DAF33" s="128"/>
      <c r="DAG33" s="128"/>
      <c r="DAH33" s="128"/>
      <c r="DAI33" s="128"/>
      <c r="DAJ33" s="128"/>
      <c r="DAK33" s="128"/>
      <c r="DAL33" s="128"/>
      <c r="DAM33" s="128"/>
      <c r="DAN33" s="128"/>
      <c r="DAO33" s="128"/>
      <c r="DAP33" s="128"/>
      <c r="DAQ33" s="128"/>
      <c r="DAR33" s="128"/>
      <c r="DAS33" s="128"/>
      <c r="DAT33" s="128"/>
      <c r="DAU33" s="128"/>
      <c r="DAV33" s="128"/>
      <c r="DAW33" s="128"/>
      <c r="DAX33" s="128"/>
      <c r="DAY33" s="128"/>
      <c r="DAZ33" s="128"/>
      <c r="DBA33" s="128"/>
      <c r="DBB33" s="128"/>
      <c r="DBC33" s="128"/>
      <c r="DBD33" s="128"/>
      <c r="DBE33" s="128"/>
      <c r="DBF33" s="128"/>
      <c r="DBG33" s="128"/>
      <c r="DBH33" s="128"/>
      <c r="DBI33" s="128"/>
      <c r="DBJ33" s="128"/>
      <c r="DBK33" s="128"/>
      <c r="DBL33" s="128"/>
      <c r="DBM33" s="128"/>
      <c r="DBN33" s="128"/>
      <c r="DBO33" s="128"/>
      <c r="DBP33" s="128"/>
      <c r="DBQ33" s="128"/>
      <c r="DBR33" s="128"/>
      <c r="DBS33" s="128"/>
      <c r="DBT33" s="128"/>
      <c r="DBU33" s="128"/>
      <c r="DBV33" s="128"/>
      <c r="DBW33" s="128"/>
      <c r="DBX33" s="128"/>
      <c r="DBY33" s="128"/>
      <c r="DBZ33" s="128"/>
      <c r="DCA33" s="128"/>
      <c r="DCB33" s="128"/>
      <c r="DCC33" s="128"/>
      <c r="DCD33" s="128"/>
      <c r="DCE33" s="128"/>
      <c r="DCF33" s="128"/>
      <c r="DCG33" s="128"/>
      <c r="DCH33" s="128"/>
      <c r="DCI33" s="128"/>
      <c r="DCJ33" s="128"/>
      <c r="DCK33" s="128"/>
      <c r="DCL33" s="128"/>
      <c r="DCM33" s="128"/>
      <c r="DCN33" s="128"/>
      <c r="DCO33" s="128"/>
      <c r="DCP33" s="128"/>
      <c r="DCQ33" s="128"/>
      <c r="DCR33" s="128"/>
      <c r="DCS33" s="128"/>
      <c r="DCT33" s="128"/>
      <c r="DCU33" s="128"/>
      <c r="DCV33" s="128"/>
      <c r="DCW33" s="128"/>
      <c r="DCX33" s="128"/>
      <c r="DCY33" s="128"/>
      <c r="DCZ33" s="128"/>
      <c r="DDA33" s="128"/>
      <c r="DDB33" s="128"/>
      <c r="DDC33" s="128"/>
      <c r="DDD33" s="128"/>
      <c r="DDE33" s="128"/>
      <c r="DDF33" s="128"/>
      <c r="DDG33" s="128"/>
      <c r="DDH33" s="128"/>
      <c r="DDI33" s="128"/>
      <c r="DDJ33" s="128"/>
      <c r="DDK33" s="128"/>
      <c r="DDL33" s="128"/>
      <c r="DDM33" s="128"/>
      <c r="DDN33" s="128"/>
      <c r="DDO33" s="128"/>
      <c r="DDP33" s="128"/>
      <c r="DDQ33" s="128"/>
      <c r="DDR33" s="128"/>
      <c r="DDS33" s="128"/>
      <c r="DDT33" s="128"/>
      <c r="DDU33" s="128"/>
      <c r="DDV33" s="128"/>
      <c r="DDW33" s="128"/>
      <c r="DDX33" s="128"/>
      <c r="DDY33" s="128"/>
      <c r="DDZ33" s="128"/>
      <c r="DEA33" s="128"/>
      <c r="DEB33" s="128"/>
      <c r="DEC33" s="128"/>
      <c r="DED33" s="128"/>
      <c r="DEE33" s="128"/>
      <c r="DEF33" s="128"/>
      <c r="DEG33" s="128"/>
      <c r="DEH33" s="128"/>
      <c r="DEI33" s="128"/>
      <c r="DEJ33" s="128"/>
      <c r="DEK33" s="128"/>
      <c r="DEL33" s="128"/>
      <c r="DEM33" s="128"/>
      <c r="DEN33" s="128"/>
      <c r="DEO33" s="128"/>
      <c r="DEP33" s="128"/>
      <c r="DEQ33" s="128"/>
      <c r="DER33" s="128"/>
      <c r="DES33" s="128"/>
      <c r="DET33" s="128"/>
      <c r="DEU33" s="128"/>
      <c r="DEV33" s="128"/>
      <c r="DEW33" s="128"/>
      <c r="DEX33" s="128"/>
      <c r="DEY33" s="128"/>
      <c r="DEZ33" s="128"/>
      <c r="DFA33" s="128"/>
      <c r="DFB33" s="128"/>
      <c r="DFC33" s="128"/>
      <c r="DFD33" s="128"/>
      <c r="DFE33" s="128"/>
      <c r="DFF33" s="128"/>
      <c r="DFG33" s="128"/>
      <c r="DFH33" s="128"/>
      <c r="DFI33" s="128"/>
      <c r="DFJ33" s="128"/>
      <c r="DFK33" s="128"/>
      <c r="DFL33" s="128"/>
      <c r="DFM33" s="128"/>
      <c r="DFN33" s="128"/>
      <c r="DFO33" s="128"/>
      <c r="DFP33" s="128"/>
      <c r="DFQ33" s="128"/>
      <c r="DFR33" s="128"/>
      <c r="DFS33" s="128"/>
      <c r="DFT33" s="128"/>
      <c r="DFU33" s="128"/>
      <c r="DFV33" s="128"/>
      <c r="DFW33" s="128"/>
      <c r="DFX33" s="128"/>
      <c r="DFY33" s="128"/>
      <c r="DFZ33" s="128"/>
      <c r="DGA33" s="128"/>
      <c r="DGB33" s="128"/>
      <c r="DGC33" s="128"/>
      <c r="DGD33" s="128"/>
      <c r="DGE33" s="128"/>
      <c r="DGF33" s="128"/>
      <c r="DGG33" s="128"/>
      <c r="DGH33" s="128"/>
      <c r="DGI33" s="128"/>
      <c r="DGJ33" s="128"/>
      <c r="DGK33" s="128"/>
      <c r="DGL33" s="128"/>
      <c r="DGM33" s="128"/>
      <c r="DGN33" s="128"/>
      <c r="DGO33" s="128"/>
      <c r="DGP33" s="128"/>
      <c r="DGQ33" s="128"/>
      <c r="DGR33" s="128"/>
      <c r="DGS33" s="128"/>
      <c r="DGT33" s="128"/>
      <c r="DGU33" s="128"/>
      <c r="DGV33" s="128"/>
      <c r="DGW33" s="128"/>
      <c r="DGX33" s="128"/>
      <c r="DGY33" s="128"/>
      <c r="DGZ33" s="128"/>
      <c r="DHA33" s="128"/>
      <c r="DHB33" s="128"/>
      <c r="DHC33" s="128"/>
      <c r="DHD33" s="128"/>
      <c r="DHE33" s="128"/>
      <c r="DHF33" s="128"/>
      <c r="DHG33" s="128"/>
      <c r="DHH33" s="128"/>
      <c r="DHI33" s="128"/>
      <c r="DHJ33" s="128"/>
      <c r="DHK33" s="128"/>
      <c r="DHL33" s="128"/>
      <c r="DHM33" s="128"/>
      <c r="DHN33" s="128"/>
      <c r="DHO33" s="128"/>
      <c r="DHP33" s="128"/>
      <c r="DHQ33" s="128"/>
      <c r="DHR33" s="128"/>
      <c r="DHS33" s="128"/>
      <c r="DHT33" s="128"/>
      <c r="DHU33" s="128"/>
      <c r="DHV33" s="128"/>
      <c r="DHW33" s="128"/>
      <c r="DHX33" s="128"/>
      <c r="DHY33" s="128"/>
      <c r="DHZ33" s="128"/>
      <c r="DIA33" s="128"/>
      <c r="DIB33" s="128"/>
      <c r="DIC33" s="128"/>
    </row>
    <row r="34" spans="1:2941" s="167" customFormat="1" ht="12" x14ac:dyDescent="0.2">
      <c r="A34" s="164"/>
      <c r="B34" s="165"/>
      <c r="C34" s="165"/>
      <c r="D34" s="165"/>
      <c r="E34" s="165"/>
      <c r="F34" s="165"/>
      <c r="G34" s="165"/>
      <c r="H34" s="239"/>
      <c r="I34" s="166"/>
      <c r="J34" s="166"/>
      <c r="K34" s="166"/>
      <c r="L34" s="166"/>
      <c r="M34" s="166"/>
      <c r="N34" s="166"/>
      <c r="O34" s="199"/>
      <c r="P34" s="206"/>
      <c r="Q34" s="206"/>
      <c r="R34" s="206"/>
      <c r="S34" s="206"/>
      <c r="T34" s="206"/>
      <c r="U34" s="206"/>
      <c r="V34" s="206"/>
      <c r="W34" s="206"/>
      <c r="X34" s="206"/>
      <c r="Y34" s="206"/>
      <c r="Z34" s="206"/>
      <c r="AA34" s="206"/>
      <c r="AB34" s="206"/>
      <c r="AC34" s="206"/>
      <c r="AD34" s="206"/>
      <c r="AE34" s="206"/>
      <c r="AF34" s="206"/>
      <c r="AG34" s="206"/>
      <c r="AH34" s="206"/>
      <c r="AI34" s="206"/>
      <c r="AJ34" s="187"/>
      <c r="AK34" s="206"/>
      <c r="AL34" s="206"/>
      <c r="AM34" s="206"/>
      <c r="AN34" s="206"/>
      <c r="AO34" s="206"/>
      <c r="AP34" s="206"/>
      <c r="AQ34" s="206"/>
      <c r="AR34" s="206"/>
      <c r="AS34" s="206"/>
      <c r="AT34" s="206"/>
      <c r="AU34" s="206"/>
      <c r="AV34" s="206"/>
      <c r="AW34" s="206"/>
      <c r="AX34" s="206"/>
      <c r="AY34" s="206"/>
      <c r="AZ34" s="206"/>
      <c r="BA34" s="206"/>
      <c r="BB34" s="206"/>
      <c r="BC34" s="206"/>
      <c r="BD34" s="206"/>
      <c r="BE34" s="206"/>
      <c r="BF34" s="206"/>
      <c r="BG34" s="206"/>
      <c r="BH34" s="174"/>
      <c r="BI34" s="174"/>
      <c r="BJ34" s="174"/>
      <c r="BK34" s="174"/>
      <c r="BL34" s="174"/>
      <c r="BM34" s="174"/>
      <c r="BN34" s="174"/>
      <c r="BO34" s="174"/>
      <c r="BP34" s="174"/>
      <c r="BQ34" s="206"/>
      <c r="BR34" s="206"/>
      <c r="BS34" s="206"/>
      <c r="BT34" s="206"/>
      <c r="BU34" s="206"/>
      <c r="BV34" s="206"/>
      <c r="BW34" s="206"/>
      <c r="BX34" s="206"/>
      <c r="BY34" s="206"/>
      <c r="BZ34" s="206"/>
      <c r="CA34" s="206"/>
      <c r="CB34" s="206"/>
      <c r="CC34" s="206"/>
      <c r="CD34" s="206"/>
      <c r="CE34" s="206"/>
      <c r="CF34" s="206"/>
      <c r="CG34" s="206"/>
      <c r="CH34" s="206"/>
      <c r="CI34" s="206"/>
      <c r="CJ34" s="206"/>
      <c r="CK34" s="206"/>
      <c r="CL34" s="206"/>
      <c r="CM34" s="206"/>
      <c r="CN34" s="206"/>
      <c r="CO34" s="206"/>
      <c r="CP34" s="206"/>
      <c r="CQ34" s="206"/>
      <c r="CR34" s="206"/>
      <c r="CS34" s="206"/>
      <c r="CT34" s="206"/>
      <c r="CU34" s="206"/>
      <c r="CV34" s="206"/>
      <c r="CW34" s="206"/>
      <c r="CX34" s="206"/>
      <c r="CY34" s="206"/>
      <c r="CZ34" s="206"/>
      <c r="DA34" s="206"/>
      <c r="DB34" s="206"/>
      <c r="DC34" s="206"/>
      <c r="DD34" s="206"/>
      <c r="DE34" s="206"/>
      <c r="DF34" s="206"/>
      <c r="DG34" s="241"/>
      <c r="DH34" s="241"/>
      <c r="DI34" s="242"/>
      <c r="DJ34" s="242"/>
      <c r="DK34" s="128"/>
      <c r="DL34" s="128"/>
      <c r="DM34" s="128"/>
      <c r="DN34" s="128"/>
      <c r="DO34" s="128"/>
      <c r="DP34" s="128"/>
      <c r="DQ34" s="128"/>
      <c r="DR34" s="128"/>
      <c r="DS34" s="128"/>
      <c r="DT34" s="128"/>
      <c r="DU34" s="128"/>
      <c r="DV34" s="128"/>
      <c r="DW34" s="128"/>
      <c r="DX34" s="128"/>
      <c r="DY34" s="128"/>
      <c r="DZ34" s="128"/>
      <c r="EA34" s="128"/>
      <c r="EB34" s="128"/>
      <c r="EC34" s="128"/>
      <c r="ED34" s="128"/>
      <c r="EE34" s="128"/>
      <c r="EF34" s="128"/>
      <c r="EG34" s="128"/>
      <c r="EH34" s="128"/>
      <c r="EI34" s="128"/>
      <c r="EJ34" s="128"/>
      <c r="EK34" s="128"/>
      <c r="EL34" s="128"/>
      <c r="EM34" s="128"/>
      <c r="EN34" s="128"/>
      <c r="EO34" s="128"/>
      <c r="EP34" s="128"/>
      <c r="EQ34" s="128"/>
      <c r="ER34" s="128"/>
      <c r="ES34" s="128"/>
      <c r="ET34" s="128"/>
      <c r="EU34" s="128"/>
      <c r="EV34" s="128"/>
      <c r="EW34" s="128"/>
      <c r="EX34" s="128"/>
      <c r="EY34" s="128"/>
      <c r="EZ34" s="128"/>
      <c r="FA34" s="128"/>
      <c r="FB34" s="128"/>
      <c r="FC34" s="128"/>
      <c r="FD34" s="128"/>
      <c r="FE34" s="128"/>
      <c r="FF34" s="128"/>
      <c r="FG34" s="128"/>
      <c r="FH34" s="128"/>
      <c r="FI34" s="128"/>
      <c r="FJ34" s="128"/>
      <c r="FK34" s="128"/>
      <c r="FL34" s="128"/>
      <c r="FM34" s="128"/>
      <c r="FN34" s="128"/>
      <c r="FO34" s="128"/>
      <c r="FP34" s="128"/>
      <c r="FQ34" s="128"/>
      <c r="FR34" s="128"/>
      <c r="FS34" s="128"/>
      <c r="FT34" s="128"/>
      <c r="FU34" s="128"/>
      <c r="FV34" s="128"/>
      <c r="FW34" s="128"/>
      <c r="FX34" s="128"/>
      <c r="FY34" s="128"/>
      <c r="FZ34" s="128"/>
      <c r="GA34" s="128"/>
      <c r="GB34" s="128"/>
      <c r="GC34" s="128"/>
      <c r="GD34" s="128"/>
      <c r="GE34" s="128"/>
      <c r="GF34" s="128"/>
      <c r="GG34" s="128"/>
      <c r="GH34" s="128"/>
      <c r="GI34" s="128"/>
      <c r="GJ34" s="128"/>
      <c r="GK34" s="128"/>
      <c r="GL34" s="128"/>
      <c r="GM34" s="128"/>
      <c r="GN34" s="128"/>
      <c r="GO34" s="128"/>
      <c r="GP34" s="128"/>
      <c r="GQ34" s="128"/>
      <c r="GR34" s="128"/>
      <c r="GS34" s="128"/>
      <c r="GT34" s="128"/>
      <c r="GU34" s="128"/>
      <c r="GV34" s="128"/>
      <c r="GW34" s="128"/>
      <c r="GX34" s="128"/>
      <c r="GY34" s="128"/>
      <c r="GZ34" s="128"/>
      <c r="HA34" s="128"/>
      <c r="HB34" s="128"/>
      <c r="HC34" s="128"/>
      <c r="HD34" s="128"/>
      <c r="HE34" s="128"/>
      <c r="HF34" s="128"/>
      <c r="HG34" s="128"/>
      <c r="HH34" s="128"/>
      <c r="HI34" s="128"/>
      <c r="HJ34" s="128"/>
      <c r="HK34" s="128"/>
      <c r="HL34" s="128"/>
      <c r="HM34" s="128"/>
      <c r="HN34" s="128"/>
      <c r="HO34" s="128"/>
      <c r="HP34" s="128"/>
      <c r="HQ34" s="128"/>
      <c r="HR34" s="128"/>
      <c r="HS34" s="128"/>
      <c r="HT34" s="128"/>
      <c r="HU34" s="128"/>
      <c r="HV34" s="128"/>
      <c r="HW34" s="128"/>
      <c r="HX34" s="128"/>
      <c r="HY34" s="128"/>
      <c r="HZ34" s="128"/>
      <c r="IA34" s="128"/>
      <c r="IB34" s="128"/>
      <c r="IC34" s="128"/>
      <c r="ID34" s="128"/>
      <c r="IE34" s="128"/>
      <c r="IF34" s="128"/>
      <c r="IG34" s="128"/>
      <c r="IH34" s="128"/>
      <c r="II34" s="128"/>
      <c r="IJ34" s="128"/>
      <c r="IK34" s="128"/>
      <c r="IL34" s="128"/>
      <c r="IM34" s="128"/>
      <c r="IN34" s="128"/>
      <c r="IO34" s="128"/>
      <c r="IP34" s="128"/>
      <c r="IQ34" s="128"/>
      <c r="IR34" s="128"/>
      <c r="IS34" s="128"/>
      <c r="IT34" s="128"/>
      <c r="IU34" s="128"/>
      <c r="IV34" s="128"/>
      <c r="IW34" s="128"/>
      <c r="IX34" s="128"/>
      <c r="IY34" s="128"/>
      <c r="IZ34" s="128"/>
      <c r="JA34" s="128"/>
      <c r="JB34" s="128"/>
      <c r="JC34" s="128"/>
      <c r="JD34" s="128"/>
      <c r="JE34" s="128"/>
      <c r="JF34" s="128"/>
      <c r="JG34" s="128"/>
      <c r="JH34" s="128"/>
      <c r="JI34" s="128"/>
      <c r="JJ34" s="128"/>
      <c r="JK34" s="128"/>
      <c r="JL34" s="128"/>
      <c r="JM34" s="128"/>
      <c r="JN34" s="128"/>
      <c r="JO34" s="128"/>
      <c r="JP34" s="128"/>
      <c r="JQ34" s="128"/>
      <c r="JR34" s="128"/>
      <c r="JS34" s="128"/>
      <c r="JT34" s="128"/>
      <c r="JU34" s="128"/>
      <c r="JV34" s="128"/>
      <c r="JW34" s="128"/>
      <c r="JX34" s="128"/>
      <c r="JY34" s="128"/>
      <c r="JZ34" s="128"/>
      <c r="KA34" s="128"/>
      <c r="KB34" s="128"/>
      <c r="KC34" s="128"/>
      <c r="KD34" s="128"/>
      <c r="KE34" s="128"/>
      <c r="KF34" s="128"/>
      <c r="KG34" s="128"/>
      <c r="KH34" s="128"/>
      <c r="KI34" s="128"/>
      <c r="KJ34" s="128"/>
      <c r="KK34" s="128"/>
      <c r="KL34" s="128"/>
      <c r="KM34" s="128"/>
      <c r="KN34" s="128"/>
      <c r="KO34" s="128"/>
      <c r="KP34" s="128"/>
      <c r="KQ34" s="128"/>
      <c r="KR34" s="128"/>
      <c r="KS34" s="128"/>
      <c r="KT34" s="128"/>
      <c r="KU34" s="128"/>
      <c r="KV34" s="128"/>
      <c r="KW34" s="128"/>
      <c r="KX34" s="128"/>
      <c r="KY34" s="128"/>
      <c r="KZ34" s="128"/>
      <c r="LA34" s="128"/>
      <c r="LB34" s="128"/>
      <c r="LC34" s="128"/>
      <c r="LD34" s="128"/>
      <c r="LE34" s="128"/>
      <c r="LF34" s="128"/>
      <c r="LG34" s="128"/>
      <c r="LH34" s="128"/>
      <c r="LI34" s="128"/>
      <c r="LJ34" s="128"/>
      <c r="LK34" s="128"/>
      <c r="LL34" s="128"/>
      <c r="LM34" s="128"/>
      <c r="LN34" s="128"/>
      <c r="LO34" s="128"/>
      <c r="LP34" s="128"/>
      <c r="LQ34" s="128"/>
      <c r="LR34" s="128"/>
      <c r="LS34" s="128"/>
      <c r="LT34" s="128"/>
      <c r="LU34" s="128"/>
      <c r="LV34" s="128"/>
      <c r="LW34" s="128"/>
      <c r="LX34" s="128"/>
      <c r="LY34" s="128"/>
      <c r="LZ34" s="128"/>
      <c r="MA34" s="128"/>
      <c r="MB34" s="128"/>
      <c r="MC34" s="128"/>
      <c r="MD34" s="128"/>
      <c r="ME34" s="128"/>
      <c r="MF34" s="128"/>
      <c r="MG34" s="128"/>
      <c r="MH34" s="128"/>
      <c r="MI34" s="128"/>
      <c r="MJ34" s="128"/>
      <c r="MK34" s="128"/>
      <c r="ML34" s="128"/>
      <c r="MM34" s="128"/>
      <c r="MN34" s="128"/>
      <c r="MO34" s="128"/>
      <c r="MP34" s="128"/>
      <c r="MQ34" s="128"/>
      <c r="MR34" s="128"/>
      <c r="MS34" s="128"/>
      <c r="MT34" s="128"/>
      <c r="MU34" s="128"/>
      <c r="MV34" s="128"/>
      <c r="MW34" s="128"/>
      <c r="MX34" s="128"/>
      <c r="MY34" s="128"/>
      <c r="MZ34" s="128"/>
      <c r="NA34" s="128"/>
      <c r="NB34" s="128"/>
      <c r="NC34" s="128"/>
      <c r="ND34" s="128"/>
      <c r="NE34" s="128"/>
      <c r="NF34" s="128"/>
      <c r="NG34" s="128"/>
      <c r="NH34" s="128"/>
      <c r="NI34" s="128"/>
      <c r="NJ34" s="128"/>
      <c r="NK34" s="128"/>
      <c r="NL34" s="128"/>
      <c r="NM34" s="128"/>
      <c r="NN34" s="128"/>
      <c r="NO34" s="128"/>
      <c r="NP34" s="128"/>
      <c r="NQ34" s="128"/>
      <c r="NR34" s="128"/>
      <c r="NS34" s="128"/>
      <c r="NT34" s="128"/>
      <c r="NU34" s="128"/>
      <c r="NV34" s="128"/>
      <c r="NW34" s="128"/>
      <c r="NX34" s="128"/>
      <c r="NY34" s="128"/>
      <c r="NZ34" s="128"/>
      <c r="OA34" s="128"/>
      <c r="OB34" s="128"/>
      <c r="OC34" s="128"/>
      <c r="OD34" s="128"/>
      <c r="OE34" s="128"/>
      <c r="OF34" s="128"/>
      <c r="OG34" s="128"/>
      <c r="OH34" s="128"/>
      <c r="OI34" s="128"/>
      <c r="OJ34" s="128"/>
      <c r="OK34" s="128"/>
      <c r="OL34" s="128"/>
      <c r="OM34" s="128"/>
      <c r="ON34" s="128"/>
      <c r="OO34" s="128"/>
      <c r="OP34" s="128"/>
      <c r="OQ34" s="128"/>
      <c r="OR34" s="128"/>
      <c r="OS34" s="128"/>
      <c r="OT34" s="128"/>
      <c r="OU34" s="128"/>
      <c r="OV34" s="128"/>
      <c r="OW34" s="128"/>
      <c r="OX34" s="128"/>
      <c r="OY34" s="128"/>
      <c r="OZ34" s="128"/>
      <c r="PA34" s="128"/>
      <c r="PB34" s="128"/>
      <c r="PC34" s="128"/>
      <c r="PD34" s="128"/>
      <c r="PE34" s="128"/>
      <c r="PF34" s="128"/>
      <c r="PG34" s="128"/>
      <c r="PH34" s="128"/>
      <c r="PI34" s="128"/>
      <c r="PJ34" s="128"/>
      <c r="PK34" s="128"/>
      <c r="PL34" s="128"/>
      <c r="PM34" s="128"/>
      <c r="PN34" s="128"/>
      <c r="PO34" s="128"/>
      <c r="PP34" s="128"/>
      <c r="PQ34" s="128"/>
      <c r="PR34" s="128"/>
      <c r="PS34" s="128"/>
      <c r="PT34" s="128"/>
      <c r="PU34" s="128"/>
      <c r="PV34" s="128"/>
      <c r="PW34" s="128"/>
      <c r="PX34" s="128"/>
      <c r="PY34" s="128"/>
      <c r="PZ34" s="128"/>
      <c r="QA34" s="128"/>
      <c r="QB34" s="128"/>
      <c r="QC34" s="128"/>
      <c r="QD34" s="128"/>
      <c r="QE34" s="128"/>
      <c r="QF34" s="128"/>
      <c r="QG34" s="128"/>
      <c r="QH34" s="128"/>
      <c r="QI34" s="128"/>
      <c r="QJ34" s="128"/>
      <c r="QK34" s="128"/>
      <c r="QL34" s="128"/>
      <c r="QM34" s="128"/>
      <c r="QN34" s="128"/>
      <c r="QO34" s="128"/>
      <c r="QP34" s="128"/>
      <c r="QQ34" s="128"/>
      <c r="QR34" s="128"/>
      <c r="QS34" s="128"/>
      <c r="QT34" s="128"/>
      <c r="QU34" s="128"/>
      <c r="QV34" s="128"/>
      <c r="QW34" s="128"/>
      <c r="QX34" s="128"/>
      <c r="QY34" s="128"/>
      <c r="QZ34" s="128"/>
      <c r="RA34" s="128"/>
      <c r="RB34" s="128"/>
      <c r="RC34" s="128"/>
      <c r="RD34" s="128"/>
      <c r="RE34" s="128"/>
      <c r="RF34" s="128"/>
      <c r="RG34" s="128"/>
      <c r="RH34" s="128"/>
      <c r="RI34" s="128"/>
      <c r="RJ34" s="128"/>
      <c r="RK34" s="128"/>
      <c r="RL34" s="128"/>
      <c r="RM34" s="128"/>
      <c r="RN34" s="128"/>
      <c r="RO34" s="128"/>
      <c r="RP34" s="128"/>
      <c r="RQ34" s="128"/>
      <c r="RR34" s="128"/>
      <c r="RS34" s="128"/>
      <c r="RT34" s="128"/>
      <c r="RU34" s="128"/>
      <c r="RV34" s="128"/>
      <c r="RW34" s="128"/>
      <c r="RX34" s="128"/>
      <c r="RY34" s="128"/>
      <c r="RZ34" s="128"/>
      <c r="SA34" s="128"/>
      <c r="SB34" s="128"/>
      <c r="SC34" s="128"/>
      <c r="SD34" s="128"/>
      <c r="SE34" s="128"/>
      <c r="SF34" s="128"/>
      <c r="SG34" s="128"/>
      <c r="SH34" s="128"/>
      <c r="SI34" s="128"/>
      <c r="SJ34" s="128"/>
      <c r="SK34" s="128"/>
      <c r="SL34" s="128"/>
      <c r="SM34" s="128"/>
      <c r="SN34" s="128"/>
      <c r="SO34" s="128"/>
      <c r="SP34" s="128"/>
      <c r="SQ34" s="128"/>
      <c r="SR34" s="128"/>
      <c r="SS34" s="128"/>
      <c r="ST34" s="128"/>
      <c r="SU34" s="128"/>
      <c r="SV34" s="128"/>
      <c r="SW34" s="128"/>
      <c r="SX34" s="128"/>
      <c r="SY34" s="128"/>
      <c r="SZ34" s="128"/>
      <c r="TA34" s="128"/>
      <c r="TB34" s="128"/>
      <c r="TC34" s="128"/>
      <c r="TD34" s="128"/>
      <c r="TE34" s="128"/>
      <c r="TF34" s="128"/>
      <c r="TG34" s="128"/>
      <c r="TH34" s="128"/>
      <c r="TI34" s="128"/>
      <c r="TJ34" s="128"/>
      <c r="TK34" s="128"/>
      <c r="TL34" s="128"/>
      <c r="TM34" s="128"/>
      <c r="TN34" s="128"/>
      <c r="TO34" s="128"/>
      <c r="TP34" s="128"/>
      <c r="TQ34" s="128"/>
      <c r="TR34" s="128"/>
      <c r="TS34" s="128"/>
      <c r="TT34" s="128"/>
      <c r="TU34" s="128"/>
      <c r="TV34" s="128"/>
      <c r="TW34" s="128"/>
      <c r="TX34" s="128"/>
      <c r="TY34" s="128"/>
      <c r="TZ34" s="128"/>
      <c r="UA34" s="128"/>
      <c r="UB34" s="128"/>
      <c r="UC34" s="128"/>
      <c r="UD34" s="128"/>
      <c r="UE34" s="128"/>
      <c r="UF34" s="128"/>
      <c r="UG34" s="128"/>
      <c r="UH34" s="128"/>
      <c r="UI34" s="128"/>
      <c r="UJ34" s="128"/>
      <c r="UK34" s="128"/>
      <c r="UL34" s="128"/>
      <c r="UM34" s="128"/>
      <c r="UN34" s="128"/>
      <c r="UO34" s="128"/>
      <c r="UP34" s="128"/>
      <c r="UQ34" s="128"/>
      <c r="UR34" s="128"/>
      <c r="US34" s="128"/>
      <c r="UT34" s="128"/>
      <c r="UU34" s="128"/>
      <c r="UV34" s="128"/>
      <c r="UW34" s="128"/>
      <c r="UX34" s="128"/>
      <c r="UY34" s="128"/>
      <c r="UZ34" s="128"/>
      <c r="VA34" s="128"/>
      <c r="VB34" s="128"/>
      <c r="VC34" s="128"/>
      <c r="VD34" s="128"/>
      <c r="VE34" s="128"/>
      <c r="VF34" s="128"/>
      <c r="VG34" s="128"/>
      <c r="VH34" s="128"/>
      <c r="VI34" s="128"/>
      <c r="VJ34" s="128"/>
      <c r="VK34" s="128"/>
      <c r="VL34" s="128"/>
      <c r="VM34" s="128"/>
      <c r="VN34" s="128"/>
      <c r="VO34" s="128"/>
      <c r="VP34" s="128"/>
      <c r="VQ34" s="128"/>
      <c r="VR34" s="128"/>
      <c r="VS34" s="128"/>
      <c r="VT34" s="128"/>
      <c r="VU34" s="128"/>
      <c r="VV34" s="128"/>
      <c r="VW34" s="128"/>
      <c r="VX34" s="128"/>
      <c r="VY34" s="128"/>
      <c r="VZ34" s="128"/>
      <c r="WA34" s="128"/>
      <c r="WB34" s="128"/>
      <c r="WC34" s="128"/>
      <c r="WD34" s="128"/>
      <c r="WE34" s="128"/>
      <c r="WF34" s="128"/>
      <c r="WG34" s="128"/>
      <c r="WH34" s="128"/>
      <c r="WI34" s="128"/>
      <c r="WJ34" s="128"/>
      <c r="WK34" s="128"/>
      <c r="WL34" s="128"/>
      <c r="WM34" s="128"/>
      <c r="WN34" s="128"/>
      <c r="WO34" s="128"/>
      <c r="WP34" s="128"/>
      <c r="WQ34" s="128"/>
      <c r="WR34" s="128"/>
      <c r="WS34" s="128"/>
      <c r="WT34" s="128"/>
      <c r="WU34" s="128"/>
      <c r="WV34" s="128"/>
      <c r="WW34" s="128"/>
      <c r="WX34" s="128"/>
      <c r="WY34" s="128"/>
      <c r="WZ34" s="128"/>
      <c r="XA34" s="128"/>
      <c r="XB34" s="128"/>
      <c r="XC34" s="128"/>
      <c r="XD34" s="128"/>
      <c r="XE34" s="128"/>
      <c r="XF34" s="128"/>
      <c r="XG34" s="128"/>
      <c r="XH34" s="128"/>
      <c r="XI34" s="128"/>
      <c r="XJ34" s="128"/>
      <c r="XK34" s="128"/>
      <c r="XL34" s="128"/>
      <c r="XM34" s="128"/>
      <c r="XN34" s="128"/>
      <c r="XO34" s="128"/>
      <c r="XP34" s="128"/>
      <c r="XQ34" s="128"/>
      <c r="XR34" s="128"/>
      <c r="XS34" s="128"/>
      <c r="XT34" s="128"/>
      <c r="XU34" s="128"/>
      <c r="XV34" s="128"/>
      <c r="XW34" s="128"/>
      <c r="XX34" s="128"/>
      <c r="XY34" s="128"/>
      <c r="XZ34" s="128"/>
      <c r="YA34" s="128"/>
      <c r="YB34" s="128"/>
      <c r="YC34" s="128"/>
      <c r="YD34" s="128"/>
      <c r="YE34" s="128"/>
      <c r="YF34" s="128"/>
      <c r="YG34" s="128"/>
      <c r="YH34" s="128"/>
      <c r="YI34" s="128"/>
      <c r="YJ34" s="128"/>
      <c r="YK34" s="128"/>
      <c r="YL34" s="128"/>
      <c r="YM34" s="128"/>
      <c r="YN34" s="128"/>
      <c r="YO34" s="128"/>
      <c r="YP34" s="128"/>
      <c r="YQ34" s="128"/>
      <c r="YR34" s="128"/>
      <c r="YS34" s="128"/>
      <c r="YT34" s="128"/>
      <c r="YU34" s="128"/>
      <c r="YV34" s="128"/>
      <c r="YW34" s="128"/>
      <c r="YX34" s="128"/>
      <c r="YY34" s="128"/>
      <c r="YZ34" s="128"/>
      <c r="ZA34" s="128"/>
      <c r="ZB34" s="128"/>
      <c r="ZC34" s="128"/>
      <c r="ZD34" s="128"/>
      <c r="ZE34" s="128"/>
      <c r="ZF34" s="128"/>
      <c r="ZG34" s="128"/>
      <c r="ZH34" s="128"/>
      <c r="ZI34" s="128"/>
      <c r="ZJ34" s="128"/>
      <c r="ZK34" s="128"/>
      <c r="ZL34" s="128"/>
      <c r="ZM34" s="128"/>
      <c r="ZN34" s="128"/>
      <c r="ZO34" s="128"/>
      <c r="ZP34" s="128"/>
      <c r="ZQ34" s="128"/>
      <c r="ZR34" s="128"/>
      <c r="ZS34" s="128"/>
      <c r="ZT34" s="128"/>
      <c r="ZU34" s="128"/>
      <c r="ZV34" s="128"/>
      <c r="ZW34" s="128"/>
      <c r="ZX34" s="128"/>
      <c r="ZY34" s="128"/>
      <c r="ZZ34" s="128"/>
      <c r="AAA34" s="128"/>
      <c r="AAB34" s="128"/>
      <c r="AAC34" s="128"/>
      <c r="AAD34" s="128"/>
      <c r="AAE34" s="128"/>
      <c r="AAF34" s="128"/>
      <c r="AAG34" s="128"/>
      <c r="AAH34" s="128"/>
      <c r="AAI34" s="128"/>
      <c r="AAJ34" s="128"/>
      <c r="AAK34" s="128"/>
      <c r="AAL34" s="128"/>
      <c r="AAM34" s="128"/>
      <c r="AAN34" s="128"/>
      <c r="AAO34" s="128"/>
      <c r="AAP34" s="128"/>
      <c r="AAQ34" s="128"/>
      <c r="AAR34" s="128"/>
      <c r="AAS34" s="128"/>
      <c r="AAT34" s="128"/>
      <c r="AAU34" s="128"/>
      <c r="AAV34" s="128"/>
      <c r="AAW34" s="128"/>
      <c r="AAX34" s="128"/>
      <c r="AAY34" s="128"/>
      <c r="AAZ34" s="128"/>
      <c r="ABA34" s="128"/>
      <c r="ABB34" s="128"/>
      <c r="ABC34" s="128"/>
      <c r="ABD34" s="128"/>
      <c r="ABE34" s="128"/>
      <c r="ABF34" s="128"/>
      <c r="ABG34" s="128"/>
      <c r="ABH34" s="128"/>
      <c r="ABI34" s="128"/>
      <c r="ABJ34" s="128"/>
      <c r="ABK34" s="128"/>
      <c r="ABL34" s="128"/>
      <c r="ABM34" s="128"/>
      <c r="ABN34" s="128"/>
      <c r="ABO34" s="128"/>
      <c r="ABP34" s="128"/>
      <c r="ABQ34" s="128"/>
      <c r="ABR34" s="128"/>
      <c r="ABS34" s="128"/>
      <c r="ABT34" s="128"/>
      <c r="ABU34" s="128"/>
      <c r="ABV34" s="128"/>
      <c r="ABW34" s="128"/>
      <c r="ABX34" s="128"/>
      <c r="ABY34" s="128"/>
      <c r="ABZ34" s="128"/>
      <c r="ACA34" s="128"/>
      <c r="ACB34" s="128"/>
      <c r="ACC34" s="128"/>
      <c r="ACD34" s="128"/>
      <c r="ACE34" s="128"/>
      <c r="ACF34" s="128"/>
      <c r="ACG34" s="128"/>
      <c r="ACH34" s="128"/>
      <c r="ACI34" s="128"/>
      <c r="ACJ34" s="128"/>
      <c r="ACK34" s="128"/>
      <c r="ACL34" s="128"/>
      <c r="ACM34" s="128"/>
      <c r="ACN34" s="128"/>
      <c r="ACO34" s="128"/>
      <c r="ACP34" s="128"/>
      <c r="ACQ34" s="128"/>
      <c r="ACR34" s="128"/>
      <c r="ACS34" s="128"/>
      <c r="ACT34" s="128"/>
      <c r="ACU34" s="128"/>
      <c r="ACV34" s="128"/>
      <c r="ACW34" s="128"/>
      <c r="ACX34" s="128"/>
      <c r="ACY34" s="128"/>
      <c r="ACZ34" s="128"/>
      <c r="ADA34" s="128"/>
      <c r="ADB34" s="128"/>
      <c r="ADC34" s="128"/>
      <c r="ADD34" s="128"/>
      <c r="ADE34" s="128"/>
      <c r="ADF34" s="128"/>
      <c r="ADG34" s="128"/>
      <c r="ADH34" s="128"/>
      <c r="ADI34" s="128"/>
      <c r="ADJ34" s="128"/>
      <c r="ADK34" s="128"/>
      <c r="ADL34" s="128"/>
      <c r="ADM34" s="128"/>
      <c r="ADN34" s="128"/>
      <c r="ADO34" s="128"/>
      <c r="ADP34" s="128"/>
      <c r="ADQ34" s="128"/>
      <c r="ADR34" s="128"/>
      <c r="ADS34" s="128"/>
      <c r="ADT34" s="128"/>
      <c r="ADU34" s="128"/>
      <c r="ADV34" s="128"/>
      <c r="ADW34" s="128"/>
      <c r="ADX34" s="128"/>
      <c r="ADY34" s="128"/>
      <c r="ADZ34" s="128"/>
      <c r="AEA34" s="128"/>
      <c r="AEB34" s="128"/>
      <c r="AEC34" s="128"/>
      <c r="AED34" s="128"/>
      <c r="AEE34" s="128"/>
      <c r="AEF34" s="128"/>
      <c r="AEG34" s="128"/>
      <c r="AEH34" s="128"/>
      <c r="AEI34" s="128"/>
      <c r="AEJ34" s="128"/>
      <c r="AEK34" s="128"/>
      <c r="AEL34" s="128"/>
      <c r="AEM34" s="128"/>
      <c r="AEN34" s="128"/>
      <c r="AEO34" s="128"/>
      <c r="AEP34" s="128"/>
      <c r="AEQ34" s="128"/>
      <c r="AER34" s="128"/>
      <c r="AES34" s="128"/>
      <c r="AET34" s="128"/>
      <c r="AEU34" s="128"/>
      <c r="AEV34" s="128"/>
      <c r="AEW34" s="128"/>
      <c r="AEX34" s="128"/>
      <c r="AEY34" s="128"/>
      <c r="AEZ34" s="128"/>
      <c r="AFA34" s="128"/>
      <c r="AFB34" s="128"/>
      <c r="AFC34" s="128"/>
      <c r="AFD34" s="128"/>
      <c r="AFE34" s="128"/>
      <c r="AFF34" s="128"/>
      <c r="AFG34" s="128"/>
      <c r="AFH34" s="128"/>
      <c r="AFI34" s="128"/>
      <c r="AFJ34" s="128"/>
      <c r="AFK34" s="128"/>
      <c r="AFL34" s="128"/>
      <c r="AFM34" s="128"/>
      <c r="AFN34" s="128"/>
      <c r="AFO34" s="128"/>
      <c r="AFP34" s="128"/>
      <c r="AFQ34" s="128"/>
      <c r="AFR34" s="128"/>
      <c r="AFS34" s="128"/>
      <c r="AFT34" s="128"/>
      <c r="AFU34" s="128"/>
      <c r="AFV34" s="128"/>
      <c r="AFW34" s="128"/>
      <c r="AFX34" s="128"/>
      <c r="AFY34" s="128"/>
      <c r="AFZ34" s="128"/>
      <c r="AGA34" s="128"/>
      <c r="AGB34" s="128"/>
      <c r="AGC34" s="128"/>
      <c r="AGD34" s="128"/>
      <c r="AGE34" s="128"/>
      <c r="AGF34" s="128"/>
      <c r="AGG34" s="128"/>
      <c r="AGH34" s="128"/>
      <c r="AGI34" s="128"/>
      <c r="AGJ34" s="128"/>
      <c r="AGK34" s="128"/>
      <c r="AGL34" s="128"/>
      <c r="AGM34" s="128"/>
      <c r="AGN34" s="128"/>
      <c r="AGO34" s="128"/>
      <c r="AGP34" s="128"/>
      <c r="AGQ34" s="128"/>
      <c r="AGR34" s="128"/>
      <c r="AGS34" s="128"/>
      <c r="AGT34" s="128"/>
      <c r="AGU34" s="128"/>
      <c r="AGV34" s="128"/>
      <c r="AGW34" s="128"/>
      <c r="AGX34" s="128"/>
      <c r="AGY34" s="128"/>
      <c r="AGZ34" s="128"/>
      <c r="AHA34" s="128"/>
      <c r="AHB34" s="128"/>
      <c r="AHC34" s="128"/>
      <c r="AHD34" s="128"/>
      <c r="AHE34" s="128"/>
      <c r="AHF34" s="128"/>
      <c r="AHG34" s="128"/>
      <c r="AHH34" s="128"/>
      <c r="AHI34" s="128"/>
      <c r="AHJ34" s="128"/>
      <c r="AHK34" s="128"/>
      <c r="AHL34" s="128"/>
      <c r="AHM34" s="128"/>
      <c r="AHN34" s="128"/>
      <c r="AHO34" s="128"/>
      <c r="AHP34" s="128"/>
      <c r="AHQ34" s="128"/>
      <c r="AHR34" s="128"/>
      <c r="AHS34" s="128"/>
      <c r="AHT34" s="128"/>
      <c r="AHU34" s="128"/>
      <c r="AHV34" s="128"/>
      <c r="AHW34" s="128"/>
      <c r="AHX34" s="128"/>
      <c r="AHY34" s="128"/>
      <c r="AHZ34" s="128"/>
      <c r="AIA34" s="128"/>
      <c r="AIB34" s="128"/>
      <c r="AIC34" s="128"/>
      <c r="AID34" s="128"/>
      <c r="AIE34" s="128"/>
      <c r="AIF34" s="128"/>
      <c r="AIG34" s="128"/>
      <c r="AIH34" s="128"/>
      <c r="AII34" s="128"/>
      <c r="AIJ34" s="128"/>
      <c r="AIK34" s="128"/>
      <c r="AIL34" s="128"/>
      <c r="AIM34" s="128"/>
      <c r="AIN34" s="128"/>
      <c r="AIO34" s="128"/>
      <c r="AIP34" s="128"/>
      <c r="AIQ34" s="128"/>
      <c r="AIR34" s="128"/>
      <c r="AIS34" s="128"/>
      <c r="AIT34" s="128"/>
      <c r="AIU34" s="128"/>
      <c r="AIV34" s="128"/>
      <c r="AIW34" s="128"/>
      <c r="AIX34" s="128"/>
      <c r="AIY34" s="128"/>
      <c r="AIZ34" s="128"/>
      <c r="AJA34" s="128"/>
      <c r="AJB34" s="128"/>
      <c r="AJC34" s="128"/>
      <c r="AJD34" s="128"/>
      <c r="AJE34" s="128"/>
      <c r="AJF34" s="128"/>
      <c r="AJG34" s="128"/>
      <c r="AJH34" s="128"/>
      <c r="AJI34" s="128"/>
      <c r="AJJ34" s="128"/>
      <c r="AJK34" s="128"/>
      <c r="AJL34" s="128"/>
      <c r="AJM34" s="128"/>
      <c r="AJN34" s="128"/>
      <c r="AJO34" s="128"/>
      <c r="AJP34" s="128"/>
      <c r="AJQ34" s="128"/>
      <c r="AJR34" s="128"/>
      <c r="AJS34" s="128"/>
      <c r="AJT34" s="128"/>
      <c r="AJU34" s="128"/>
      <c r="AJV34" s="128"/>
      <c r="AJW34" s="128"/>
      <c r="AJX34" s="128"/>
      <c r="AJY34" s="128"/>
      <c r="AJZ34" s="128"/>
      <c r="AKA34" s="128"/>
      <c r="AKB34" s="128"/>
      <c r="AKC34" s="128"/>
      <c r="AKD34" s="128"/>
      <c r="AKE34" s="128"/>
      <c r="AKF34" s="128"/>
      <c r="AKG34" s="128"/>
      <c r="AKH34" s="128"/>
      <c r="AKI34" s="128"/>
      <c r="AKJ34" s="128"/>
      <c r="AKK34" s="128"/>
      <c r="AKL34" s="128"/>
      <c r="AKM34" s="128"/>
      <c r="AKN34" s="128"/>
      <c r="AKO34" s="128"/>
      <c r="AKP34" s="128"/>
      <c r="AKQ34" s="128"/>
      <c r="AKR34" s="128"/>
      <c r="AKS34" s="128"/>
      <c r="AKT34" s="128"/>
      <c r="AKU34" s="128"/>
      <c r="AKV34" s="128"/>
      <c r="AKW34" s="128"/>
      <c r="AKX34" s="128"/>
      <c r="AKY34" s="128"/>
      <c r="AKZ34" s="128"/>
      <c r="ALA34" s="128"/>
      <c r="ALB34" s="128"/>
      <c r="ALC34" s="128"/>
      <c r="ALD34" s="128"/>
      <c r="ALE34" s="128"/>
      <c r="ALF34" s="128"/>
      <c r="ALG34" s="128"/>
      <c r="ALH34" s="128"/>
      <c r="ALI34" s="128"/>
      <c r="ALJ34" s="128"/>
      <c r="ALK34" s="128"/>
      <c r="ALL34" s="128"/>
      <c r="ALM34" s="128"/>
      <c r="ALN34" s="128"/>
      <c r="ALO34" s="128"/>
      <c r="ALP34" s="128"/>
      <c r="ALQ34" s="128"/>
      <c r="ALR34" s="128"/>
      <c r="ALS34" s="128"/>
      <c r="ALT34" s="128"/>
      <c r="ALU34" s="128"/>
      <c r="ALV34" s="128"/>
      <c r="ALW34" s="128"/>
      <c r="ALX34" s="128"/>
      <c r="ALY34" s="128"/>
      <c r="ALZ34" s="128"/>
      <c r="AMA34" s="128"/>
      <c r="AMB34" s="128"/>
      <c r="AMC34" s="128"/>
      <c r="AMD34" s="128"/>
      <c r="AME34" s="128"/>
      <c r="AMF34" s="128"/>
      <c r="AMG34" s="128"/>
      <c r="AMH34" s="128"/>
      <c r="AMI34" s="128"/>
      <c r="AMJ34" s="128"/>
      <c r="AMK34" s="128"/>
      <c r="AML34" s="128"/>
      <c r="AMM34" s="128"/>
      <c r="AMN34" s="128"/>
      <c r="AMO34" s="128"/>
      <c r="AMP34" s="128"/>
      <c r="AMQ34" s="128"/>
      <c r="AMR34" s="128"/>
      <c r="AMS34" s="128"/>
      <c r="AMT34" s="128"/>
      <c r="AMU34" s="128"/>
      <c r="AMV34" s="128"/>
      <c r="AMW34" s="128"/>
      <c r="AMX34" s="128"/>
      <c r="AMY34" s="128"/>
      <c r="AMZ34" s="128"/>
      <c r="ANA34" s="128"/>
      <c r="ANB34" s="128"/>
      <c r="ANC34" s="128"/>
      <c r="AND34" s="128"/>
      <c r="ANE34" s="128"/>
      <c r="ANF34" s="128"/>
      <c r="ANG34" s="128"/>
      <c r="ANH34" s="128"/>
      <c r="ANI34" s="128"/>
      <c r="ANJ34" s="128"/>
      <c r="ANK34" s="128"/>
      <c r="ANL34" s="128"/>
      <c r="ANM34" s="128"/>
      <c r="ANN34" s="128"/>
      <c r="ANO34" s="128"/>
      <c r="ANP34" s="128"/>
      <c r="ANQ34" s="128"/>
      <c r="ANR34" s="128"/>
      <c r="ANS34" s="128"/>
      <c r="ANT34" s="128"/>
      <c r="ANU34" s="128"/>
      <c r="ANV34" s="128"/>
      <c r="ANW34" s="128"/>
      <c r="ANX34" s="128"/>
      <c r="ANY34" s="128"/>
      <c r="ANZ34" s="128"/>
      <c r="AOA34" s="128"/>
      <c r="AOB34" s="128"/>
      <c r="AOC34" s="128"/>
      <c r="AOD34" s="128"/>
      <c r="AOE34" s="128"/>
      <c r="AOF34" s="128"/>
      <c r="AOG34" s="128"/>
      <c r="AOH34" s="128"/>
      <c r="AOI34" s="128"/>
      <c r="AOJ34" s="128"/>
      <c r="AOK34" s="128"/>
      <c r="AOL34" s="128"/>
      <c r="AOM34" s="128"/>
      <c r="AON34" s="128"/>
      <c r="AOO34" s="128"/>
      <c r="AOP34" s="128"/>
      <c r="AOQ34" s="128"/>
      <c r="AOR34" s="128"/>
      <c r="AOS34" s="128"/>
      <c r="AOT34" s="128"/>
      <c r="AOU34" s="128"/>
      <c r="AOV34" s="128"/>
      <c r="AOW34" s="128"/>
      <c r="AOX34" s="128"/>
      <c r="AOY34" s="128"/>
      <c r="AOZ34" s="128"/>
      <c r="APA34" s="128"/>
      <c r="APB34" s="128"/>
      <c r="APC34" s="128"/>
      <c r="APD34" s="128"/>
      <c r="APE34" s="128"/>
      <c r="APF34" s="128"/>
      <c r="APG34" s="128"/>
      <c r="APH34" s="128"/>
      <c r="API34" s="128"/>
      <c r="APJ34" s="128"/>
      <c r="APK34" s="128"/>
      <c r="APL34" s="128"/>
      <c r="APM34" s="128"/>
      <c r="APN34" s="128"/>
      <c r="APO34" s="128"/>
      <c r="APP34" s="128"/>
      <c r="APQ34" s="128"/>
      <c r="APR34" s="128"/>
      <c r="APS34" s="128"/>
      <c r="APT34" s="128"/>
      <c r="APU34" s="128"/>
      <c r="APV34" s="128"/>
      <c r="APW34" s="128"/>
      <c r="APX34" s="128"/>
      <c r="APY34" s="128"/>
      <c r="APZ34" s="128"/>
      <c r="AQA34" s="128"/>
      <c r="AQB34" s="128"/>
      <c r="AQC34" s="128"/>
      <c r="AQD34" s="128"/>
      <c r="AQE34" s="128"/>
      <c r="AQF34" s="128"/>
      <c r="AQG34" s="128"/>
      <c r="AQH34" s="128"/>
      <c r="AQI34" s="128"/>
      <c r="AQJ34" s="128"/>
      <c r="AQK34" s="128"/>
      <c r="AQL34" s="128"/>
      <c r="AQM34" s="128"/>
      <c r="AQN34" s="128"/>
      <c r="AQO34" s="128"/>
      <c r="AQP34" s="128"/>
      <c r="AQQ34" s="128"/>
      <c r="AQR34" s="128"/>
      <c r="AQS34" s="128"/>
      <c r="AQT34" s="128"/>
      <c r="AQU34" s="128"/>
      <c r="AQV34" s="128"/>
      <c r="AQW34" s="128"/>
      <c r="AQX34" s="128"/>
      <c r="AQY34" s="128"/>
      <c r="AQZ34" s="128"/>
      <c r="ARA34" s="128"/>
      <c r="ARB34" s="128"/>
      <c r="ARC34" s="128"/>
      <c r="ARD34" s="128"/>
      <c r="ARE34" s="128"/>
      <c r="ARF34" s="128"/>
      <c r="ARG34" s="128"/>
      <c r="ARH34" s="128"/>
      <c r="ARI34" s="128"/>
      <c r="ARJ34" s="128"/>
      <c r="ARK34" s="128"/>
      <c r="ARL34" s="128"/>
      <c r="ARM34" s="128"/>
      <c r="ARN34" s="128"/>
      <c r="ARO34" s="128"/>
      <c r="ARP34" s="128"/>
      <c r="ARQ34" s="128"/>
      <c r="ARR34" s="128"/>
      <c r="ARS34" s="128"/>
      <c r="ART34" s="128"/>
      <c r="ARU34" s="128"/>
      <c r="ARV34" s="128"/>
      <c r="ARW34" s="128"/>
      <c r="ARX34" s="128"/>
      <c r="ARY34" s="128"/>
      <c r="ARZ34" s="128"/>
      <c r="ASA34" s="128"/>
      <c r="ASB34" s="128"/>
      <c r="ASC34" s="128"/>
      <c r="ASD34" s="128"/>
      <c r="ASE34" s="128"/>
      <c r="ASF34" s="128"/>
      <c r="ASG34" s="128"/>
      <c r="ASH34" s="128"/>
      <c r="ASI34" s="128"/>
      <c r="ASJ34" s="128"/>
      <c r="ASK34" s="128"/>
      <c r="ASL34" s="128"/>
      <c r="ASM34" s="128"/>
      <c r="ASN34" s="128"/>
      <c r="ASO34" s="128"/>
      <c r="ASP34" s="128"/>
      <c r="ASQ34" s="128"/>
      <c r="ASR34" s="128"/>
      <c r="ASS34" s="128"/>
      <c r="AST34" s="128"/>
      <c r="ASU34" s="128"/>
      <c r="ASV34" s="128"/>
      <c r="ASW34" s="128"/>
      <c r="ASX34" s="128"/>
      <c r="ASY34" s="128"/>
      <c r="ASZ34" s="128"/>
      <c r="ATA34" s="128"/>
      <c r="ATB34" s="128"/>
      <c r="ATC34" s="128"/>
      <c r="ATD34" s="128"/>
      <c r="ATE34" s="128"/>
      <c r="ATF34" s="128"/>
      <c r="ATG34" s="128"/>
      <c r="ATH34" s="128"/>
      <c r="ATI34" s="128"/>
      <c r="ATJ34" s="128"/>
      <c r="ATK34" s="128"/>
      <c r="ATL34" s="128"/>
      <c r="ATM34" s="128"/>
      <c r="ATN34" s="128"/>
      <c r="ATO34" s="128"/>
      <c r="ATP34" s="128"/>
      <c r="ATQ34" s="128"/>
      <c r="ATR34" s="128"/>
      <c r="ATS34" s="128"/>
      <c r="ATT34" s="128"/>
      <c r="ATU34" s="128"/>
      <c r="ATV34" s="128"/>
      <c r="ATW34" s="128"/>
      <c r="ATX34" s="128"/>
      <c r="ATY34" s="128"/>
      <c r="ATZ34" s="128"/>
      <c r="AUA34" s="128"/>
      <c r="AUB34" s="128"/>
      <c r="AUC34" s="128"/>
      <c r="AUD34" s="128"/>
      <c r="AUE34" s="128"/>
      <c r="AUF34" s="128"/>
      <c r="AUG34" s="128"/>
      <c r="AUH34" s="128"/>
      <c r="AUI34" s="128"/>
      <c r="AUJ34" s="128"/>
      <c r="AUK34" s="128"/>
      <c r="AUL34" s="128"/>
      <c r="AUM34" s="128"/>
      <c r="AUN34" s="128"/>
      <c r="AUO34" s="128"/>
      <c r="AUP34" s="128"/>
      <c r="AUQ34" s="128"/>
      <c r="AUR34" s="128"/>
      <c r="AUS34" s="128"/>
      <c r="AUT34" s="128"/>
      <c r="AUU34" s="128"/>
      <c r="AUV34" s="128"/>
      <c r="AUW34" s="128"/>
      <c r="AUX34" s="128"/>
      <c r="AUY34" s="128"/>
      <c r="AUZ34" s="128"/>
      <c r="AVA34" s="128"/>
      <c r="AVB34" s="128"/>
      <c r="AVC34" s="128"/>
      <c r="AVD34" s="128"/>
      <c r="AVE34" s="128"/>
      <c r="AVF34" s="128"/>
      <c r="AVG34" s="128"/>
      <c r="AVH34" s="128"/>
      <c r="AVI34" s="128"/>
      <c r="AVJ34" s="128"/>
      <c r="AVK34" s="128"/>
      <c r="AVL34" s="128"/>
      <c r="AVM34" s="128"/>
      <c r="AVN34" s="128"/>
      <c r="AVO34" s="128"/>
      <c r="AVP34" s="128"/>
      <c r="AVQ34" s="128"/>
      <c r="AVR34" s="128"/>
      <c r="AVS34" s="128"/>
      <c r="AVT34" s="128"/>
      <c r="AVU34" s="128"/>
      <c r="AVV34" s="128"/>
      <c r="AVW34" s="128"/>
      <c r="AVX34" s="128"/>
      <c r="AVY34" s="128"/>
      <c r="AVZ34" s="128"/>
      <c r="AWA34" s="128"/>
      <c r="AWB34" s="128"/>
      <c r="AWC34" s="128"/>
      <c r="AWD34" s="128"/>
      <c r="AWE34" s="128"/>
      <c r="AWF34" s="128"/>
      <c r="AWG34" s="128"/>
      <c r="AWH34" s="128"/>
      <c r="AWI34" s="128"/>
      <c r="AWJ34" s="128"/>
      <c r="AWK34" s="128"/>
      <c r="AWL34" s="128"/>
      <c r="AWM34" s="128"/>
      <c r="AWN34" s="128"/>
      <c r="AWO34" s="128"/>
      <c r="AWP34" s="128"/>
      <c r="AWQ34" s="128"/>
      <c r="AWR34" s="128"/>
      <c r="AWS34" s="128"/>
      <c r="AWT34" s="128"/>
      <c r="AWU34" s="128"/>
      <c r="AWV34" s="128"/>
      <c r="AWW34" s="128"/>
      <c r="AWX34" s="128"/>
      <c r="AWY34" s="128"/>
      <c r="AWZ34" s="128"/>
      <c r="AXA34" s="128"/>
      <c r="AXB34" s="128"/>
      <c r="AXC34" s="128"/>
      <c r="AXD34" s="128"/>
      <c r="AXE34" s="128"/>
      <c r="AXF34" s="128"/>
      <c r="AXG34" s="128"/>
      <c r="AXH34" s="128"/>
      <c r="AXI34" s="128"/>
      <c r="AXJ34" s="128"/>
      <c r="AXK34" s="128"/>
      <c r="AXL34" s="128"/>
      <c r="AXM34" s="128"/>
      <c r="AXN34" s="128"/>
      <c r="AXO34" s="128"/>
      <c r="AXP34" s="128"/>
      <c r="AXQ34" s="128"/>
      <c r="AXR34" s="128"/>
      <c r="AXS34" s="128"/>
      <c r="AXT34" s="128"/>
      <c r="AXU34" s="128"/>
      <c r="AXV34" s="128"/>
      <c r="AXW34" s="128"/>
      <c r="AXX34" s="128"/>
      <c r="AXY34" s="128"/>
      <c r="AXZ34" s="128"/>
      <c r="AYA34" s="128"/>
      <c r="AYB34" s="128"/>
      <c r="AYC34" s="128"/>
      <c r="AYD34" s="128"/>
      <c r="AYE34" s="128"/>
      <c r="AYF34" s="128"/>
      <c r="AYG34" s="128"/>
      <c r="AYH34" s="128"/>
      <c r="AYI34" s="128"/>
      <c r="AYJ34" s="128"/>
      <c r="AYK34" s="128"/>
      <c r="AYL34" s="128"/>
      <c r="AYM34" s="128"/>
      <c r="AYN34" s="128"/>
      <c r="AYO34" s="128"/>
      <c r="AYP34" s="128"/>
      <c r="AYQ34" s="128"/>
      <c r="AYR34" s="128"/>
      <c r="AYS34" s="128"/>
      <c r="AYT34" s="128"/>
      <c r="AYU34" s="128"/>
      <c r="AYV34" s="128"/>
      <c r="AYW34" s="128"/>
      <c r="AYX34" s="128"/>
      <c r="AYY34" s="128"/>
      <c r="AYZ34" s="128"/>
      <c r="AZA34" s="128"/>
      <c r="AZB34" s="128"/>
      <c r="AZC34" s="128"/>
      <c r="AZD34" s="128"/>
      <c r="AZE34" s="128"/>
      <c r="AZF34" s="128"/>
      <c r="AZG34" s="128"/>
      <c r="AZH34" s="128"/>
      <c r="AZI34" s="128"/>
      <c r="AZJ34" s="128"/>
      <c r="AZK34" s="128"/>
      <c r="AZL34" s="128"/>
      <c r="AZM34" s="128"/>
      <c r="AZN34" s="128"/>
      <c r="AZO34" s="128"/>
      <c r="AZP34" s="128"/>
      <c r="AZQ34" s="128"/>
      <c r="AZR34" s="128"/>
      <c r="AZS34" s="128"/>
      <c r="AZT34" s="128"/>
      <c r="AZU34" s="128"/>
      <c r="AZV34" s="128"/>
      <c r="AZW34" s="128"/>
      <c r="AZX34" s="128"/>
      <c r="AZY34" s="128"/>
      <c r="AZZ34" s="128"/>
      <c r="BAA34" s="128"/>
      <c r="BAB34" s="128"/>
      <c r="BAC34" s="128"/>
      <c r="BAD34" s="128"/>
      <c r="BAE34" s="128"/>
      <c r="BAF34" s="128"/>
      <c r="BAG34" s="128"/>
      <c r="BAH34" s="128"/>
      <c r="BAI34" s="128"/>
      <c r="BAJ34" s="128"/>
      <c r="BAK34" s="128"/>
      <c r="BAL34" s="128"/>
      <c r="BAM34" s="128"/>
      <c r="BAN34" s="128"/>
      <c r="BAO34" s="128"/>
      <c r="BAP34" s="128"/>
      <c r="BAQ34" s="128"/>
      <c r="BAR34" s="128"/>
      <c r="BAS34" s="128"/>
      <c r="BAT34" s="128"/>
      <c r="BAU34" s="128"/>
      <c r="BAV34" s="128"/>
      <c r="BAW34" s="128"/>
      <c r="BAX34" s="128"/>
      <c r="BAY34" s="128"/>
      <c r="BAZ34" s="128"/>
      <c r="BBA34" s="128"/>
      <c r="BBB34" s="128"/>
      <c r="BBC34" s="128"/>
      <c r="BBD34" s="128"/>
      <c r="BBE34" s="128"/>
      <c r="BBF34" s="128"/>
      <c r="BBG34" s="128"/>
      <c r="BBH34" s="128"/>
      <c r="BBI34" s="128"/>
      <c r="BBJ34" s="128"/>
      <c r="BBK34" s="128"/>
      <c r="BBL34" s="128"/>
      <c r="BBM34" s="128"/>
      <c r="BBN34" s="128"/>
      <c r="BBO34" s="128"/>
      <c r="BBP34" s="128"/>
      <c r="BBQ34" s="128"/>
      <c r="BBR34" s="128"/>
      <c r="BBS34" s="128"/>
      <c r="BBT34" s="128"/>
      <c r="BBU34" s="128"/>
      <c r="BBV34" s="128"/>
      <c r="BBW34" s="128"/>
      <c r="BBX34" s="128"/>
      <c r="BBY34" s="128"/>
      <c r="BBZ34" s="128"/>
      <c r="BCA34" s="128"/>
      <c r="BCB34" s="128"/>
      <c r="BCC34" s="128"/>
      <c r="BCD34" s="128"/>
      <c r="BCE34" s="128"/>
      <c r="BCF34" s="128"/>
      <c r="BCG34" s="128"/>
      <c r="BCH34" s="128"/>
      <c r="BCI34" s="128"/>
      <c r="BCJ34" s="128"/>
      <c r="BCK34" s="128"/>
      <c r="BCL34" s="128"/>
      <c r="BCM34" s="128"/>
      <c r="BCN34" s="128"/>
      <c r="BCO34" s="128"/>
      <c r="BCP34" s="128"/>
      <c r="BCQ34" s="128"/>
      <c r="BCR34" s="128"/>
      <c r="BCS34" s="128"/>
      <c r="BCT34" s="128"/>
      <c r="BCU34" s="128"/>
      <c r="BCV34" s="128"/>
      <c r="BCW34" s="128"/>
      <c r="BCX34" s="128"/>
      <c r="BCY34" s="128"/>
      <c r="BCZ34" s="128"/>
      <c r="BDA34" s="128"/>
      <c r="BDB34" s="128"/>
      <c r="BDC34" s="128"/>
      <c r="BDD34" s="128"/>
      <c r="BDE34" s="128"/>
      <c r="BDF34" s="128"/>
      <c r="BDG34" s="128"/>
      <c r="BDH34" s="128"/>
      <c r="BDI34" s="128"/>
      <c r="BDJ34" s="128"/>
      <c r="BDK34" s="128"/>
      <c r="BDL34" s="128"/>
      <c r="BDM34" s="128"/>
      <c r="BDN34" s="128"/>
      <c r="BDO34" s="128"/>
      <c r="BDP34" s="128"/>
      <c r="BDQ34" s="128"/>
      <c r="BDR34" s="128"/>
      <c r="BDS34" s="128"/>
      <c r="BDT34" s="128"/>
      <c r="BDU34" s="128"/>
      <c r="BDV34" s="128"/>
      <c r="BDW34" s="128"/>
      <c r="BDX34" s="128"/>
      <c r="BDY34" s="128"/>
      <c r="BDZ34" s="128"/>
      <c r="BEA34" s="128"/>
      <c r="BEB34" s="128"/>
      <c r="BEC34" s="128"/>
      <c r="BED34" s="128"/>
      <c r="BEE34" s="128"/>
      <c r="BEF34" s="128"/>
      <c r="BEG34" s="128"/>
      <c r="BEH34" s="128"/>
      <c r="BEI34" s="128"/>
      <c r="BEJ34" s="128"/>
      <c r="BEK34" s="128"/>
      <c r="BEL34" s="128"/>
      <c r="BEM34" s="128"/>
      <c r="BEN34" s="128"/>
      <c r="BEO34" s="128"/>
      <c r="BEP34" s="128"/>
      <c r="BEQ34" s="128"/>
      <c r="BER34" s="128"/>
      <c r="BES34" s="128"/>
      <c r="BET34" s="128"/>
      <c r="BEU34" s="128"/>
      <c r="BEV34" s="128"/>
      <c r="BEW34" s="128"/>
      <c r="BEX34" s="128"/>
      <c r="BEY34" s="128"/>
      <c r="BEZ34" s="128"/>
      <c r="BFA34" s="128"/>
      <c r="BFB34" s="128"/>
      <c r="BFC34" s="128"/>
      <c r="BFD34" s="128"/>
      <c r="BFE34" s="128"/>
      <c r="BFF34" s="128"/>
      <c r="BFG34" s="128"/>
      <c r="BFH34" s="128"/>
      <c r="BFI34" s="128"/>
      <c r="BFJ34" s="128"/>
      <c r="BFK34" s="128"/>
      <c r="BFL34" s="128"/>
      <c r="BFM34" s="128"/>
      <c r="BFN34" s="128"/>
      <c r="BFO34" s="128"/>
      <c r="BFP34" s="128"/>
      <c r="BFQ34" s="128"/>
      <c r="BFR34" s="128"/>
      <c r="BFS34" s="128"/>
      <c r="BFT34" s="128"/>
      <c r="BFU34" s="128"/>
      <c r="BFV34" s="128"/>
      <c r="BFW34" s="128"/>
      <c r="BFX34" s="128"/>
      <c r="BFY34" s="128"/>
      <c r="BFZ34" s="128"/>
      <c r="BGA34" s="128"/>
      <c r="BGB34" s="128"/>
      <c r="BGC34" s="128"/>
      <c r="BGD34" s="128"/>
      <c r="BGE34" s="128"/>
      <c r="BGF34" s="128"/>
      <c r="BGG34" s="128"/>
      <c r="BGH34" s="128"/>
      <c r="BGI34" s="128"/>
      <c r="BGJ34" s="128"/>
      <c r="BGK34" s="128"/>
      <c r="BGL34" s="128"/>
      <c r="BGM34" s="128"/>
      <c r="BGN34" s="128"/>
      <c r="BGO34" s="128"/>
      <c r="BGP34" s="128"/>
      <c r="BGQ34" s="128"/>
      <c r="BGR34" s="128"/>
      <c r="BGS34" s="128"/>
      <c r="BGT34" s="128"/>
      <c r="BGU34" s="128"/>
      <c r="BGV34" s="128"/>
      <c r="BGW34" s="128"/>
      <c r="BGX34" s="128"/>
      <c r="BGY34" s="128"/>
      <c r="BGZ34" s="128"/>
      <c r="BHA34" s="128"/>
      <c r="BHB34" s="128"/>
      <c r="BHC34" s="128"/>
      <c r="BHD34" s="128"/>
      <c r="BHE34" s="128"/>
      <c r="BHF34" s="128"/>
      <c r="BHG34" s="128"/>
      <c r="BHH34" s="128"/>
      <c r="BHI34" s="128"/>
      <c r="BHJ34" s="128"/>
      <c r="BHK34" s="128"/>
      <c r="BHL34" s="128"/>
      <c r="BHM34" s="128"/>
      <c r="BHN34" s="128"/>
      <c r="BHO34" s="128"/>
      <c r="BHP34" s="128"/>
      <c r="BHQ34" s="128"/>
      <c r="BHR34" s="128"/>
      <c r="BHS34" s="128"/>
      <c r="BHT34" s="128"/>
      <c r="BHU34" s="128"/>
      <c r="BHV34" s="128"/>
      <c r="BHW34" s="128"/>
      <c r="BHX34" s="128"/>
      <c r="BHY34" s="128"/>
      <c r="BHZ34" s="128"/>
      <c r="BIA34" s="128"/>
      <c r="BIB34" s="128"/>
      <c r="BIC34" s="128"/>
      <c r="BID34" s="128"/>
      <c r="BIE34" s="128"/>
      <c r="BIF34" s="128"/>
      <c r="BIG34" s="128"/>
      <c r="BIH34" s="128"/>
      <c r="BII34" s="128"/>
      <c r="BIJ34" s="128"/>
      <c r="BIK34" s="128"/>
      <c r="BIL34" s="128"/>
      <c r="BIM34" s="128"/>
      <c r="BIN34" s="128"/>
      <c r="BIO34" s="128"/>
      <c r="BIP34" s="128"/>
      <c r="BIQ34" s="128"/>
      <c r="BIR34" s="128"/>
      <c r="BIS34" s="128"/>
      <c r="BIT34" s="128"/>
      <c r="BIU34" s="128"/>
      <c r="BIV34" s="128"/>
      <c r="BIW34" s="128"/>
      <c r="BIX34" s="128"/>
      <c r="BIY34" s="128"/>
      <c r="BIZ34" s="128"/>
      <c r="BJA34" s="128"/>
      <c r="BJB34" s="128"/>
      <c r="BJC34" s="128"/>
      <c r="BJD34" s="128"/>
      <c r="BJE34" s="128"/>
      <c r="BJF34" s="128"/>
      <c r="BJG34" s="128"/>
      <c r="BJH34" s="128"/>
      <c r="BJI34" s="128"/>
      <c r="BJJ34" s="128"/>
      <c r="BJK34" s="128"/>
      <c r="BJL34" s="128"/>
      <c r="BJM34" s="128"/>
      <c r="BJN34" s="128"/>
      <c r="BJO34" s="128"/>
      <c r="BJP34" s="128"/>
      <c r="BJQ34" s="128"/>
      <c r="BJR34" s="128"/>
      <c r="BJS34" s="128"/>
      <c r="BJT34" s="128"/>
      <c r="BJU34" s="128"/>
      <c r="BJV34" s="128"/>
      <c r="BJW34" s="128"/>
      <c r="BJX34" s="128"/>
      <c r="BJY34" s="128"/>
      <c r="BJZ34" s="128"/>
      <c r="BKA34" s="128"/>
      <c r="BKB34" s="128"/>
      <c r="BKC34" s="128"/>
      <c r="BKD34" s="128"/>
      <c r="BKE34" s="128"/>
      <c r="BKF34" s="128"/>
      <c r="BKG34" s="128"/>
      <c r="BKH34" s="128"/>
      <c r="BKI34" s="128"/>
      <c r="BKJ34" s="128"/>
      <c r="BKK34" s="128"/>
      <c r="BKL34" s="128"/>
      <c r="BKM34" s="128"/>
      <c r="BKN34" s="128"/>
      <c r="BKO34" s="128"/>
      <c r="BKP34" s="128"/>
      <c r="BKQ34" s="128"/>
      <c r="BKR34" s="128"/>
      <c r="BKS34" s="128"/>
      <c r="BKT34" s="128"/>
      <c r="BKU34" s="128"/>
      <c r="BKV34" s="128"/>
      <c r="BKW34" s="128"/>
      <c r="BKX34" s="128"/>
      <c r="BKY34" s="128"/>
      <c r="BKZ34" s="128"/>
      <c r="BLA34" s="128"/>
      <c r="BLB34" s="128"/>
      <c r="BLC34" s="128"/>
      <c r="BLD34" s="128"/>
      <c r="BLE34" s="128"/>
      <c r="BLF34" s="128"/>
      <c r="BLG34" s="128"/>
      <c r="BLH34" s="128"/>
      <c r="BLI34" s="128"/>
      <c r="BLJ34" s="128"/>
      <c r="BLK34" s="128"/>
      <c r="BLL34" s="128"/>
      <c r="BLM34" s="128"/>
      <c r="BLN34" s="128"/>
      <c r="BLO34" s="128"/>
      <c r="BLP34" s="128"/>
      <c r="BLQ34" s="128"/>
      <c r="BLR34" s="128"/>
      <c r="BLS34" s="128"/>
      <c r="BLT34" s="128"/>
      <c r="BLU34" s="128"/>
      <c r="BLV34" s="128"/>
      <c r="BLW34" s="128"/>
      <c r="BLX34" s="128"/>
      <c r="BLY34" s="128"/>
      <c r="BLZ34" s="128"/>
      <c r="BMA34" s="128"/>
      <c r="BMB34" s="128"/>
      <c r="BMC34" s="128"/>
      <c r="BMD34" s="128"/>
      <c r="BME34" s="128"/>
      <c r="BMF34" s="128"/>
      <c r="BMG34" s="128"/>
      <c r="BMH34" s="128"/>
      <c r="BMI34" s="128"/>
      <c r="BMJ34" s="128"/>
      <c r="BMK34" s="128"/>
      <c r="BML34" s="128"/>
      <c r="BMM34" s="128"/>
      <c r="BMN34" s="128"/>
      <c r="BMO34" s="128"/>
      <c r="BMP34" s="128"/>
      <c r="BMQ34" s="128"/>
      <c r="BMR34" s="128"/>
      <c r="BMS34" s="128"/>
      <c r="BMT34" s="128"/>
      <c r="BMU34" s="128"/>
      <c r="BMV34" s="128"/>
      <c r="BMW34" s="128"/>
      <c r="BMX34" s="128"/>
      <c r="BMY34" s="128"/>
      <c r="BMZ34" s="128"/>
      <c r="BNA34" s="128"/>
      <c r="BNB34" s="128"/>
      <c r="BNC34" s="128"/>
      <c r="BND34" s="128"/>
      <c r="BNE34" s="128"/>
      <c r="BNF34" s="128"/>
      <c r="BNG34" s="128"/>
      <c r="BNH34" s="128"/>
      <c r="BNI34" s="128"/>
      <c r="BNJ34" s="128"/>
      <c r="BNK34" s="128"/>
      <c r="BNL34" s="128"/>
      <c r="BNM34" s="128"/>
      <c r="BNN34" s="128"/>
      <c r="BNO34" s="128"/>
      <c r="BNP34" s="128"/>
      <c r="BNQ34" s="128"/>
      <c r="BNR34" s="128"/>
      <c r="BNS34" s="128"/>
      <c r="BNT34" s="128"/>
      <c r="BNU34" s="128"/>
      <c r="BNV34" s="128"/>
      <c r="BNW34" s="128"/>
      <c r="BNX34" s="128"/>
      <c r="BNY34" s="128"/>
      <c r="BNZ34" s="128"/>
      <c r="BOA34" s="128"/>
      <c r="BOB34" s="128"/>
      <c r="BOC34" s="128"/>
      <c r="BOD34" s="128"/>
      <c r="BOE34" s="128"/>
      <c r="BOF34" s="128"/>
      <c r="BOG34" s="128"/>
      <c r="BOH34" s="128"/>
      <c r="BOI34" s="128"/>
      <c r="BOJ34" s="128"/>
      <c r="BOK34" s="128"/>
      <c r="BOL34" s="128"/>
      <c r="BOM34" s="128"/>
      <c r="BON34" s="128"/>
      <c r="BOO34" s="128"/>
      <c r="BOP34" s="128"/>
      <c r="BOQ34" s="128"/>
      <c r="BOR34" s="128"/>
      <c r="BOS34" s="128"/>
      <c r="BOT34" s="128"/>
      <c r="BOU34" s="128"/>
      <c r="BOV34" s="128"/>
      <c r="BOW34" s="128"/>
      <c r="BOX34" s="128"/>
      <c r="BOY34" s="128"/>
      <c r="BOZ34" s="128"/>
      <c r="BPA34" s="128"/>
      <c r="BPB34" s="128"/>
      <c r="BPC34" s="128"/>
      <c r="BPD34" s="128"/>
      <c r="BPE34" s="128"/>
      <c r="BPF34" s="128"/>
      <c r="BPG34" s="128"/>
      <c r="BPH34" s="128"/>
      <c r="BPI34" s="128"/>
      <c r="BPJ34" s="128"/>
      <c r="BPK34" s="128"/>
      <c r="BPL34" s="128"/>
      <c r="BPM34" s="128"/>
      <c r="BPN34" s="128"/>
      <c r="BPO34" s="128"/>
      <c r="BPP34" s="128"/>
      <c r="BPQ34" s="128"/>
      <c r="BPR34" s="128"/>
      <c r="BPS34" s="128"/>
      <c r="BPT34" s="128"/>
      <c r="BPU34" s="128"/>
      <c r="BPV34" s="128"/>
      <c r="BPW34" s="128"/>
      <c r="BPX34" s="128"/>
      <c r="BPY34" s="128"/>
      <c r="BPZ34" s="128"/>
      <c r="BQA34" s="128"/>
      <c r="BQB34" s="128"/>
      <c r="BQC34" s="128"/>
      <c r="BQD34" s="128"/>
      <c r="BQE34" s="128"/>
      <c r="BQF34" s="128"/>
      <c r="BQG34" s="128"/>
      <c r="BQH34" s="128"/>
      <c r="BQI34" s="128"/>
      <c r="BQJ34" s="128"/>
      <c r="BQK34" s="128"/>
      <c r="BQL34" s="128"/>
      <c r="BQM34" s="128"/>
      <c r="BQN34" s="128"/>
      <c r="BQO34" s="128"/>
      <c r="BQP34" s="128"/>
      <c r="BQQ34" s="128"/>
      <c r="BQR34" s="128"/>
      <c r="BQS34" s="128"/>
      <c r="BQT34" s="128"/>
      <c r="BQU34" s="128"/>
      <c r="BQV34" s="128"/>
      <c r="BQW34" s="128"/>
      <c r="BQX34" s="128"/>
      <c r="BQY34" s="128"/>
      <c r="BQZ34" s="128"/>
      <c r="BRA34" s="128"/>
      <c r="BRB34" s="128"/>
      <c r="BRC34" s="128"/>
      <c r="BRD34" s="128"/>
      <c r="BRE34" s="128"/>
      <c r="BRF34" s="128"/>
      <c r="BRG34" s="128"/>
      <c r="BRH34" s="128"/>
      <c r="BRI34" s="128"/>
      <c r="BRJ34" s="128"/>
      <c r="BRK34" s="128"/>
      <c r="BRL34" s="128"/>
      <c r="BRM34" s="128"/>
      <c r="BRN34" s="128"/>
      <c r="BRO34" s="128"/>
      <c r="BRP34" s="128"/>
      <c r="BRQ34" s="128"/>
      <c r="BRR34" s="128"/>
      <c r="BRS34" s="128"/>
      <c r="BRT34" s="128"/>
      <c r="BRU34" s="128"/>
      <c r="BRV34" s="128"/>
      <c r="BRW34" s="128"/>
      <c r="BRX34" s="128"/>
      <c r="BRY34" s="128"/>
      <c r="BRZ34" s="128"/>
      <c r="BSA34" s="128"/>
      <c r="BSB34" s="128"/>
      <c r="BSC34" s="128"/>
      <c r="BSD34" s="128"/>
      <c r="BSE34" s="128"/>
      <c r="BSF34" s="128"/>
      <c r="BSG34" s="128"/>
      <c r="BSH34" s="128"/>
      <c r="BSI34" s="128"/>
      <c r="BSJ34" s="128"/>
      <c r="BSK34" s="128"/>
      <c r="BSL34" s="128"/>
      <c r="BSM34" s="128"/>
      <c r="BSN34" s="128"/>
      <c r="BSO34" s="128"/>
      <c r="BSP34" s="128"/>
      <c r="BSQ34" s="128"/>
      <c r="BSR34" s="128"/>
      <c r="BSS34" s="128"/>
      <c r="BST34" s="128"/>
      <c r="BSU34" s="128"/>
      <c r="BSV34" s="128"/>
      <c r="BSW34" s="128"/>
      <c r="BSX34" s="128"/>
      <c r="BSY34" s="128"/>
      <c r="BSZ34" s="128"/>
      <c r="BTA34" s="128"/>
      <c r="BTB34" s="128"/>
      <c r="BTC34" s="128"/>
      <c r="BTD34" s="128"/>
      <c r="BTE34" s="128"/>
      <c r="BTF34" s="128"/>
      <c r="BTG34" s="128"/>
      <c r="BTH34" s="128"/>
      <c r="BTI34" s="128"/>
      <c r="BTJ34" s="128"/>
      <c r="BTK34" s="128"/>
      <c r="BTL34" s="128"/>
      <c r="BTM34" s="128"/>
      <c r="BTN34" s="128"/>
      <c r="BTO34" s="128"/>
      <c r="BTP34" s="128"/>
      <c r="BTQ34" s="128"/>
      <c r="BTR34" s="128"/>
      <c r="BTS34" s="128"/>
      <c r="BTT34" s="128"/>
      <c r="BTU34" s="128"/>
      <c r="BTV34" s="128"/>
      <c r="BTW34" s="128"/>
      <c r="BTX34" s="128"/>
      <c r="BTY34" s="128"/>
      <c r="BTZ34" s="128"/>
      <c r="BUA34" s="128"/>
      <c r="BUB34" s="128"/>
      <c r="BUC34" s="128"/>
      <c r="BUD34" s="128"/>
      <c r="BUE34" s="128"/>
      <c r="BUF34" s="128"/>
      <c r="BUG34" s="128"/>
      <c r="BUH34" s="128"/>
      <c r="BUI34" s="128"/>
      <c r="BUJ34" s="128"/>
      <c r="BUK34" s="128"/>
      <c r="BUL34" s="128"/>
      <c r="BUM34" s="128"/>
      <c r="BUN34" s="128"/>
      <c r="BUO34" s="128"/>
      <c r="BUP34" s="128"/>
      <c r="BUQ34" s="128"/>
      <c r="BUR34" s="128"/>
      <c r="BUS34" s="128"/>
      <c r="BUT34" s="128"/>
      <c r="BUU34" s="128"/>
      <c r="BUV34" s="128"/>
      <c r="BUW34" s="128"/>
      <c r="BUX34" s="128"/>
      <c r="BUY34" s="128"/>
      <c r="BUZ34" s="128"/>
      <c r="BVA34" s="128"/>
      <c r="BVB34" s="128"/>
      <c r="BVC34" s="128"/>
      <c r="BVD34" s="128"/>
      <c r="BVE34" s="128"/>
      <c r="BVF34" s="128"/>
      <c r="BVG34" s="128"/>
      <c r="BVH34" s="128"/>
      <c r="BVI34" s="128"/>
      <c r="BVJ34" s="128"/>
      <c r="BVK34" s="128"/>
      <c r="BVL34" s="128"/>
      <c r="BVM34" s="128"/>
      <c r="BVN34" s="128"/>
      <c r="BVO34" s="128"/>
      <c r="BVP34" s="128"/>
      <c r="BVQ34" s="128"/>
      <c r="BVR34" s="128"/>
      <c r="BVS34" s="128"/>
      <c r="BVT34" s="128"/>
      <c r="BVU34" s="128"/>
      <c r="BVV34" s="128"/>
      <c r="BVW34" s="128"/>
      <c r="BVX34" s="128"/>
      <c r="BVY34" s="128"/>
      <c r="BVZ34" s="128"/>
      <c r="BWA34" s="128"/>
      <c r="BWB34" s="128"/>
      <c r="BWC34" s="128"/>
      <c r="BWD34" s="128"/>
      <c r="BWE34" s="128"/>
      <c r="BWF34" s="128"/>
      <c r="BWG34" s="128"/>
      <c r="BWH34" s="128"/>
      <c r="BWI34" s="128"/>
      <c r="BWJ34" s="128"/>
      <c r="BWK34" s="128"/>
      <c r="BWL34" s="128"/>
      <c r="BWM34" s="128"/>
      <c r="BWN34" s="128"/>
      <c r="BWO34" s="128"/>
      <c r="BWP34" s="128"/>
      <c r="BWQ34" s="128"/>
      <c r="BWR34" s="128"/>
      <c r="BWS34" s="128"/>
      <c r="BWT34" s="128"/>
      <c r="BWU34" s="128"/>
      <c r="BWV34" s="128"/>
      <c r="BWW34" s="128"/>
      <c r="BWX34" s="128"/>
      <c r="BWY34" s="128"/>
      <c r="BWZ34" s="128"/>
      <c r="BXA34" s="128"/>
      <c r="BXB34" s="128"/>
      <c r="BXC34" s="128"/>
      <c r="BXD34" s="128"/>
      <c r="BXE34" s="128"/>
      <c r="BXF34" s="128"/>
      <c r="BXG34" s="128"/>
      <c r="BXH34" s="128"/>
      <c r="BXI34" s="128"/>
      <c r="BXJ34" s="128"/>
      <c r="BXK34" s="128"/>
      <c r="BXL34" s="128"/>
      <c r="BXM34" s="128"/>
      <c r="BXN34" s="128"/>
      <c r="BXO34" s="128"/>
      <c r="BXP34" s="128"/>
      <c r="BXQ34" s="128"/>
      <c r="BXR34" s="128"/>
      <c r="BXS34" s="128"/>
      <c r="BXT34" s="128"/>
      <c r="BXU34" s="128"/>
      <c r="BXV34" s="128"/>
      <c r="BXW34" s="128"/>
      <c r="BXX34" s="128"/>
      <c r="BXY34" s="128"/>
      <c r="BXZ34" s="128"/>
      <c r="BYA34" s="128"/>
      <c r="BYB34" s="128"/>
      <c r="BYC34" s="128"/>
      <c r="BYD34" s="128"/>
      <c r="BYE34" s="128"/>
      <c r="BYF34" s="128"/>
      <c r="BYG34" s="128"/>
      <c r="BYH34" s="128"/>
      <c r="BYI34" s="128"/>
      <c r="BYJ34" s="128"/>
      <c r="BYK34" s="128"/>
      <c r="BYL34" s="128"/>
      <c r="BYM34" s="128"/>
      <c r="BYN34" s="128"/>
      <c r="BYO34" s="128"/>
      <c r="BYP34" s="128"/>
      <c r="BYQ34" s="128"/>
      <c r="BYR34" s="128"/>
      <c r="BYS34" s="128"/>
      <c r="BYT34" s="128"/>
      <c r="BYU34" s="128"/>
      <c r="BYV34" s="128"/>
      <c r="BYW34" s="128"/>
      <c r="BYX34" s="128"/>
      <c r="BYY34" s="128"/>
      <c r="BYZ34" s="128"/>
      <c r="BZA34" s="128"/>
      <c r="BZB34" s="128"/>
      <c r="BZC34" s="128"/>
      <c r="BZD34" s="128"/>
      <c r="BZE34" s="128"/>
      <c r="BZF34" s="128"/>
      <c r="BZG34" s="128"/>
      <c r="BZH34" s="128"/>
      <c r="BZI34" s="128"/>
      <c r="BZJ34" s="128"/>
      <c r="BZK34" s="128"/>
      <c r="BZL34" s="128"/>
      <c r="BZM34" s="128"/>
      <c r="BZN34" s="128"/>
      <c r="BZO34" s="128"/>
      <c r="BZP34" s="128"/>
      <c r="BZQ34" s="128"/>
      <c r="BZR34" s="128"/>
      <c r="BZS34" s="128"/>
      <c r="BZT34" s="128"/>
      <c r="BZU34" s="128"/>
      <c r="BZV34" s="128"/>
      <c r="BZW34" s="128"/>
      <c r="BZX34" s="128"/>
      <c r="BZY34" s="128"/>
      <c r="BZZ34" s="128"/>
      <c r="CAA34" s="128"/>
      <c r="CAB34" s="128"/>
      <c r="CAC34" s="128"/>
      <c r="CAD34" s="128"/>
      <c r="CAE34" s="128"/>
      <c r="CAF34" s="128"/>
      <c r="CAG34" s="128"/>
      <c r="CAH34" s="128"/>
      <c r="CAI34" s="128"/>
      <c r="CAJ34" s="128"/>
      <c r="CAK34" s="128"/>
      <c r="CAL34" s="128"/>
      <c r="CAM34" s="128"/>
      <c r="CAN34" s="128"/>
      <c r="CAO34" s="128"/>
      <c r="CAP34" s="128"/>
      <c r="CAQ34" s="128"/>
      <c r="CAR34" s="128"/>
      <c r="CAS34" s="128"/>
      <c r="CAT34" s="128"/>
      <c r="CAU34" s="128"/>
      <c r="CAV34" s="128"/>
      <c r="CAW34" s="128"/>
      <c r="CAX34" s="128"/>
      <c r="CAY34" s="128"/>
      <c r="CAZ34" s="128"/>
      <c r="CBA34" s="128"/>
      <c r="CBB34" s="128"/>
      <c r="CBC34" s="128"/>
      <c r="CBD34" s="128"/>
      <c r="CBE34" s="128"/>
      <c r="CBF34" s="128"/>
      <c r="CBG34" s="128"/>
      <c r="CBH34" s="128"/>
      <c r="CBI34" s="128"/>
      <c r="CBJ34" s="128"/>
      <c r="CBK34" s="128"/>
      <c r="CBL34" s="128"/>
      <c r="CBM34" s="128"/>
      <c r="CBN34" s="128"/>
      <c r="CBO34" s="128"/>
      <c r="CBP34" s="128"/>
      <c r="CBQ34" s="128"/>
      <c r="CBR34" s="128"/>
      <c r="CBS34" s="128"/>
      <c r="CBT34" s="128"/>
      <c r="CBU34" s="128"/>
      <c r="CBV34" s="128"/>
      <c r="CBW34" s="128"/>
      <c r="CBX34" s="128"/>
      <c r="CBY34" s="128"/>
      <c r="CBZ34" s="128"/>
      <c r="CCA34" s="128"/>
      <c r="CCB34" s="128"/>
      <c r="CCC34" s="128"/>
      <c r="CCD34" s="128"/>
      <c r="CCE34" s="128"/>
      <c r="CCF34" s="128"/>
      <c r="CCG34" s="128"/>
      <c r="CCH34" s="128"/>
      <c r="CCI34" s="128"/>
      <c r="CCJ34" s="128"/>
      <c r="CCK34" s="128"/>
      <c r="CCL34" s="128"/>
      <c r="CCM34" s="128"/>
      <c r="CCN34" s="128"/>
      <c r="CCO34" s="128"/>
      <c r="CCP34" s="128"/>
      <c r="CCQ34" s="128"/>
      <c r="CCR34" s="128"/>
      <c r="CCS34" s="128"/>
      <c r="CCT34" s="128"/>
      <c r="CCU34" s="128"/>
      <c r="CCV34" s="128"/>
      <c r="CCW34" s="128"/>
      <c r="CCX34" s="128"/>
      <c r="CCY34" s="128"/>
      <c r="CCZ34" s="128"/>
      <c r="CDA34" s="128"/>
      <c r="CDB34" s="128"/>
      <c r="CDC34" s="128"/>
      <c r="CDD34" s="128"/>
      <c r="CDE34" s="128"/>
      <c r="CDF34" s="128"/>
      <c r="CDG34" s="128"/>
      <c r="CDH34" s="128"/>
      <c r="CDI34" s="128"/>
      <c r="CDJ34" s="128"/>
      <c r="CDK34" s="128"/>
      <c r="CDL34" s="128"/>
      <c r="CDM34" s="128"/>
      <c r="CDN34" s="128"/>
      <c r="CDO34" s="128"/>
      <c r="CDP34" s="128"/>
      <c r="CDQ34" s="128"/>
      <c r="CDR34" s="128"/>
      <c r="CDS34" s="128"/>
      <c r="CDT34" s="128"/>
      <c r="CDU34" s="128"/>
      <c r="CDV34" s="128"/>
      <c r="CDW34" s="128"/>
      <c r="CDX34" s="128"/>
      <c r="CDY34" s="128"/>
      <c r="CDZ34" s="128"/>
      <c r="CEA34" s="128"/>
      <c r="CEB34" s="128"/>
      <c r="CEC34" s="128"/>
      <c r="CED34" s="128"/>
      <c r="CEE34" s="128"/>
      <c r="CEF34" s="128"/>
      <c r="CEG34" s="128"/>
      <c r="CEH34" s="128"/>
      <c r="CEI34" s="128"/>
      <c r="CEJ34" s="128"/>
      <c r="CEK34" s="128"/>
      <c r="CEL34" s="128"/>
      <c r="CEM34" s="128"/>
      <c r="CEN34" s="128"/>
      <c r="CEO34" s="128"/>
      <c r="CEP34" s="128"/>
      <c r="CEQ34" s="128"/>
      <c r="CER34" s="128"/>
      <c r="CES34" s="128"/>
      <c r="CET34" s="128"/>
      <c r="CEU34" s="128"/>
      <c r="CEV34" s="128"/>
      <c r="CEW34" s="128"/>
      <c r="CEX34" s="128"/>
      <c r="CEY34" s="128"/>
      <c r="CEZ34" s="128"/>
      <c r="CFA34" s="128"/>
      <c r="CFB34" s="128"/>
      <c r="CFC34" s="128"/>
      <c r="CFD34" s="128"/>
      <c r="CFE34" s="128"/>
      <c r="CFF34" s="128"/>
      <c r="CFG34" s="128"/>
      <c r="CFH34" s="128"/>
      <c r="CFI34" s="128"/>
      <c r="CFJ34" s="128"/>
      <c r="CFK34" s="128"/>
      <c r="CFL34" s="128"/>
      <c r="CFM34" s="128"/>
      <c r="CFN34" s="128"/>
      <c r="CFO34" s="128"/>
      <c r="CFP34" s="128"/>
      <c r="CFQ34" s="128"/>
      <c r="CFR34" s="128"/>
      <c r="CFS34" s="128"/>
      <c r="CFT34" s="128"/>
      <c r="CFU34" s="128"/>
      <c r="CFV34" s="128"/>
      <c r="CFW34" s="128"/>
      <c r="CFX34" s="128"/>
      <c r="CFY34" s="128"/>
      <c r="CFZ34" s="128"/>
      <c r="CGA34" s="128"/>
      <c r="CGB34" s="128"/>
      <c r="CGC34" s="128"/>
      <c r="CGD34" s="128"/>
      <c r="CGE34" s="128"/>
      <c r="CGF34" s="128"/>
      <c r="CGG34" s="128"/>
      <c r="CGH34" s="128"/>
      <c r="CGI34" s="128"/>
      <c r="CGJ34" s="128"/>
      <c r="CGK34" s="128"/>
      <c r="CGL34" s="128"/>
      <c r="CGM34" s="128"/>
      <c r="CGN34" s="128"/>
      <c r="CGO34" s="128"/>
      <c r="CGP34" s="128"/>
      <c r="CGQ34" s="128"/>
      <c r="CGR34" s="128"/>
      <c r="CGS34" s="128"/>
      <c r="CGT34" s="128"/>
      <c r="CGU34" s="128"/>
      <c r="CGV34" s="128"/>
      <c r="CGW34" s="128"/>
      <c r="CGX34" s="128"/>
      <c r="CGY34" s="128"/>
      <c r="CGZ34" s="128"/>
      <c r="CHA34" s="128"/>
      <c r="CHB34" s="128"/>
      <c r="CHC34" s="128"/>
      <c r="CHD34" s="128"/>
      <c r="CHE34" s="128"/>
      <c r="CHF34" s="128"/>
      <c r="CHG34" s="128"/>
      <c r="CHH34" s="128"/>
      <c r="CHI34" s="128"/>
      <c r="CHJ34" s="128"/>
      <c r="CHK34" s="128"/>
      <c r="CHL34" s="128"/>
      <c r="CHM34" s="128"/>
      <c r="CHN34" s="128"/>
      <c r="CHO34" s="128"/>
      <c r="CHP34" s="128"/>
      <c r="CHQ34" s="128"/>
      <c r="CHR34" s="128"/>
      <c r="CHS34" s="128"/>
      <c r="CHT34" s="128"/>
      <c r="CHU34" s="128"/>
      <c r="CHV34" s="128"/>
      <c r="CHW34" s="128"/>
      <c r="CHX34" s="128"/>
      <c r="CHY34" s="128"/>
      <c r="CHZ34" s="128"/>
      <c r="CIA34" s="128"/>
      <c r="CIB34" s="128"/>
      <c r="CIC34" s="128"/>
      <c r="CID34" s="128"/>
      <c r="CIE34" s="128"/>
      <c r="CIF34" s="128"/>
      <c r="CIG34" s="128"/>
      <c r="CIH34" s="128"/>
      <c r="CII34" s="128"/>
      <c r="CIJ34" s="128"/>
      <c r="CIK34" s="128"/>
      <c r="CIL34" s="128"/>
      <c r="CIM34" s="128"/>
      <c r="CIN34" s="128"/>
      <c r="CIO34" s="128"/>
      <c r="CIP34" s="128"/>
      <c r="CIQ34" s="128"/>
      <c r="CIR34" s="128"/>
      <c r="CIS34" s="128"/>
      <c r="CIT34" s="128"/>
      <c r="CIU34" s="128"/>
      <c r="CIV34" s="128"/>
      <c r="CIW34" s="128"/>
      <c r="CIX34" s="128"/>
      <c r="CIY34" s="128"/>
      <c r="CIZ34" s="128"/>
      <c r="CJA34" s="128"/>
      <c r="CJB34" s="128"/>
      <c r="CJC34" s="128"/>
      <c r="CJD34" s="128"/>
      <c r="CJE34" s="128"/>
      <c r="CJF34" s="128"/>
      <c r="CJG34" s="128"/>
      <c r="CJH34" s="128"/>
      <c r="CJI34" s="128"/>
      <c r="CJJ34" s="128"/>
      <c r="CJK34" s="128"/>
      <c r="CJL34" s="128"/>
      <c r="CJM34" s="128"/>
      <c r="CJN34" s="128"/>
      <c r="CJO34" s="128"/>
      <c r="CJP34" s="128"/>
      <c r="CJQ34" s="128"/>
      <c r="CJR34" s="128"/>
      <c r="CJS34" s="128"/>
      <c r="CJT34" s="128"/>
      <c r="CJU34" s="128"/>
      <c r="CJV34" s="128"/>
      <c r="CJW34" s="128"/>
      <c r="CJX34" s="128"/>
      <c r="CJY34" s="128"/>
      <c r="CJZ34" s="128"/>
      <c r="CKA34" s="128"/>
      <c r="CKB34" s="128"/>
      <c r="CKC34" s="128"/>
      <c r="CKD34" s="128"/>
      <c r="CKE34" s="128"/>
      <c r="CKF34" s="128"/>
      <c r="CKG34" s="128"/>
      <c r="CKH34" s="128"/>
      <c r="CKI34" s="128"/>
      <c r="CKJ34" s="128"/>
      <c r="CKK34" s="128"/>
      <c r="CKL34" s="128"/>
      <c r="CKM34" s="128"/>
      <c r="CKN34" s="128"/>
      <c r="CKO34" s="128"/>
      <c r="CKP34" s="128"/>
      <c r="CKQ34" s="128"/>
      <c r="CKR34" s="128"/>
      <c r="CKS34" s="128"/>
      <c r="CKT34" s="128"/>
      <c r="CKU34" s="128"/>
      <c r="CKV34" s="128"/>
      <c r="CKW34" s="128"/>
      <c r="CKX34" s="128"/>
      <c r="CKY34" s="128"/>
      <c r="CKZ34" s="128"/>
      <c r="CLA34" s="128"/>
      <c r="CLB34" s="128"/>
      <c r="CLC34" s="128"/>
      <c r="CLD34" s="128"/>
      <c r="CLE34" s="128"/>
      <c r="CLF34" s="128"/>
      <c r="CLG34" s="128"/>
      <c r="CLH34" s="128"/>
      <c r="CLI34" s="128"/>
      <c r="CLJ34" s="128"/>
      <c r="CLK34" s="128"/>
      <c r="CLL34" s="128"/>
      <c r="CLM34" s="128"/>
      <c r="CLN34" s="128"/>
      <c r="CLO34" s="128"/>
      <c r="CLP34" s="128"/>
      <c r="CLQ34" s="128"/>
      <c r="CLR34" s="128"/>
      <c r="CLS34" s="128"/>
      <c r="CLT34" s="128"/>
      <c r="CLU34" s="128"/>
      <c r="CLV34" s="128"/>
      <c r="CLW34" s="128"/>
      <c r="CLX34" s="128"/>
      <c r="CLY34" s="128"/>
      <c r="CLZ34" s="128"/>
      <c r="CMA34" s="128"/>
      <c r="CMB34" s="128"/>
      <c r="CMC34" s="128"/>
      <c r="CMD34" s="128"/>
      <c r="CME34" s="128"/>
      <c r="CMF34" s="128"/>
      <c r="CMG34" s="128"/>
      <c r="CMH34" s="128"/>
      <c r="CMI34" s="128"/>
      <c r="CMJ34" s="128"/>
      <c r="CMK34" s="128"/>
      <c r="CML34" s="128"/>
      <c r="CMM34" s="128"/>
      <c r="CMN34" s="128"/>
      <c r="CMO34" s="128"/>
      <c r="CMP34" s="128"/>
      <c r="CMQ34" s="128"/>
      <c r="CMR34" s="128"/>
      <c r="CMS34" s="128"/>
      <c r="CMT34" s="128"/>
      <c r="CMU34" s="128"/>
      <c r="CMV34" s="128"/>
      <c r="CMW34" s="128"/>
      <c r="CMX34" s="128"/>
      <c r="CMY34" s="128"/>
      <c r="CMZ34" s="128"/>
      <c r="CNA34" s="128"/>
      <c r="CNB34" s="128"/>
      <c r="CNC34" s="128"/>
      <c r="CND34" s="128"/>
      <c r="CNE34" s="128"/>
      <c r="CNF34" s="128"/>
      <c r="CNG34" s="128"/>
      <c r="CNH34" s="128"/>
      <c r="CNI34" s="128"/>
      <c r="CNJ34" s="128"/>
      <c r="CNK34" s="128"/>
      <c r="CNL34" s="128"/>
      <c r="CNM34" s="128"/>
      <c r="CNN34" s="128"/>
      <c r="CNO34" s="128"/>
      <c r="CNP34" s="128"/>
      <c r="CNQ34" s="128"/>
      <c r="CNR34" s="128"/>
      <c r="CNS34" s="128"/>
      <c r="CNT34" s="128"/>
      <c r="CNU34" s="128"/>
      <c r="CNV34" s="128"/>
      <c r="CNW34" s="128"/>
      <c r="CNX34" s="128"/>
      <c r="CNY34" s="128"/>
      <c r="CNZ34" s="128"/>
      <c r="COA34" s="128"/>
      <c r="COB34" s="128"/>
      <c r="COC34" s="128"/>
      <c r="COD34" s="128"/>
      <c r="COE34" s="128"/>
      <c r="COF34" s="128"/>
      <c r="COG34" s="128"/>
      <c r="COH34" s="128"/>
      <c r="COI34" s="128"/>
      <c r="COJ34" s="128"/>
      <c r="COK34" s="128"/>
      <c r="COL34" s="128"/>
      <c r="COM34" s="128"/>
      <c r="CON34" s="128"/>
      <c r="COO34" s="128"/>
      <c r="COP34" s="128"/>
      <c r="COQ34" s="128"/>
      <c r="COR34" s="128"/>
      <c r="COS34" s="128"/>
      <c r="COT34" s="128"/>
      <c r="COU34" s="128"/>
      <c r="COV34" s="128"/>
      <c r="COW34" s="128"/>
      <c r="COX34" s="128"/>
      <c r="COY34" s="128"/>
      <c r="COZ34" s="128"/>
      <c r="CPA34" s="128"/>
      <c r="CPB34" s="128"/>
      <c r="CPC34" s="128"/>
      <c r="CPD34" s="128"/>
      <c r="CPE34" s="128"/>
      <c r="CPF34" s="128"/>
      <c r="CPG34" s="128"/>
      <c r="CPH34" s="128"/>
      <c r="CPI34" s="128"/>
      <c r="CPJ34" s="128"/>
      <c r="CPK34" s="128"/>
      <c r="CPL34" s="128"/>
      <c r="CPM34" s="128"/>
      <c r="CPN34" s="128"/>
      <c r="CPO34" s="128"/>
      <c r="CPP34" s="128"/>
      <c r="CPQ34" s="128"/>
      <c r="CPR34" s="128"/>
      <c r="CPS34" s="128"/>
      <c r="CPT34" s="128"/>
      <c r="CPU34" s="128"/>
      <c r="CPV34" s="128"/>
      <c r="CPW34" s="128"/>
      <c r="CPX34" s="128"/>
      <c r="CPY34" s="128"/>
      <c r="CPZ34" s="128"/>
      <c r="CQA34" s="128"/>
      <c r="CQB34" s="128"/>
      <c r="CQC34" s="128"/>
      <c r="CQD34" s="128"/>
      <c r="CQE34" s="128"/>
      <c r="CQF34" s="128"/>
      <c r="CQG34" s="128"/>
      <c r="CQH34" s="128"/>
      <c r="CQI34" s="128"/>
      <c r="CQJ34" s="128"/>
      <c r="CQK34" s="128"/>
      <c r="CQL34" s="128"/>
      <c r="CQM34" s="128"/>
      <c r="CQN34" s="128"/>
      <c r="CQO34" s="128"/>
      <c r="CQP34" s="128"/>
      <c r="CQQ34" s="128"/>
      <c r="CQR34" s="128"/>
      <c r="CQS34" s="128"/>
      <c r="CQT34" s="128"/>
      <c r="CQU34" s="128"/>
      <c r="CQV34" s="128"/>
      <c r="CQW34" s="128"/>
      <c r="CQX34" s="128"/>
      <c r="CQY34" s="128"/>
      <c r="CQZ34" s="128"/>
      <c r="CRA34" s="128"/>
      <c r="CRB34" s="128"/>
      <c r="CRC34" s="128"/>
      <c r="CRD34" s="128"/>
      <c r="CRE34" s="128"/>
      <c r="CRF34" s="128"/>
      <c r="CRG34" s="128"/>
      <c r="CRH34" s="128"/>
      <c r="CRI34" s="128"/>
      <c r="CRJ34" s="128"/>
      <c r="CRK34" s="128"/>
      <c r="CRL34" s="128"/>
      <c r="CRM34" s="128"/>
      <c r="CRN34" s="128"/>
      <c r="CRO34" s="128"/>
      <c r="CRP34" s="128"/>
      <c r="CRQ34" s="128"/>
      <c r="CRR34" s="128"/>
      <c r="CRS34" s="128"/>
      <c r="CRT34" s="128"/>
      <c r="CRU34" s="128"/>
      <c r="CRV34" s="128"/>
      <c r="CRW34" s="128"/>
      <c r="CRX34" s="128"/>
      <c r="CRY34" s="128"/>
      <c r="CRZ34" s="128"/>
      <c r="CSA34" s="128"/>
      <c r="CSB34" s="128"/>
      <c r="CSC34" s="128"/>
      <c r="CSD34" s="128"/>
      <c r="CSE34" s="128"/>
      <c r="CSF34" s="128"/>
      <c r="CSG34" s="128"/>
      <c r="CSH34" s="128"/>
      <c r="CSI34" s="128"/>
      <c r="CSJ34" s="128"/>
      <c r="CSK34" s="128"/>
      <c r="CSL34" s="128"/>
      <c r="CSM34" s="128"/>
      <c r="CSN34" s="128"/>
      <c r="CSO34" s="128"/>
      <c r="CSP34" s="128"/>
      <c r="CSQ34" s="128"/>
      <c r="CSR34" s="128"/>
      <c r="CSS34" s="128"/>
      <c r="CST34" s="128"/>
      <c r="CSU34" s="128"/>
      <c r="CSV34" s="128"/>
      <c r="CSW34" s="128"/>
      <c r="CSX34" s="128"/>
      <c r="CSY34" s="128"/>
      <c r="CSZ34" s="128"/>
      <c r="CTA34" s="128"/>
      <c r="CTB34" s="128"/>
      <c r="CTC34" s="128"/>
      <c r="CTD34" s="128"/>
      <c r="CTE34" s="128"/>
      <c r="CTF34" s="128"/>
      <c r="CTG34" s="128"/>
      <c r="CTH34" s="128"/>
      <c r="CTI34" s="128"/>
      <c r="CTJ34" s="128"/>
      <c r="CTK34" s="128"/>
      <c r="CTL34" s="128"/>
      <c r="CTM34" s="128"/>
      <c r="CTN34" s="128"/>
      <c r="CTO34" s="128"/>
      <c r="CTP34" s="128"/>
      <c r="CTQ34" s="128"/>
      <c r="CTR34" s="128"/>
      <c r="CTS34" s="128"/>
      <c r="CTT34" s="128"/>
      <c r="CTU34" s="128"/>
      <c r="CTV34" s="128"/>
      <c r="CTW34" s="128"/>
      <c r="CTX34" s="128"/>
      <c r="CTY34" s="128"/>
      <c r="CTZ34" s="128"/>
      <c r="CUA34" s="128"/>
      <c r="CUB34" s="128"/>
      <c r="CUC34" s="128"/>
      <c r="CUD34" s="128"/>
      <c r="CUE34" s="128"/>
      <c r="CUF34" s="128"/>
      <c r="CUG34" s="128"/>
      <c r="CUH34" s="128"/>
      <c r="CUI34" s="128"/>
      <c r="CUJ34" s="128"/>
      <c r="CUK34" s="128"/>
      <c r="CUL34" s="128"/>
      <c r="CUM34" s="128"/>
      <c r="CUN34" s="128"/>
      <c r="CUO34" s="128"/>
      <c r="CUP34" s="128"/>
      <c r="CUQ34" s="128"/>
      <c r="CUR34" s="128"/>
      <c r="CUS34" s="128"/>
      <c r="CUT34" s="128"/>
      <c r="CUU34" s="128"/>
      <c r="CUV34" s="128"/>
      <c r="CUW34" s="128"/>
      <c r="CUX34" s="128"/>
      <c r="CUY34" s="128"/>
      <c r="CUZ34" s="128"/>
      <c r="CVA34" s="128"/>
      <c r="CVB34" s="128"/>
      <c r="CVC34" s="128"/>
      <c r="CVD34" s="128"/>
      <c r="CVE34" s="128"/>
      <c r="CVF34" s="128"/>
      <c r="CVG34" s="128"/>
      <c r="CVH34" s="128"/>
      <c r="CVI34" s="128"/>
      <c r="CVJ34" s="128"/>
      <c r="CVK34" s="128"/>
      <c r="CVL34" s="128"/>
      <c r="CVM34" s="128"/>
      <c r="CVN34" s="128"/>
      <c r="CVO34" s="128"/>
      <c r="CVP34" s="128"/>
      <c r="CVQ34" s="128"/>
      <c r="CVR34" s="128"/>
      <c r="CVS34" s="128"/>
      <c r="CVT34" s="128"/>
      <c r="CVU34" s="128"/>
      <c r="CVV34" s="128"/>
      <c r="CVW34" s="128"/>
      <c r="CVX34" s="128"/>
      <c r="CVY34" s="128"/>
      <c r="CVZ34" s="128"/>
      <c r="CWA34" s="128"/>
      <c r="CWB34" s="128"/>
      <c r="CWC34" s="128"/>
      <c r="CWD34" s="128"/>
      <c r="CWE34" s="128"/>
      <c r="CWF34" s="128"/>
      <c r="CWG34" s="128"/>
      <c r="CWH34" s="128"/>
      <c r="CWI34" s="128"/>
      <c r="CWJ34" s="128"/>
      <c r="CWK34" s="128"/>
      <c r="CWL34" s="128"/>
      <c r="CWM34" s="128"/>
      <c r="CWN34" s="128"/>
      <c r="CWO34" s="128"/>
      <c r="CWP34" s="128"/>
      <c r="CWQ34" s="128"/>
      <c r="CWR34" s="128"/>
      <c r="CWS34" s="128"/>
      <c r="CWT34" s="128"/>
      <c r="CWU34" s="128"/>
      <c r="CWV34" s="128"/>
      <c r="CWW34" s="128"/>
      <c r="CWX34" s="128"/>
      <c r="CWY34" s="128"/>
      <c r="CWZ34" s="128"/>
      <c r="CXA34" s="128"/>
      <c r="CXB34" s="128"/>
      <c r="CXC34" s="128"/>
      <c r="CXD34" s="128"/>
      <c r="CXE34" s="128"/>
      <c r="CXF34" s="128"/>
      <c r="CXG34" s="128"/>
      <c r="CXH34" s="128"/>
      <c r="CXI34" s="128"/>
      <c r="CXJ34" s="128"/>
      <c r="CXK34" s="128"/>
      <c r="CXL34" s="128"/>
      <c r="CXM34" s="128"/>
      <c r="CXN34" s="128"/>
      <c r="CXO34" s="128"/>
      <c r="CXP34" s="128"/>
      <c r="CXQ34" s="128"/>
      <c r="CXR34" s="128"/>
      <c r="CXS34" s="128"/>
      <c r="CXT34" s="128"/>
      <c r="CXU34" s="128"/>
      <c r="CXV34" s="128"/>
      <c r="CXW34" s="128"/>
      <c r="CXX34" s="128"/>
      <c r="CXY34" s="128"/>
      <c r="CXZ34" s="128"/>
      <c r="CYA34" s="128"/>
      <c r="CYB34" s="128"/>
      <c r="CYC34" s="128"/>
      <c r="CYD34" s="128"/>
      <c r="CYE34" s="128"/>
      <c r="CYF34" s="128"/>
      <c r="CYG34" s="128"/>
      <c r="CYH34" s="128"/>
      <c r="CYI34" s="128"/>
      <c r="CYJ34" s="128"/>
      <c r="CYK34" s="128"/>
      <c r="CYL34" s="128"/>
      <c r="CYM34" s="128"/>
      <c r="CYN34" s="128"/>
      <c r="CYO34" s="128"/>
      <c r="CYP34" s="128"/>
      <c r="CYQ34" s="128"/>
      <c r="CYR34" s="128"/>
      <c r="CYS34" s="128"/>
      <c r="CYT34" s="128"/>
      <c r="CYU34" s="128"/>
      <c r="CYV34" s="128"/>
      <c r="CYW34" s="128"/>
      <c r="CYX34" s="128"/>
      <c r="CYY34" s="128"/>
      <c r="CYZ34" s="128"/>
      <c r="CZA34" s="128"/>
      <c r="CZB34" s="128"/>
      <c r="CZC34" s="128"/>
      <c r="CZD34" s="128"/>
      <c r="CZE34" s="128"/>
      <c r="CZF34" s="128"/>
      <c r="CZG34" s="128"/>
      <c r="CZH34" s="128"/>
      <c r="CZI34" s="128"/>
      <c r="CZJ34" s="128"/>
      <c r="CZK34" s="128"/>
      <c r="CZL34" s="128"/>
      <c r="CZM34" s="128"/>
      <c r="CZN34" s="128"/>
      <c r="CZO34" s="128"/>
      <c r="CZP34" s="128"/>
      <c r="CZQ34" s="128"/>
      <c r="CZR34" s="128"/>
      <c r="CZS34" s="128"/>
      <c r="CZT34" s="128"/>
      <c r="CZU34" s="128"/>
      <c r="CZV34" s="128"/>
      <c r="CZW34" s="128"/>
      <c r="CZX34" s="128"/>
      <c r="CZY34" s="128"/>
      <c r="CZZ34" s="128"/>
      <c r="DAA34" s="128"/>
      <c r="DAB34" s="128"/>
      <c r="DAC34" s="128"/>
      <c r="DAD34" s="128"/>
      <c r="DAE34" s="128"/>
      <c r="DAF34" s="128"/>
      <c r="DAG34" s="128"/>
      <c r="DAH34" s="128"/>
      <c r="DAI34" s="128"/>
      <c r="DAJ34" s="128"/>
      <c r="DAK34" s="128"/>
      <c r="DAL34" s="128"/>
      <c r="DAM34" s="128"/>
      <c r="DAN34" s="128"/>
      <c r="DAO34" s="128"/>
      <c r="DAP34" s="128"/>
      <c r="DAQ34" s="128"/>
      <c r="DAR34" s="128"/>
      <c r="DAS34" s="128"/>
      <c r="DAT34" s="128"/>
      <c r="DAU34" s="128"/>
      <c r="DAV34" s="128"/>
      <c r="DAW34" s="128"/>
      <c r="DAX34" s="128"/>
      <c r="DAY34" s="128"/>
      <c r="DAZ34" s="128"/>
      <c r="DBA34" s="128"/>
      <c r="DBB34" s="128"/>
      <c r="DBC34" s="128"/>
      <c r="DBD34" s="128"/>
      <c r="DBE34" s="128"/>
      <c r="DBF34" s="128"/>
      <c r="DBG34" s="128"/>
      <c r="DBH34" s="128"/>
      <c r="DBI34" s="128"/>
      <c r="DBJ34" s="128"/>
      <c r="DBK34" s="128"/>
      <c r="DBL34" s="128"/>
      <c r="DBM34" s="128"/>
      <c r="DBN34" s="128"/>
      <c r="DBO34" s="128"/>
      <c r="DBP34" s="128"/>
      <c r="DBQ34" s="128"/>
      <c r="DBR34" s="128"/>
      <c r="DBS34" s="128"/>
      <c r="DBT34" s="128"/>
      <c r="DBU34" s="128"/>
      <c r="DBV34" s="128"/>
      <c r="DBW34" s="128"/>
      <c r="DBX34" s="128"/>
      <c r="DBY34" s="128"/>
      <c r="DBZ34" s="128"/>
      <c r="DCA34" s="128"/>
      <c r="DCB34" s="128"/>
      <c r="DCC34" s="128"/>
      <c r="DCD34" s="128"/>
      <c r="DCE34" s="128"/>
      <c r="DCF34" s="128"/>
      <c r="DCG34" s="128"/>
      <c r="DCH34" s="128"/>
      <c r="DCI34" s="128"/>
      <c r="DCJ34" s="128"/>
      <c r="DCK34" s="128"/>
      <c r="DCL34" s="128"/>
      <c r="DCM34" s="128"/>
      <c r="DCN34" s="128"/>
      <c r="DCO34" s="128"/>
      <c r="DCP34" s="128"/>
      <c r="DCQ34" s="128"/>
      <c r="DCR34" s="128"/>
      <c r="DCS34" s="128"/>
      <c r="DCT34" s="128"/>
      <c r="DCU34" s="128"/>
      <c r="DCV34" s="128"/>
      <c r="DCW34" s="128"/>
      <c r="DCX34" s="128"/>
      <c r="DCY34" s="128"/>
      <c r="DCZ34" s="128"/>
      <c r="DDA34" s="128"/>
      <c r="DDB34" s="128"/>
      <c r="DDC34" s="128"/>
      <c r="DDD34" s="128"/>
      <c r="DDE34" s="128"/>
      <c r="DDF34" s="128"/>
      <c r="DDG34" s="128"/>
      <c r="DDH34" s="128"/>
      <c r="DDI34" s="128"/>
      <c r="DDJ34" s="128"/>
      <c r="DDK34" s="128"/>
      <c r="DDL34" s="128"/>
      <c r="DDM34" s="128"/>
      <c r="DDN34" s="128"/>
      <c r="DDO34" s="128"/>
      <c r="DDP34" s="128"/>
      <c r="DDQ34" s="128"/>
      <c r="DDR34" s="128"/>
      <c r="DDS34" s="128"/>
      <c r="DDT34" s="128"/>
      <c r="DDU34" s="128"/>
      <c r="DDV34" s="128"/>
      <c r="DDW34" s="128"/>
      <c r="DDX34" s="128"/>
      <c r="DDY34" s="128"/>
      <c r="DDZ34" s="128"/>
      <c r="DEA34" s="128"/>
      <c r="DEB34" s="128"/>
      <c r="DEC34" s="128"/>
      <c r="DED34" s="128"/>
      <c r="DEE34" s="128"/>
      <c r="DEF34" s="128"/>
      <c r="DEG34" s="128"/>
      <c r="DEH34" s="128"/>
      <c r="DEI34" s="128"/>
      <c r="DEJ34" s="128"/>
      <c r="DEK34" s="128"/>
      <c r="DEL34" s="128"/>
      <c r="DEM34" s="128"/>
      <c r="DEN34" s="128"/>
      <c r="DEO34" s="128"/>
      <c r="DEP34" s="128"/>
      <c r="DEQ34" s="128"/>
      <c r="DER34" s="128"/>
      <c r="DES34" s="128"/>
      <c r="DET34" s="128"/>
      <c r="DEU34" s="128"/>
      <c r="DEV34" s="128"/>
      <c r="DEW34" s="128"/>
      <c r="DEX34" s="128"/>
      <c r="DEY34" s="128"/>
      <c r="DEZ34" s="128"/>
      <c r="DFA34" s="128"/>
      <c r="DFB34" s="128"/>
      <c r="DFC34" s="128"/>
      <c r="DFD34" s="128"/>
      <c r="DFE34" s="128"/>
      <c r="DFF34" s="128"/>
      <c r="DFG34" s="128"/>
      <c r="DFH34" s="128"/>
      <c r="DFI34" s="128"/>
      <c r="DFJ34" s="128"/>
      <c r="DFK34" s="128"/>
      <c r="DFL34" s="128"/>
      <c r="DFM34" s="128"/>
      <c r="DFN34" s="128"/>
      <c r="DFO34" s="128"/>
      <c r="DFP34" s="128"/>
      <c r="DFQ34" s="128"/>
      <c r="DFR34" s="128"/>
      <c r="DFS34" s="128"/>
      <c r="DFT34" s="128"/>
      <c r="DFU34" s="128"/>
      <c r="DFV34" s="128"/>
      <c r="DFW34" s="128"/>
      <c r="DFX34" s="128"/>
      <c r="DFY34" s="128"/>
      <c r="DFZ34" s="128"/>
      <c r="DGA34" s="128"/>
      <c r="DGB34" s="128"/>
      <c r="DGC34" s="128"/>
      <c r="DGD34" s="128"/>
      <c r="DGE34" s="128"/>
      <c r="DGF34" s="128"/>
      <c r="DGG34" s="128"/>
      <c r="DGH34" s="128"/>
      <c r="DGI34" s="128"/>
      <c r="DGJ34" s="128"/>
      <c r="DGK34" s="128"/>
      <c r="DGL34" s="128"/>
      <c r="DGM34" s="128"/>
      <c r="DGN34" s="128"/>
      <c r="DGO34" s="128"/>
      <c r="DGP34" s="128"/>
      <c r="DGQ34" s="128"/>
      <c r="DGR34" s="128"/>
      <c r="DGS34" s="128"/>
      <c r="DGT34" s="128"/>
      <c r="DGU34" s="128"/>
      <c r="DGV34" s="128"/>
      <c r="DGW34" s="128"/>
      <c r="DGX34" s="128"/>
      <c r="DGY34" s="128"/>
      <c r="DGZ34" s="128"/>
      <c r="DHA34" s="128"/>
      <c r="DHB34" s="128"/>
      <c r="DHC34" s="128"/>
      <c r="DHD34" s="128"/>
      <c r="DHE34" s="128"/>
      <c r="DHF34" s="128"/>
      <c r="DHG34" s="128"/>
      <c r="DHH34" s="128"/>
      <c r="DHI34" s="128"/>
      <c r="DHJ34" s="128"/>
      <c r="DHK34" s="128"/>
      <c r="DHL34" s="128"/>
      <c r="DHM34" s="128"/>
      <c r="DHN34" s="128"/>
      <c r="DHO34" s="128"/>
      <c r="DHP34" s="128"/>
      <c r="DHQ34" s="128"/>
      <c r="DHR34" s="128"/>
      <c r="DHS34" s="128"/>
      <c r="DHT34" s="128"/>
      <c r="DHU34" s="128"/>
      <c r="DHV34" s="128"/>
      <c r="DHW34" s="128"/>
      <c r="DHX34" s="128"/>
      <c r="DHY34" s="128"/>
      <c r="DHZ34" s="128"/>
      <c r="DIA34" s="128"/>
      <c r="DIB34" s="128"/>
      <c r="DIC34" s="128"/>
    </row>
    <row r="35" spans="1:2941" ht="12" x14ac:dyDescent="0.2">
      <c r="A35" s="369" t="s">
        <v>216</v>
      </c>
      <c r="B35" s="370"/>
      <c r="C35" s="370"/>
      <c r="D35" s="370"/>
      <c r="E35" s="370"/>
      <c r="F35" s="370"/>
      <c r="G35" s="370"/>
      <c r="H35" s="233"/>
      <c r="I35" s="141"/>
      <c r="J35" s="141"/>
      <c r="K35" s="141"/>
      <c r="L35" s="141"/>
      <c r="M35" s="141"/>
      <c r="N35" s="141"/>
      <c r="O35" s="186"/>
      <c r="P35" s="200"/>
      <c r="Q35" s="200"/>
      <c r="R35" s="200"/>
      <c r="S35" s="200"/>
      <c r="T35" s="200"/>
      <c r="U35" s="200"/>
      <c r="V35" s="200"/>
      <c r="W35" s="200"/>
      <c r="X35" s="200"/>
      <c r="Y35" s="200"/>
      <c r="Z35" s="200"/>
      <c r="AA35" s="200"/>
      <c r="AB35" s="200"/>
      <c r="AC35" s="200"/>
      <c r="AD35" s="200"/>
      <c r="AE35" s="200"/>
      <c r="AF35" s="200"/>
      <c r="AG35" s="200"/>
      <c r="AH35" s="200"/>
      <c r="AI35" s="200"/>
      <c r="AJ35" s="186"/>
      <c r="AK35" s="200"/>
      <c r="AL35" s="200"/>
      <c r="AM35" s="200"/>
      <c r="AN35" s="200"/>
      <c r="AO35" s="200"/>
      <c r="AP35" s="200"/>
      <c r="AQ35" s="200"/>
      <c r="AR35" s="200"/>
      <c r="AS35" s="200"/>
      <c r="AT35" s="200"/>
      <c r="AU35" s="200"/>
      <c r="AV35" s="206"/>
      <c r="AW35" s="206"/>
      <c r="AX35" s="206"/>
      <c r="AY35" s="206"/>
      <c r="AZ35" s="206"/>
      <c r="BA35" s="200"/>
      <c r="BB35" s="200"/>
      <c r="BC35" s="200"/>
      <c r="BD35" s="200"/>
      <c r="BE35" s="200"/>
      <c r="BF35" s="200"/>
      <c r="BG35" s="200"/>
      <c r="BH35" s="200"/>
      <c r="BI35" s="200"/>
      <c r="BJ35" s="200"/>
      <c r="BK35" s="200"/>
      <c r="BL35" s="200"/>
      <c r="BM35" s="200"/>
      <c r="BN35" s="200"/>
      <c r="BO35" s="200"/>
      <c r="BP35" s="200"/>
      <c r="BQ35" s="200"/>
      <c r="BR35" s="200"/>
      <c r="BS35" s="200"/>
      <c r="BT35" s="200"/>
      <c r="BU35" s="200"/>
      <c r="BV35" s="200"/>
      <c r="BW35" s="200"/>
      <c r="BX35" s="200"/>
      <c r="BY35" s="200"/>
      <c r="BZ35" s="200"/>
      <c r="CA35" s="200"/>
      <c r="CB35" s="200"/>
      <c r="CC35" s="200"/>
      <c r="CD35" s="200"/>
      <c r="CE35" s="200"/>
      <c r="CF35" s="200"/>
      <c r="CG35" s="200"/>
      <c r="CH35" s="200"/>
      <c r="CI35" s="200"/>
      <c r="CJ35" s="200"/>
      <c r="CK35" s="200"/>
      <c r="CL35" s="200"/>
      <c r="CM35" s="200"/>
      <c r="CN35" s="200"/>
      <c r="CO35" s="206"/>
      <c r="CP35" s="248"/>
      <c r="CQ35" s="248"/>
      <c r="CR35" s="248"/>
      <c r="CS35" s="248"/>
      <c r="CT35" s="189"/>
      <c r="CU35" s="248"/>
      <c r="CV35" s="200"/>
      <c r="CW35" s="206"/>
      <c r="CX35" s="248"/>
      <c r="CY35" s="248"/>
      <c r="CZ35" s="248"/>
      <c r="DA35" s="248"/>
      <c r="DB35" s="201"/>
      <c r="DC35" s="248"/>
      <c r="DD35" s="248"/>
      <c r="DE35" s="206"/>
      <c r="DF35" s="248"/>
      <c r="DG35" s="241"/>
      <c r="DH35" s="241"/>
      <c r="DI35" s="242"/>
      <c r="DJ35" s="242"/>
    </row>
    <row r="36" spans="1:2941" ht="12" x14ac:dyDescent="0.2">
      <c r="A36" s="168" t="s">
        <v>217</v>
      </c>
      <c r="B36" s="168" t="s">
        <v>218</v>
      </c>
      <c r="C36" s="169" t="s">
        <v>219</v>
      </c>
      <c r="D36" s="169" t="s">
        <v>220</v>
      </c>
      <c r="E36" s="169" t="s">
        <v>133</v>
      </c>
      <c r="F36" s="169" t="s">
        <v>221</v>
      </c>
      <c r="G36" s="170" t="s">
        <v>222</v>
      </c>
      <c r="H36" s="234">
        <v>201750</v>
      </c>
      <c r="I36" s="146">
        <v>7500</v>
      </c>
      <c r="J36" s="147"/>
      <c r="K36" s="147"/>
      <c r="L36" s="147" t="s">
        <v>11</v>
      </c>
      <c r="M36" s="147" t="s">
        <v>11</v>
      </c>
      <c r="N36" s="147" t="s">
        <v>138</v>
      </c>
      <c r="O36" s="192" t="s">
        <v>139</v>
      </c>
      <c r="P36" s="190" t="s">
        <v>11</v>
      </c>
      <c r="Q36" s="190" t="s">
        <v>11</v>
      </c>
      <c r="R36" s="190" t="s">
        <v>11</v>
      </c>
      <c r="S36" s="190" t="s">
        <v>11</v>
      </c>
      <c r="T36" s="190" t="s">
        <v>11</v>
      </c>
      <c r="U36" s="190" t="s">
        <v>11</v>
      </c>
      <c r="V36" s="190" t="s">
        <v>11</v>
      </c>
      <c r="W36" s="190" t="s">
        <v>11</v>
      </c>
      <c r="X36" s="190" t="s">
        <v>11</v>
      </c>
      <c r="Y36" s="190" t="s">
        <v>11</v>
      </c>
      <c r="Z36" s="190" t="s">
        <v>140</v>
      </c>
      <c r="AA36" s="190" t="s">
        <v>140</v>
      </c>
      <c r="AB36" s="190" t="s">
        <v>140</v>
      </c>
      <c r="AC36" s="190" t="s">
        <v>140</v>
      </c>
      <c r="AD36" s="190" t="s">
        <v>140</v>
      </c>
      <c r="AE36" s="190" t="s">
        <v>11</v>
      </c>
      <c r="AF36" s="190" t="s">
        <v>11</v>
      </c>
      <c r="AG36" s="190" t="s">
        <v>140</v>
      </c>
      <c r="AH36" s="276">
        <v>1346</v>
      </c>
      <c r="AI36" s="190" t="s">
        <v>11</v>
      </c>
      <c r="AJ36" s="187"/>
      <c r="AK36" s="190" t="s">
        <v>11</v>
      </c>
      <c r="AL36" s="190" t="s">
        <v>11</v>
      </c>
      <c r="AM36" s="206"/>
      <c r="AN36" s="190" t="s">
        <v>11</v>
      </c>
      <c r="AO36" s="190" t="s">
        <v>11</v>
      </c>
      <c r="AP36" s="190" t="s">
        <v>140</v>
      </c>
      <c r="AQ36" s="190" t="s">
        <v>11</v>
      </c>
      <c r="AR36" s="190" t="s">
        <v>140</v>
      </c>
      <c r="AS36" s="190" t="s">
        <v>11</v>
      </c>
      <c r="AT36" s="190" t="s">
        <v>11</v>
      </c>
      <c r="AU36" s="190" t="s">
        <v>140</v>
      </c>
      <c r="AV36" s="192" t="s">
        <v>11</v>
      </c>
      <c r="AW36" s="192" t="s">
        <v>11</v>
      </c>
      <c r="AX36" s="192"/>
      <c r="AY36" s="192"/>
      <c r="AZ36" s="192"/>
      <c r="BA36" s="190"/>
      <c r="BB36" s="190"/>
      <c r="BC36" s="190"/>
      <c r="BD36" s="190"/>
      <c r="BE36" s="190"/>
      <c r="BF36" s="190"/>
      <c r="BG36" s="206"/>
      <c r="BH36" s="190" t="s">
        <v>11</v>
      </c>
      <c r="BI36" s="190" t="s">
        <v>11</v>
      </c>
      <c r="BJ36" s="190" t="s">
        <v>11</v>
      </c>
      <c r="BK36" s="190" t="s">
        <v>11</v>
      </c>
      <c r="BL36" s="190" t="s">
        <v>11</v>
      </c>
      <c r="BM36" s="190" t="s">
        <v>11</v>
      </c>
      <c r="BN36" s="190" t="s">
        <v>11</v>
      </c>
      <c r="BO36" s="190" t="s">
        <v>11</v>
      </c>
      <c r="BP36" s="190" t="s">
        <v>11</v>
      </c>
      <c r="BQ36" s="206"/>
      <c r="BR36" s="190" t="s">
        <v>141</v>
      </c>
      <c r="BS36" s="190" t="s">
        <v>141</v>
      </c>
      <c r="BT36" s="190" t="s">
        <v>141</v>
      </c>
      <c r="BU36" s="190" t="s">
        <v>11</v>
      </c>
      <c r="BV36" s="190" t="s">
        <v>141</v>
      </c>
      <c r="BW36" s="190" t="s">
        <v>11</v>
      </c>
      <c r="BX36" s="190" t="s">
        <v>11</v>
      </c>
      <c r="BY36" s="190" t="s">
        <v>11</v>
      </c>
      <c r="BZ36" s="190" t="s">
        <v>11</v>
      </c>
      <c r="CA36" s="190" t="s">
        <v>11</v>
      </c>
      <c r="CB36" s="190" t="s">
        <v>11</v>
      </c>
      <c r="CC36" s="206"/>
      <c r="CD36" s="190" t="s">
        <v>141</v>
      </c>
      <c r="CE36" s="190" t="s">
        <v>141</v>
      </c>
      <c r="CF36" s="190" t="s">
        <v>141</v>
      </c>
      <c r="CG36" s="190" t="s">
        <v>141</v>
      </c>
      <c r="CH36" s="190" t="s">
        <v>141</v>
      </c>
      <c r="CI36" s="190" t="s">
        <v>141</v>
      </c>
      <c r="CJ36" s="190" t="s">
        <v>11</v>
      </c>
      <c r="CK36" s="190" t="s">
        <v>11</v>
      </c>
      <c r="CL36" s="190" t="s">
        <v>11</v>
      </c>
      <c r="CM36" s="190" t="s">
        <v>11</v>
      </c>
      <c r="CN36" s="190" t="s">
        <v>11</v>
      </c>
      <c r="CO36" s="206"/>
      <c r="CP36" s="190" t="s">
        <v>11</v>
      </c>
      <c r="CQ36" s="190" t="s">
        <v>11</v>
      </c>
      <c r="CR36" s="190" t="s">
        <v>11</v>
      </c>
      <c r="CS36" s="190" t="s">
        <v>11</v>
      </c>
      <c r="CT36" s="190" t="s">
        <v>11</v>
      </c>
      <c r="CU36" s="190" t="s">
        <v>11</v>
      </c>
      <c r="CV36" s="204" t="s">
        <v>11</v>
      </c>
      <c r="CW36" s="206"/>
      <c r="CX36" s="190" t="s">
        <v>11</v>
      </c>
      <c r="CY36" s="190" t="s">
        <v>11</v>
      </c>
      <c r="CZ36" s="190" t="s">
        <v>11</v>
      </c>
      <c r="DA36" s="193" t="s">
        <v>11</v>
      </c>
      <c r="DB36" s="197" t="s">
        <v>11</v>
      </c>
      <c r="DC36" s="194" t="s">
        <v>11</v>
      </c>
      <c r="DD36" s="190" t="s">
        <v>11</v>
      </c>
      <c r="DE36" s="206"/>
      <c r="DF36" s="190" t="s">
        <v>178</v>
      </c>
      <c r="DG36" s="241"/>
      <c r="DH36" s="241"/>
      <c r="DI36" s="242"/>
      <c r="DJ36" s="242"/>
    </row>
    <row r="37" spans="1:2941" ht="12" x14ac:dyDescent="0.2">
      <c r="A37" s="168" t="s">
        <v>223</v>
      </c>
      <c r="B37" s="168" t="s">
        <v>224</v>
      </c>
      <c r="C37" s="169"/>
      <c r="D37" s="169" t="s">
        <v>220</v>
      </c>
      <c r="E37" s="169" t="s">
        <v>133</v>
      </c>
      <c r="F37" s="169" t="s">
        <v>221</v>
      </c>
      <c r="G37" s="170" t="s">
        <v>222</v>
      </c>
      <c r="H37" s="234">
        <v>27500</v>
      </c>
      <c r="I37" s="147"/>
      <c r="J37" s="147" t="s">
        <v>215</v>
      </c>
      <c r="K37" s="147"/>
      <c r="L37" s="147" t="s">
        <v>138</v>
      </c>
      <c r="M37" s="147" t="s">
        <v>138</v>
      </c>
      <c r="N37" s="147" t="s">
        <v>138</v>
      </c>
      <c r="O37" s="192" t="s">
        <v>139</v>
      </c>
      <c r="P37" s="190" t="s">
        <v>140</v>
      </c>
      <c r="Q37" s="190" t="s">
        <v>11</v>
      </c>
      <c r="R37" s="190" t="s">
        <v>148</v>
      </c>
      <c r="S37" s="190" t="s">
        <v>148</v>
      </c>
      <c r="T37" s="190" t="s">
        <v>11</v>
      </c>
      <c r="U37" s="190" t="s">
        <v>11</v>
      </c>
      <c r="V37" s="190" t="s">
        <v>11</v>
      </c>
      <c r="W37" s="190" t="s">
        <v>11</v>
      </c>
      <c r="X37" s="190" t="s">
        <v>11</v>
      </c>
      <c r="Y37" s="190" t="s">
        <v>11</v>
      </c>
      <c r="Z37" s="190" t="s">
        <v>140</v>
      </c>
      <c r="AA37" s="190" t="s">
        <v>140</v>
      </c>
      <c r="AB37" s="190" t="s">
        <v>140</v>
      </c>
      <c r="AC37" s="190" t="s">
        <v>11</v>
      </c>
      <c r="AD37" s="190" t="s">
        <v>11</v>
      </c>
      <c r="AE37" s="190" t="s">
        <v>140</v>
      </c>
      <c r="AF37" s="190" t="s">
        <v>140</v>
      </c>
      <c r="AG37" s="190" t="s">
        <v>140</v>
      </c>
      <c r="AH37" s="276">
        <v>9</v>
      </c>
      <c r="AI37" s="190" t="s">
        <v>140</v>
      </c>
      <c r="AJ37" s="187"/>
      <c r="AK37" s="190" t="s">
        <v>140</v>
      </c>
      <c r="AL37" s="190" t="s">
        <v>140</v>
      </c>
      <c r="AM37" s="206"/>
      <c r="AN37" s="190" t="s">
        <v>11</v>
      </c>
      <c r="AO37" s="190" t="s">
        <v>11</v>
      </c>
      <c r="AP37" s="190" t="s">
        <v>140</v>
      </c>
      <c r="AQ37" s="190" t="s">
        <v>11</v>
      </c>
      <c r="AR37" s="190" t="s">
        <v>140</v>
      </c>
      <c r="AS37" s="190" t="s">
        <v>11</v>
      </c>
      <c r="AT37" s="190" t="s">
        <v>11</v>
      </c>
      <c r="AU37" s="190" t="s">
        <v>140</v>
      </c>
      <c r="AV37" s="190" t="s">
        <v>140</v>
      </c>
      <c r="AW37" s="190" t="s">
        <v>11</v>
      </c>
      <c r="AX37" s="190"/>
      <c r="AY37" s="190"/>
      <c r="AZ37" s="190"/>
      <c r="BA37" s="190"/>
      <c r="BB37" s="190"/>
      <c r="BC37" s="190"/>
      <c r="BD37" s="190"/>
      <c r="BE37" s="190"/>
      <c r="BF37" s="190"/>
      <c r="BG37" s="206"/>
      <c r="BH37" s="190" t="s">
        <v>225</v>
      </c>
      <c r="BI37" s="288">
        <v>45991</v>
      </c>
      <c r="BJ37" s="190">
        <v>850000</v>
      </c>
      <c r="BK37" s="190" t="s">
        <v>148</v>
      </c>
      <c r="BL37" s="190" t="s">
        <v>11</v>
      </c>
      <c r="BM37" s="190" t="s">
        <v>11</v>
      </c>
      <c r="BN37" s="190" t="s">
        <v>11</v>
      </c>
      <c r="BO37" s="190" t="s">
        <v>11</v>
      </c>
      <c r="BP37" s="190" t="s">
        <v>11</v>
      </c>
      <c r="BQ37" s="206"/>
      <c r="BR37" s="190" t="s">
        <v>141</v>
      </c>
      <c r="BS37" s="190" t="s">
        <v>141</v>
      </c>
      <c r="BT37" s="190" t="s">
        <v>141</v>
      </c>
      <c r="BU37" s="190" t="s">
        <v>141</v>
      </c>
      <c r="BV37" s="190" t="s">
        <v>141</v>
      </c>
      <c r="BW37" s="190" t="s">
        <v>11</v>
      </c>
      <c r="BX37" s="190" t="s">
        <v>11</v>
      </c>
      <c r="BY37" s="190" t="s">
        <v>141</v>
      </c>
      <c r="BZ37" s="190" t="s">
        <v>141</v>
      </c>
      <c r="CA37" s="190" t="s">
        <v>11</v>
      </c>
      <c r="CB37" s="190" t="s">
        <v>11</v>
      </c>
      <c r="CC37" s="206"/>
      <c r="CD37" s="190" t="s">
        <v>141</v>
      </c>
      <c r="CE37" s="190" t="s">
        <v>141</v>
      </c>
      <c r="CF37" s="190" t="s">
        <v>141</v>
      </c>
      <c r="CG37" s="190" t="s">
        <v>141</v>
      </c>
      <c r="CH37" s="190" t="s">
        <v>141</v>
      </c>
      <c r="CI37" s="190" t="s">
        <v>11</v>
      </c>
      <c r="CJ37" s="190" t="s">
        <v>11</v>
      </c>
      <c r="CK37" s="190" t="s">
        <v>11</v>
      </c>
      <c r="CL37" s="190" t="s">
        <v>11</v>
      </c>
      <c r="CM37" s="190" t="s">
        <v>11</v>
      </c>
      <c r="CN37" s="190" t="s">
        <v>141</v>
      </c>
      <c r="CO37" s="206"/>
      <c r="CP37" s="190" t="s">
        <v>11</v>
      </c>
      <c r="CQ37" s="190" t="s">
        <v>11</v>
      </c>
      <c r="CR37" s="190" t="s">
        <v>11</v>
      </c>
      <c r="CS37" s="190" t="s">
        <v>11</v>
      </c>
      <c r="CT37" s="174" t="s">
        <v>11</v>
      </c>
      <c r="CU37" s="190" t="s">
        <v>11</v>
      </c>
      <c r="CV37" s="190" t="s">
        <v>11</v>
      </c>
      <c r="CW37" s="206"/>
      <c r="CX37" s="190" t="s">
        <v>140</v>
      </c>
      <c r="CY37" s="190" t="s">
        <v>140</v>
      </c>
      <c r="CZ37" s="190" t="s">
        <v>11</v>
      </c>
      <c r="DA37" s="193" t="s">
        <v>11</v>
      </c>
      <c r="DB37" s="197" t="s">
        <v>11</v>
      </c>
      <c r="DC37" s="194" t="s">
        <v>11</v>
      </c>
      <c r="DD37" s="190" t="s">
        <v>11</v>
      </c>
      <c r="DE37" s="206"/>
      <c r="DF37" s="190" t="s">
        <v>11</v>
      </c>
      <c r="DG37" s="241"/>
      <c r="DH37" s="241"/>
      <c r="DI37" s="242"/>
      <c r="DJ37" s="242"/>
    </row>
    <row r="38" spans="1:2941" ht="12" x14ac:dyDescent="0.2">
      <c r="A38" s="168" t="s">
        <v>226</v>
      </c>
      <c r="B38" s="168" t="s">
        <v>227</v>
      </c>
      <c r="C38" s="169" t="s">
        <v>228</v>
      </c>
      <c r="D38" s="169" t="s">
        <v>229</v>
      </c>
      <c r="E38" s="169" t="s">
        <v>133</v>
      </c>
      <c r="F38" s="169" t="s">
        <v>221</v>
      </c>
      <c r="G38" s="170" t="s">
        <v>222</v>
      </c>
      <c r="H38" s="234">
        <v>50000</v>
      </c>
      <c r="I38" s="147"/>
      <c r="J38" s="321" t="s">
        <v>215</v>
      </c>
      <c r="K38" s="147"/>
      <c r="L38" s="147" t="s">
        <v>147</v>
      </c>
      <c r="M38" s="147" t="s">
        <v>11</v>
      </c>
      <c r="N38" s="147" t="s">
        <v>138</v>
      </c>
      <c r="O38" s="192" t="s">
        <v>139</v>
      </c>
      <c r="P38" s="190" t="s">
        <v>140</v>
      </c>
      <c r="Q38" s="190" t="s">
        <v>11</v>
      </c>
      <c r="R38" s="190" t="s">
        <v>140</v>
      </c>
      <c r="S38" s="190" t="s">
        <v>140</v>
      </c>
      <c r="T38" s="190" t="s">
        <v>140</v>
      </c>
      <c r="U38" s="190" t="s">
        <v>140</v>
      </c>
      <c r="V38" s="190" t="s">
        <v>11</v>
      </c>
      <c r="W38" s="190" t="s">
        <v>140</v>
      </c>
      <c r="X38" s="190" t="s">
        <v>140</v>
      </c>
      <c r="Y38" s="190" t="s">
        <v>11</v>
      </c>
      <c r="Z38" s="190" t="s">
        <v>140</v>
      </c>
      <c r="AA38" s="190" t="s">
        <v>140</v>
      </c>
      <c r="AB38" s="190" t="s">
        <v>140</v>
      </c>
      <c r="AC38" s="190" t="s">
        <v>11</v>
      </c>
      <c r="AD38" s="190" t="s">
        <v>11</v>
      </c>
      <c r="AE38" s="190" t="s">
        <v>140</v>
      </c>
      <c r="AF38" s="190" t="s">
        <v>140</v>
      </c>
      <c r="AG38" s="190" t="s">
        <v>140</v>
      </c>
      <c r="AH38" s="276">
        <v>96</v>
      </c>
      <c r="AI38" s="190" t="s">
        <v>140</v>
      </c>
      <c r="AJ38" s="187"/>
      <c r="AK38" s="190" t="s">
        <v>11</v>
      </c>
      <c r="AL38" s="190" t="s">
        <v>11</v>
      </c>
      <c r="AM38" s="249"/>
      <c r="AN38" s="190" t="s">
        <v>11</v>
      </c>
      <c r="AO38" s="190" t="s">
        <v>148</v>
      </c>
      <c r="AP38" s="190" t="s">
        <v>140</v>
      </c>
      <c r="AQ38" s="190" t="s">
        <v>11</v>
      </c>
      <c r="AR38" s="190" t="s">
        <v>140</v>
      </c>
      <c r="AS38" s="190" t="s">
        <v>140</v>
      </c>
      <c r="AT38" s="190" t="s">
        <v>11</v>
      </c>
      <c r="AU38" s="190" t="s">
        <v>140</v>
      </c>
      <c r="AV38" s="190" t="s">
        <v>140</v>
      </c>
      <c r="AW38" s="190" t="s">
        <v>140</v>
      </c>
      <c r="AX38" s="190"/>
      <c r="AY38" s="190"/>
      <c r="AZ38" s="190"/>
      <c r="BA38" s="190"/>
      <c r="BB38" s="190"/>
      <c r="BC38" s="190"/>
      <c r="BD38" s="190"/>
      <c r="BE38" s="190"/>
      <c r="BF38" s="190"/>
      <c r="BG38" s="206"/>
      <c r="BH38" s="190" t="s">
        <v>11</v>
      </c>
      <c r="BI38" s="190" t="s">
        <v>11</v>
      </c>
      <c r="BJ38" s="190" t="s">
        <v>11</v>
      </c>
      <c r="BK38" s="190" t="s">
        <v>11</v>
      </c>
      <c r="BL38" s="190" t="s">
        <v>11</v>
      </c>
      <c r="BM38" s="190" t="s">
        <v>11</v>
      </c>
      <c r="BN38" s="190" t="s">
        <v>11</v>
      </c>
      <c r="BO38" s="190" t="s">
        <v>11</v>
      </c>
      <c r="BP38" s="190" t="s">
        <v>11</v>
      </c>
      <c r="BQ38" s="206"/>
      <c r="BR38" s="190" t="s">
        <v>141</v>
      </c>
      <c r="BS38" s="190" t="s">
        <v>141</v>
      </c>
      <c r="BT38" s="190" t="s">
        <v>141</v>
      </c>
      <c r="BU38" s="190" t="s">
        <v>141</v>
      </c>
      <c r="BV38" s="190" t="s">
        <v>141</v>
      </c>
      <c r="BW38" s="190" t="s">
        <v>141</v>
      </c>
      <c r="BX38" s="190" t="s">
        <v>11</v>
      </c>
      <c r="BY38" s="190" t="s">
        <v>141</v>
      </c>
      <c r="BZ38" s="190" t="s">
        <v>141</v>
      </c>
      <c r="CA38" s="190" t="s">
        <v>11</v>
      </c>
      <c r="CB38" s="190" t="s">
        <v>141</v>
      </c>
      <c r="CC38" s="206"/>
      <c r="CD38" s="190" t="s">
        <v>141</v>
      </c>
      <c r="CE38" s="190" t="s">
        <v>141</v>
      </c>
      <c r="CF38" s="190" t="s">
        <v>141</v>
      </c>
      <c r="CG38" s="190" t="s">
        <v>141</v>
      </c>
      <c r="CH38" s="190" t="s">
        <v>141</v>
      </c>
      <c r="CI38" s="190" t="s">
        <v>141</v>
      </c>
      <c r="CJ38" s="190" t="s">
        <v>11</v>
      </c>
      <c r="CK38" s="190" t="s">
        <v>11</v>
      </c>
      <c r="CL38" s="190" t="s">
        <v>11</v>
      </c>
      <c r="CM38" s="190" t="s">
        <v>11</v>
      </c>
      <c r="CN38" s="190" t="s">
        <v>141</v>
      </c>
      <c r="CO38" s="206"/>
      <c r="CP38" s="190" t="s">
        <v>140</v>
      </c>
      <c r="CQ38" s="190" t="s">
        <v>148</v>
      </c>
      <c r="CR38" s="190" t="s">
        <v>148</v>
      </c>
      <c r="CS38" s="190" t="s">
        <v>11</v>
      </c>
      <c r="CT38" s="195" t="s">
        <v>148</v>
      </c>
      <c r="CU38" s="195" t="s">
        <v>148</v>
      </c>
      <c r="CV38" s="195" t="s">
        <v>148</v>
      </c>
      <c r="CW38" s="206"/>
      <c r="CX38" s="190" t="s">
        <v>140</v>
      </c>
      <c r="CY38" s="190" t="s">
        <v>148</v>
      </c>
      <c r="CZ38" s="190" t="s">
        <v>148</v>
      </c>
      <c r="DA38" s="192" t="s">
        <v>148</v>
      </c>
      <c r="DB38" s="192" t="s">
        <v>148</v>
      </c>
      <c r="DC38" s="192" t="s">
        <v>148</v>
      </c>
      <c r="DD38" s="190" t="s">
        <v>148</v>
      </c>
      <c r="DE38" s="206"/>
      <c r="DF38" s="190" t="s">
        <v>11</v>
      </c>
      <c r="DG38" s="241"/>
      <c r="DH38" s="241"/>
      <c r="DI38" s="242"/>
      <c r="DJ38" s="242"/>
    </row>
    <row r="39" spans="1:2941" ht="12" x14ac:dyDescent="0.2">
      <c r="A39" s="168" t="s">
        <v>230</v>
      </c>
      <c r="B39" s="168" t="s">
        <v>231</v>
      </c>
      <c r="C39" s="169" t="s">
        <v>228</v>
      </c>
      <c r="D39" s="169" t="s">
        <v>229</v>
      </c>
      <c r="E39" s="169" t="s">
        <v>133</v>
      </c>
      <c r="F39" s="169" t="s">
        <v>221</v>
      </c>
      <c r="G39" s="170" t="s">
        <v>222</v>
      </c>
      <c r="H39" s="234">
        <v>82500</v>
      </c>
      <c r="I39" s="147"/>
      <c r="J39" s="147" t="s">
        <v>232</v>
      </c>
      <c r="K39" s="147"/>
      <c r="L39" s="147" t="s">
        <v>147</v>
      </c>
      <c r="M39" s="147" t="s">
        <v>11</v>
      </c>
      <c r="N39" s="147" t="s">
        <v>138</v>
      </c>
      <c r="O39" s="192" t="s">
        <v>139</v>
      </c>
      <c r="P39" s="190" t="s">
        <v>140</v>
      </c>
      <c r="Q39" s="190" t="s">
        <v>11</v>
      </c>
      <c r="R39" s="190" t="s">
        <v>140</v>
      </c>
      <c r="S39" s="190" t="s">
        <v>140</v>
      </c>
      <c r="T39" s="190" t="s">
        <v>140</v>
      </c>
      <c r="U39" s="190" t="s">
        <v>140</v>
      </c>
      <c r="V39" s="190" t="s">
        <v>11</v>
      </c>
      <c r="W39" s="190" t="s">
        <v>140</v>
      </c>
      <c r="X39" s="190" t="s">
        <v>140</v>
      </c>
      <c r="Y39" s="190" t="s">
        <v>140</v>
      </c>
      <c r="Z39" s="190" t="s">
        <v>140</v>
      </c>
      <c r="AA39" s="190" t="s">
        <v>140</v>
      </c>
      <c r="AB39" s="190" t="s">
        <v>140</v>
      </c>
      <c r="AC39" s="190" t="s">
        <v>11</v>
      </c>
      <c r="AD39" s="190" t="s">
        <v>11</v>
      </c>
      <c r="AE39" s="190" t="s">
        <v>140</v>
      </c>
      <c r="AF39" s="190" t="s">
        <v>140</v>
      </c>
      <c r="AG39" s="190" t="s">
        <v>140</v>
      </c>
      <c r="AH39" s="223">
        <v>126</v>
      </c>
      <c r="AI39" s="190" t="s">
        <v>140</v>
      </c>
      <c r="AJ39" s="187"/>
      <c r="AK39" s="190" t="s">
        <v>140</v>
      </c>
      <c r="AL39" s="190" t="s">
        <v>140</v>
      </c>
      <c r="AM39" s="249"/>
      <c r="AN39" s="190" t="s">
        <v>148</v>
      </c>
      <c r="AO39" s="190" t="s">
        <v>148</v>
      </c>
      <c r="AP39" s="190" t="s">
        <v>140</v>
      </c>
      <c r="AQ39" s="190" t="s">
        <v>11</v>
      </c>
      <c r="AR39" s="190" t="s">
        <v>140</v>
      </c>
      <c r="AS39" s="190" t="s">
        <v>140</v>
      </c>
      <c r="AT39" s="190" t="s">
        <v>11</v>
      </c>
      <c r="AU39" s="190" t="s">
        <v>140</v>
      </c>
      <c r="AV39" s="190" t="s">
        <v>140</v>
      </c>
      <c r="AW39" s="190" t="s">
        <v>11</v>
      </c>
      <c r="AX39" s="190"/>
      <c r="AY39" s="190"/>
      <c r="AZ39" s="190"/>
      <c r="BA39" s="190"/>
      <c r="BB39" s="190"/>
      <c r="BC39" s="190"/>
      <c r="BD39" s="190"/>
      <c r="BE39" s="190"/>
      <c r="BF39" s="190"/>
      <c r="BG39" s="206"/>
      <c r="BH39" s="190" t="s">
        <v>11</v>
      </c>
      <c r="BI39" s="190" t="s">
        <v>11</v>
      </c>
      <c r="BJ39" s="190" t="s">
        <v>11</v>
      </c>
      <c r="BK39" s="190" t="s">
        <v>11</v>
      </c>
      <c r="BL39" s="190" t="s">
        <v>11</v>
      </c>
      <c r="BM39" s="190" t="s">
        <v>11</v>
      </c>
      <c r="BN39" s="190" t="s">
        <v>11</v>
      </c>
      <c r="BO39" s="190" t="s">
        <v>11</v>
      </c>
      <c r="BP39" s="190" t="s">
        <v>11</v>
      </c>
      <c r="BQ39" s="206"/>
      <c r="BR39" s="190" t="s">
        <v>141</v>
      </c>
      <c r="BS39" s="190" t="s">
        <v>141</v>
      </c>
      <c r="BT39" s="190" t="s">
        <v>141</v>
      </c>
      <c r="BU39" s="190" t="s">
        <v>141</v>
      </c>
      <c r="BV39" s="190" t="s">
        <v>141</v>
      </c>
      <c r="BW39" s="190" t="s">
        <v>141</v>
      </c>
      <c r="BX39" s="190" t="s">
        <v>141</v>
      </c>
      <c r="BY39" s="190" t="s">
        <v>141</v>
      </c>
      <c r="BZ39" s="190" t="s">
        <v>141</v>
      </c>
      <c r="CA39" s="190" t="s">
        <v>141</v>
      </c>
      <c r="CB39" s="190" t="s">
        <v>11</v>
      </c>
      <c r="CC39" s="206"/>
      <c r="CD39" s="190" t="s">
        <v>141</v>
      </c>
      <c r="CE39" s="190" t="s">
        <v>141</v>
      </c>
      <c r="CF39" s="190" t="s">
        <v>141</v>
      </c>
      <c r="CG39" s="190" t="s">
        <v>141</v>
      </c>
      <c r="CH39" s="190" t="s">
        <v>141</v>
      </c>
      <c r="CI39" s="190" t="s">
        <v>141</v>
      </c>
      <c r="CJ39" s="190" t="s">
        <v>141</v>
      </c>
      <c r="CK39" s="190" t="s">
        <v>141</v>
      </c>
      <c r="CL39" s="190" t="s">
        <v>141</v>
      </c>
      <c r="CM39" s="190" t="s">
        <v>141</v>
      </c>
      <c r="CN39" s="190" t="s">
        <v>141</v>
      </c>
      <c r="CO39" s="206"/>
      <c r="CP39" s="190" t="s">
        <v>140</v>
      </c>
      <c r="CQ39" s="190" t="s">
        <v>148</v>
      </c>
      <c r="CR39" s="190" t="s">
        <v>148</v>
      </c>
      <c r="CS39" s="190" t="s">
        <v>11</v>
      </c>
      <c r="CT39" s="195" t="s">
        <v>148</v>
      </c>
      <c r="CU39" s="195" t="s">
        <v>148</v>
      </c>
      <c r="CV39" s="195" t="s">
        <v>148</v>
      </c>
      <c r="CW39" s="206"/>
      <c r="CX39" s="190" t="s">
        <v>140</v>
      </c>
      <c r="CY39" s="190" t="s">
        <v>140</v>
      </c>
      <c r="CZ39" s="190" t="s">
        <v>148</v>
      </c>
      <c r="DA39" s="193" t="s">
        <v>148</v>
      </c>
      <c r="DB39" s="197" t="s">
        <v>148</v>
      </c>
      <c r="DC39" s="194" t="s">
        <v>148</v>
      </c>
      <c r="DD39" s="190" t="s">
        <v>148</v>
      </c>
      <c r="DE39" s="206"/>
      <c r="DF39" s="190" t="s">
        <v>178</v>
      </c>
      <c r="DG39" s="241"/>
      <c r="DH39" s="241"/>
      <c r="DI39" s="242"/>
      <c r="DJ39" s="242"/>
    </row>
    <row r="40" spans="1:2941" ht="12" x14ac:dyDescent="0.2">
      <c r="A40" s="168" t="s">
        <v>233</v>
      </c>
      <c r="B40" s="168" t="s">
        <v>234</v>
      </c>
      <c r="C40" s="169" t="s">
        <v>235</v>
      </c>
      <c r="D40" s="169" t="s">
        <v>236</v>
      </c>
      <c r="E40" s="169" t="s">
        <v>133</v>
      </c>
      <c r="F40" s="169" t="s">
        <v>221</v>
      </c>
      <c r="G40" s="170" t="s">
        <v>222</v>
      </c>
      <c r="H40" s="234">
        <v>12500</v>
      </c>
      <c r="I40" s="147"/>
      <c r="J40" s="147" t="s">
        <v>237</v>
      </c>
      <c r="K40" s="147"/>
      <c r="L40" s="147" t="s">
        <v>138</v>
      </c>
      <c r="M40" s="147" t="s">
        <v>11</v>
      </c>
      <c r="N40" s="147" t="s">
        <v>138</v>
      </c>
      <c r="O40" s="192" t="s">
        <v>139</v>
      </c>
      <c r="P40" s="190" t="s">
        <v>11</v>
      </c>
      <c r="Q40" s="190" t="s">
        <v>11</v>
      </c>
      <c r="R40" s="190" t="s">
        <v>11</v>
      </c>
      <c r="S40" s="190" t="s">
        <v>11</v>
      </c>
      <c r="T40" s="190" t="s">
        <v>11</v>
      </c>
      <c r="U40" s="190" t="s">
        <v>11</v>
      </c>
      <c r="V40" s="190" t="s">
        <v>11</v>
      </c>
      <c r="W40" s="190" t="s">
        <v>11</v>
      </c>
      <c r="X40" s="190" t="s">
        <v>11</v>
      </c>
      <c r="Y40" s="190" t="s">
        <v>11</v>
      </c>
      <c r="Z40" s="190" t="s">
        <v>140</v>
      </c>
      <c r="AA40" s="190" t="s">
        <v>140</v>
      </c>
      <c r="AB40" s="190" t="s">
        <v>140</v>
      </c>
      <c r="AC40" s="190" t="s">
        <v>11</v>
      </c>
      <c r="AD40" s="190" t="s">
        <v>11</v>
      </c>
      <c r="AE40" s="190" t="s">
        <v>11</v>
      </c>
      <c r="AF40" s="190" t="s">
        <v>11</v>
      </c>
      <c r="AG40" s="190" t="s">
        <v>11</v>
      </c>
      <c r="AH40" s="190" t="s">
        <v>11</v>
      </c>
      <c r="AI40" s="190" t="s">
        <v>11</v>
      </c>
      <c r="AJ40" s="187"/>
      <c r="AK40" s="190" t="s">
        <v>11</v>
      </c>
      <c r="AL40" s="190" t="s">
        <v>11</v>
      </c>
      <c r="AM40" s="206"/>
      <c r="AN40" s="190" t="s">
        <v>11</v>
      </c>
      <c r="AO40" s="190" t="s">
        <v>11</v>
      </c>
      <c r="AP40" s="190" t="s">
        <v>11</v>
      </c>
      <c r="AQ40" s="190" t="s">
        <v>11</v>
      </c>
      <c r="AR40" s="190" t="s">
        <v>140</v>
      </c>
      <c r="AS40" s="190" t="s">
        <v>11</v>
      </c>
      <c r="AT40" s="190" t="s">
        <v>11</v>
      </c>
      <c r="AU40" s="190" t="s">
        <v>11</v>
      </c>
      <c r="AV40" s="190" t="s">
        <v>11</v>
      </c>
      <c r="AW40" s="190" t="s">
        <v>11</v>
      </c>
      <c r="AX40" s="190"/>
      <c r="AY40" s="190"/>
      <c r="AZ40" s="190"/>
      <c r="BA40" s="190"/>
      <c r="BB40" s="190"/>
      <c r="BC40" s="190"/>
      <c r="BD40" s="190"/>
      <c r="BE40" s="190"/>
      <c r="BF40" s="190"/>
      <c r="BG40" s="206"/>
      <c r="BH40" s="190" t="s">
        <v>238</v>
      </c>
      <c r="BI40" s="190" t="s">
        <v>140</v>
      </c>
      <c r="BJ40" s="190">
        <v>246821</v>
      </c>
      <c r="BK40" s="246" t="s">
        <v>239</v>
      </c>
      <c r="BL40" s="190" t="s">
        <v>140</v>
      </c>
      <c r="BM40" s="190" t="s">
        <v>140</v>
      </c>
      <c r="BN40" s="190">
        <v>44250</v>
      </c>
      <c r="BO40" s="190" t="s">
        <v>140</v>
      </c>
      <c r="BP40" s="190" t="s">
        <v>140</v>
      </c>
      <c r="BQ40" s="206"/>
      <c r="BR40" s="190" t="s">
        <v>141</v>
      </c>
      <c r="BS40" s="190" t="s">
        <v>141</v>
      </c>
      <c r="BT40" s="190" t="s">
        <v>141</v>
      </c>
      <c r="BU40" s="190" t="s">
        <v>141</v>
      </c>
      <c r="BV40" s="190" t="s">
        <v>141</v>
      </c>
      <c r="BW40" s="190" t="s">
        <v>141</v>
      </c>
      <c r="BX40" s="190" t="s">
        <v>141</v>
      </c>
      <c r="BY40" s="190" t="s">
        <v>141</v>
      </c>
      <c r="BZ40" s="190" t="s">
        <v>141</v>
      </c>
      <c r="CA40" s="190" t="s">
        <v>11</v>
      </c>
      <c r="CB40" s="190" t="s">
        <v>141</v>
      </c>
      <c r="CC40" s="206"/>
      <c r="CD40" s="190" t="s">
        <v>141</v>
      </c>
      <c r="CE40" s="190" t="s">
        <v>141</v>
      </c>
      <c r="CF40" s="190" t="s">
        <v>141</v>
      </c>
      <c r="CG40" s="190" t="s">
        <v>141</v>
      </c>
      <c r="CH40" s="190" t="s">
        <v>141</v>
      </c>
      <c r="CI40" s="190" t="s">
        <v>141</v>
      </c>
      <c r="CJ40" s="190" t="s">
        <v>141</v>
      </c>
      <c r="CK40" s="190" t="s">
        <v>11</v>
      </c>
      <c r="CL40" s="190" t="s">
        <v>141</v>
      </c>
      <c r="CM40" s="190" t="s">
        <v>141</v>
      </c>
      <c r="CN40" s="190" t="s">
        <v>141</v>
      </c>
      <c r="CO40" s="206"/>
      <c r="CP40" s="190" t="s">
        <v>11</v>
      </c>
      <c r="CQ40" s="190" t="s">
        <v>11</v>
      </c>
      <c r="CR40" s="190" t="s">
        <v>11</v>
      </c>
      <c r="CS40" s="190" t="s">
        <v>11</v>
      </c>
      <c r="CT40" s="190" t="s">
        <v>11</v>
      </c>
      <c r="CU40" s="190" t="s">
        <v>11</v>
      </c>
      <c r="CV40" s="190" t="s">
        <v>11</v>
      </c>
      <c r="CW40" s="206"/>
      <c r="CX40" s="190" t="s">
        <v>11</v>
      </c>
      <c r="CY40" s="190" t="s">
        <v>11</v>
      </c>
      <c r="CZ40" s="190" t="s">
        <v>11</v>
      </c>
      <c r="DA40" s="193" t="s">
        <v>11</v>
      </c>
      <c r="DB40" s="197" t="s">
        <v>11</v>
      </c>
      <c r="DC40" s="194" t="s">
        <v>11</v>
      </c>
      <c r="DD40" s="190" t="s">
        <v>11</v>
      </c>
      <c r="DE40" s="206"/>
      <c r="DF40" s="190" t="s">
        <v>11</v>
      </c>
      <c r="DG40" s="241"/>
      <c r="DH40" s="241"/>
      <c r="DI40" s="242"/>
      <c r="DJ40" s="242"/>
    </row>
    <row r="41" spans="1:2941" ht="12" x14ac:dyDescent="0.2">
      <c r="A41" s="172" t="s">
        <v>240</v>
      </c>
      <c r="B41" s="168" t="s">
        <v>241</v>
      </c>
      <c r="C41" s="169" t="s">
        <v>228</v>
      </c>
      <c r="D41" s="169" t="s">
        <v>229</v>
      </c>
      <c r="E41" s="169" t="s">
        <v>133</v>
      </c>
      <c r="F41" s="169" t="s">
        <v>221</v>
      </c>
      <c r="G41" s="169" t="s">
        <v>222</v>
      </c>
      <c r="H41" s="234">
        <v>27500</v>
      </c>
      <c r="I41" s="234">
        <v>7500</v>
      </c>
      <c r="J41" s="147" t="s">
        <v>159</v>
      </c>
      <c r="K41" s="147"/>
      <c r="L41" s="147"/>
      <c r="M41" s="147" t="s">
        <v>11</v>
      </c>
      <c r="N41" s="147" t="s">
        <v>138</v>
      </c>
      <c r="O41" s="192" t="s">
        <v>139</v>
      </c>
      <c r="P41" s="190" t="s">
        <v>140</v>
      </c>
      <c r="Q41" s="190" t="s">
        <v>11</v>
      </c>
      <c r="R41" s="190" t="s">
        <v>140</v>
      </c>
      <c r="S41" s="190" t="s">
        <v>140</v>
      </c>
      <c r="T41" s="190" t="s">
        <v>140</v>
      </c>
      <c r="U41" s="190" t="s">
        <v>140</v>
      </c>
      <c r="V41" s="190" t="s">
        <v>11</v>
      </c>
      <c r="W41" s="190" t="s">
        <v>140</v>
      </c>
      <c r="X41" s="190" t="s">
        <v>140</v>
      </c>
      <c r="Y41" s="190" t="s">
        <v>11</v>
      </c>
      <c r="Z41" s="190" t="s">
        <v>140</v>
      </c>
      <c r="AA41" s="190" t="s">
        <v>140</v>
      </c>
      <c r="AB41" s="190" t="s">
        <v>140</v>
      </c>
      <c r="AC41" s="190" t="s">
        <v>11</v>
      </c>
      <c r="AD41" s="190" t="s">
        <v>11</v>
      </c>
      <c r="AE41" s="190" t="s">
        <v>140</v>
      </c>
      <c r="AF41" s="190" t="s">
        <v>140</v>
      </c>
      <c r="AG41" s="190" t="s">
        <v>140</v>
      </c>
      <c r="AH41" s="171">
        <v>19</v>
      </c>
      <c r="AI41" s="190" t="s">
        <v>140</v>
      </c>
      <c r="AJ41" s="196"/>
      <c r="AK41" s="190" t="s">
        <v>11</v>
      </c>
      <c r="AL41" s="190" t="s">
        <v>11</v>
      </c>
      <c r="AM41" s="206"/>
      <c r="AN41" s="190" t="s">
        <v>11</v>
      </c>
      <c r="AO41" s="190" t="s">
        <v>11</v>
      </c>
      <c r="AP41" s="190" t="s">
        <v>11</v>
      </c>
      <c r="AQ41" s="190" t="s">
        <v>11</v>
      </c>
      <c r="AR41" s="190" t="s">
        <v>140</v>
      </c>
      <c r="AS41" s="190" t="s">
        <v>11</v>
      </c>
      <c r="AT41" s="190" t="s">
        <v>11</v>
      </c>
      <c r="AU41" s="190" t="s">
        <v>11</v>
      </c>
      <c r="AV41" s="190" t="s">
        <v>11</v>
      </c>
      <c r="AW41" s="190" t="s">
        <v>11</v>
      </c>
      <c r="AX41" s="190"/>
      <c r="AY41" s="190"/>
      <c r="AZ41" s="190"/>
      <c r="BA41" s="190"/>
      <c r="BB41" s="190"/>
      <c r="BC41" s="190"/>
      <c r="BD41" s="190"/>
      <c r="BE41" s="190"/>
      <c r="BF41" s="190"/>
      <c r="BG41" s="243"/>
      <c r="BH41" s="190" t="s">
        <v>11</v>
      </c>
      <c r="BI41" s="192" t="s">
        <v>11</v>
      </c>
      <c r="BJ41" s="190" t="s">
        <v>11</v>
      </c>
      <c r="BK41" s="190" t="s">
        <v>11</v>
      </c>
      <c r="BL41" s="190" t="s">
        <v>11</v>
      </c>
      <c r="BM41" s="190" t="s">
        <v>11</v>
      </c>
      <c r="BN41" s="190" t="s">
        <v>11</v>
      </c>
      <c r="BO41" s="190" t="s">
        <v>11</v>
      </c>
      <c r="BP41" s="190" t="s">
        <v>11</v>
      </c>
      <c r="BQ41" s="243"/>
      <c r="BR41" s="190" t="s">
        <v>141</v>
      </c>
      <c r="BS41" s="190" t="s">
        <v>141</v>
      </c>
      <c r="BT41" s="190" t="s">
        <v>141</v>
      </c>
      <c r="BU41" s="190" t="s">
        <v>141</v>
      </c>
      <c r="BV41" s="190" t="s">
        <v>11</v>
      </c>
      <c r="BW41" s="190" t="s">
        <v>11</v>
      </c>
      <c r="BX41" s="190" t="s">
        <v>11</v>
      </c>
      <c r="BY41" s="190" t="s">
        <v>141</v>
      </c>
      <c r="BZ41" s="190" t="s">
        <v>141</v>
      </c>
      <c r="CA41" s="190" t="s">
        <v>141</v>
      </c>
      <c r="CB41" s="190" t="s">
        <v>141</v>
      </c>
      <c r="CC41" s="243"/>
      <c r="CD41" s="190" t="s">
        <v>141</v>
      </c>
      <c r="CE41" s="190" t="s">
        <v>141</v>
      </c>
      <c r="CF41" s="190" t="s">
        <v>141</v>
      </c>
      <c r="CG41" s="190" t="s">
        <v>141</v>
      </c>
      <c r="CH41" s="190" t="s">
        <v>11</v>
      </c>
      <c r="CI41" s="190" t="s">
        <v>11</v>
      </c>
      <c r="CJ41" s="190" t="s">
        <v>11</v>
      </c>
      <c r="CK41" s="190" t="s">
        <v>141</v>
      </c>
      <c r="CL41" s="190" t="s">
        <v>11</v>
      </c>
      <c r="CM41" s="190" t="s">
        <v>11</v>
      </c>
      <c r="CN41" s="190" t="s">
        <v>141</v>
      </c>
      <c r="CO41" s="243"/>
      <c r="CP41" s="190" t="s">
        <v>11</v>
      </c>
      <c r="CQ41" s="190" t="s">
        <v>11</v>
      </c>
      <c r="CR41" s="190" t="s">
        <v>11</v>
      </c>
      <c r="CS41" s="192" t="s">
        <v>11</v>
      </c>
      <c r="CT41" s="192" t="s">
        <v>11</v>
      </c>
      <c r="CU41" s="192" t="s">
        <v>11</v>
      </c>
      <c r="CV41" s="192" t="s">
        <v>11</v>
      </c>
      <c r="CW41" s="206"/>
      <c r="CX41" s="190" t="s">
        <v>11</v>
      </c>
      <c r="CY41" s="190" t="s">
        <v>11</v>
      </c>
      <c r="CZ41" s="190" t="s">
        <v>11</v>
      </c>
      <c r="DA41" s="192" t="s">
        <v>11</v>
      </c>
      <c r="DB41" s="192" t="s">
        <v>11</v>
      </c>
      <c r="DC41" s="192" t="s">
        <v>11</v>
      </c>
      <c r="DD41" s="190" t="s">
        <v>11</v>
      </c>
      <c r="DE41" s="243"/>
      <c r="DF41" s="190" t="s">
        <v>11</v>
      </c>
      <c r="DG41" s="241"/>
      <c r="DH41" s="241"/>
      <c r="DI41" s="242"/>
      <c r="DJ41" s="242"/>
    </row>
    <row r="42" spans="1:2941" ht="12" x14ac:dyDescent="0.2">
      <c r="A42" s="172" t="s">
        <v>242</v>
      </c>
      <c r="B42" s="168" t="s">
        <v>243</v>
      </c>
      <c r="C42" s="169" t="s">
        <v>228</v>
      </c>
      <c r="D42" s="169" t="s">
        <v>229</v>
      </c>
      <c r="E42" s="169" t="s">
        <v>133</v>
      </c>
      <c r="F42" s="169" t="s">
        <v>221</v>
      </c>
      <c r="G42" s="169" t="s">
        <v>222</v>
      </c>
      <c r="H42" s="234">
        <v>30000</v>
      </c>
      <c r="I42" s="147"/>
      <c r="J42" s="147" t="s">
        <v>159</v>
      </c>
      <c r="K42" s="147"/>
      <c r="L42" s="147"/>
      <c r="M42" s="147" t="s">
        <v>138</v>
      </c>
      <c r="N42" s="147" t="s">
        <v>138</v>
      </c>
      <c r="O42" s="192" t="s">
        <v>139</v>
      </c>
      <c r="P42" s="190" t="s">
        <v>140</v>
      </c>
      <c r="Q42" s="190" t="s">
        <v>11</v>
      </c>
      <c r="R42" s="190" t="s">
        <v>140</v>
      </c>
      <c r="S42" s="190" t="s">
        <v>140</v>
      </c>
      <c r="T42" s="190" t="s">
        <v>140</v>
      </c>
      <c r="U42" s="190" t="s">
        <v>140</v>
      </c>
      <c r="V42" s="190" t="s">
        <v>11</v>
      </c>
      <c r="W42" s="190" t="s">
        <v>140</v>
      </c>
      <c r="X42" s="190" t="s">
        <v>140</v>
      </c>
      <c r="Y42" s="190" t="s">
        <v>11</v>
      </c>
      <c r="Z42" s="190" t="s">
        <v>140</v>
      </c>
      <c r="AA42" s="190" t="s">
        <v>140</v>
      </c>
      <c r="AB42" s="190" t="s">
        <v>140</v>
      </c>
      <c r="AC42" s="190" t="s">
        <v>11</v>
      </c>
      <c r="AD42" s="190" t="s">
        <v>11</v>
      </c>
      <c r="AE42" s="190" t="s">
        <v>140</v>
      </c>
      <c r="AF42" s="190" t="s">
        <v>140</v>
      </c>
      <c r="AG42" s="190" t="s">
        <v>140</v>
      </c>
      <c r="AH42" s="171">
        <v>9</v>
      </c>
      <c r="AI42" s="190" t="s">
        <v>140</v>
      </c>
      <c r="AJ42" s="196"/>
      <c r="AK42" s="190" t="s">
        <v>11</v>
      </c>
      <c r="AL42" s="190" t="s">
        <v>11</v>
      </c>
      <c r="AM42" s="206"/>
      <c r="AN42" s="190" t="s">
        <v>11</v>
      </c>
      <c r="AO42" s="190" t="s">
        <v>11</v>
      </c>
      <c r="AP42" s="190" t="s">
        <v>11</v>
      </c>
      <c r="AQ42" s="190" t="s">
        <v>11</v>
      </c>
      <c r="AR42" s="190" t="s">
        <v>11</v>
      </c>
      <c r="AS42" s="190" t="s">
        <v>11</v>
      </c>
      <c r="AT42" s="190" t="s">
        <v>11</v>
      </c>
      <c r="AU42" s="190" t="s">
        <v>11</v>
      </c>
      <c r="AV42" s="190" t="s">
        <v>11</v>
      </c>
      <c r="AW42" s="190" t="s">
        <v>11</v>
      </c>
      <c r="AX42" s="190"/>
      <c r="AY42" s="190"/>
      <c r="AZ42" s="190"/>
      <c r="BA42" s="190"/>
      <c r="BB42" s="190"/>
      <c r="BC42" s="190"/>
      <c r="BD42" s="190"/>
      <c r="BE42" s="190"/>
      <c r="BF42" s="190"/>
      <c r="BG42" s="243"/>
      <c r="BH42" s="190" t="s">
        <v>11</v>
      </c>
      <c r="BI42" s="192" t="s">
        <v>11</v>
      </c>
      <c r="BJ42" s="190" t="s">
        <v>11</v>
      </c>
      <c r="BK42" s="190" t="s">
        <v>11</v>
      </c>
      <c r="BL42" s="190" t="s">
        <v>11</v>
      </c>
      <c r="BM42" s="190" t="s">
        <v>11</v>
      </c>
      <c r="BN42" s="190" t="s">
        <v>11</v>
      </c>
      <c r="BO42" s="190" t="s">
        <v>11</v>
      </c>
      <c r="BP42" s="190" t="s">
        <v>11</v>
      </c>
      <c r="BQ42" s="243"/>
      <c r="BR42" s="190" t="s">
        <v>11</v>
      </c>
      <c r="BS42" s="190" t="s">
        <v>141</v>
      </c>
      <c r="BT42" s="190" t="s">
        <v>141</v>
      </c>
      <c r="BU42" s="190" t="s">
        <v>141</v>
      </c>
      <c r="BV42" s="190" t="s">
        <v>11</v>
      </c>
      <c r="BW42" s="190" t="s">
        <v>141</v>
      </c>
      <c r="BX42" s="190" t="s">
        <v>11</v>
      </c>
      <c r="BY42" s="190" t="s">
        <v>141</v>
      </c>
      <c r="BZ42" s="190" t="s">
        <v>141</v>
      </c>
      <c r="CA42" s="190" t="s">
        <v>11</v>
      </c>
      <c r="CB42" s="190" t="s">
        <v>141</v>
      </c>
      <c r="CC42" s="243"/>
      <c r="CD42" s="190" t="s">
        <v>11</v>
      </c>
      <c r="CE42" s="190" t="s">
        <v>11</v>
      </c>
      <c r="CF42" s="190" t="s">
        <v>11</v>
      </c>
      <c r="CG42" s="190" t="s">
        <v>141</v>
      </c>
      <c r="CH42" s="190" t="s">
        <v>11</v>
      </c>
      <c r="CI42" s="190" t="s">
        <v>141</v>
      </c>
      <c r="CJ42" s="190" t="s">
        <v>11</v>
      </c>
      <c r="CK42" s="190" t="s">
        <v>11</v>
      </c>
      <c r="CL42" s="190" t="s">
        <v>11</v>
      </c>
      <c r="CM42" s="190" t="s">
        <v>11</v>
      </c>
      <c r="CN42" s="190" t="s">
        <v>141</v>
      </c>
      <c r="CO42" s="243"/>
      <c r="CP42" s="190" t="s">
        <v>11</v>
      </c>
      <c r="CQ42" s="190" t="s">
        <v>11</v>
      </c>
      <c r="CR42" s="190" t="s">
        <v>11</v>
      </c>
      <c r="CS42" s="192" t="s">
        <v>11</v>
      </c>
      <c r="CT42" s="192" t="s">
        <v>11</v>
      </c>
      <c r="CU42" s="192" t="s">
        <v>11</v>
      </c>
      <c r="CV42" s="192" t="s">
        <v>11</v>
      </c>
      <c r="CW42" s="206"/>
      <c r="CX42" s="190" t="s">
        <v>11</v>
      </c>
      <c r="CY42" s="190" t="s">
        <v>11</v>
      </c>
      <c r="CZ42" s="190" t="s">
        <v>11</v>
      </c>
      <c r="DA42" s="192" t="s">
        <v>11</v>
      </c>
      <c r="DB42" s="192" t="s">
        <v>11</v>
      </c>
      <c r="DC42" s="192" t="s">
        <v>11</v>
      </c>
      <c r="DD42" s="190" t="s">
        <v>11</v>
      </c>
      <c r="DE42" s="243"/>
      <c r="DF42" s="190" t="s">
        <v>11</v>
      </c>
      <c r="DG42" s="241"/>
      <c r="DH42" s="241"/>
      <c r="DI42" s="242"/>
      <c r="DJ42" s="242"/>
    </row>
    <row r="43" spans="1:2941" ht="12" x14ac:dyDescent="0.2">
      <c r="A43" s="315" t="s">
        <v>244</v>
      </c>
      <c r="B43" s="325" t="s">
        <v>245</v>
      </c>
      <c r="C43" s="316" t="s">
        <v>219</v>
      </c>
      <c r="D43" s="316" t="s">
        <v>220</v>
      </c>
      <c r="E43" s="316" t="s">
        <v>133</v>
      </c>
      <c r="F43" s="316" t="s">
        <v>221</v>
      </c>
      <c r="G43" s="316" t="s">
        <v>222</v>
      </c>
      <c r="H43" s="317">
        <v>112500</v>
      </c>
      <c r="I43" s="313"/>
      <c r="J43" s="313" t="s">
        <v>11</v>
      </c>
      <c r="K43" s="307" t="s">
        <v>11</v>
      </c>
      <c r="L43" s="307" t="s">
        <v>11</v>
      </c>
      <c r="M43" s="313" t="s">
        <v>11</v>
      </c>
      <c r="N43" s="313" t="s">
        <v>138</v>
      </c>
      <c r="O43" s="318" t="s">
        <v>139</v>
      </c>
      <c r="P43" s="203" t="s">
        <v>11</v>
      </c>
      <c r="Q43" s="203" t="s">
        <v>11</v>
      </c>
      <c r="R43" s="203" t="s">
        <v>11</v>
      </c>
      <c r="S43" s="203" t="s">
        <v>11</v>
      </c>
      <c r="T43" s="203" t="s">
        <v>11</v>
      </c>
      <c r="U43" s="203" t="s">
        <v>11</v>
      </c>
      <c r="V43" s="203" t="s">
        <v>11</v>
      </c>
      <c r="W43" s="203" t="s">
        <v>11</v>
      </c>
      <c r="X43" s="203" t="s">
        <v>11</v>
      </c>
      <c r="Y43" s="203" t="s">
        <v>11</v>
      </c>
      <c r="Z43" s="190" t="s">
        <v>140</v>
      </c>
      <c r="AA43" s="190" t="s">
        <v>140</v>
      </c>
      <c r="AB43" s="190" t="s">
        <v>140</v>
      </c>
      <c r="AC43" s="203" t="s">
        <v>11</v>
      </c>
      <c r="AD43" s="203" t="s">
        <v>11</v>
      </c>
      <c r="AE43" s="203" t="s">
        <v>11</v>
      </c>
      <c r="AF43" s="203" t="s">
        <v>11</v>
      </c>
      <c r="AG43" s="203" t="s">
        <v>11</v>
      </c>
      <c r="AH43" s="203" t="s">
        <v>11</v>
      </c>
      <c r="AI43" s="203" t="s">
        <v>11</v>
      </c>
      <c r="AJ43" s="196"/>
      <c r="AK43" s="190" t="s">
        <v>11</v>
      </c>
      <c r="AL43" s="190" t="s">
        <v>11</v>
      </c>
      <c r="AM43" s="206"/>
      <c r="AN43" s="203" t="s">
        <v>11</v>
      </c>
      <c r="AO43" s="203" t="s">
        <v>11</v>
      </c>
      <c r="AP43" s="203" t="s">
        <v>11</v>
      </c>
      <c r="AQ43" s="203" t="s">
        <v>11</v>
      </c>
      <c r="AR43" s="203" t="s">
        <v>140</v>
      </c>
      <c r="AS43" s="203" t="s">
        <v>11</v>
      </c>
      <c r="AT43" s="203" t="s">
        <v>11</v>
      </c>
      <c r="AU43" s="203" t="s">
        <v>11</v>
      </c>
      <c r="AV43" s="190" t="s">
        <v>11</v>
      </c>
      <c r="AW43" s="190" t="s">
        <v>11</v>
      </c>
      <c r="AX43" s="190"/>
      <c r="AY43" s="190"/>
      <c r="AZ43" s="190"/>
      <c r="BA43" s="190"/>
      <c r="BB43" s="190"/>
      <c r="BC43" s="190"/>
      <c r="BD43" s="190"/>
      <c r="BE43" s="190"/>
      <c r="BF43" s="190"/>
      <c r="BG43" s="243"/>
      <c r="BH43" s="203" t="s">
        <v>11</v>
      </c>
      <c r="BI43" s="318" t="s">
        <v>11</v>
      </c>
      <c r="BJ43" s="203" t="s">
        <v>11</v>
      </c>
      <c r="BK43" s="203" t="s">
        <v>11</v>
      </c>
      <c r="BL43" s="203" t="s">
        <v>11</v>
      </c>
      <c r="BM43" s="203" t="s">
        <v>11</v>
      </c>
      <c r="BN43" s="203" t="s">
        <v>11</v>
      </c>
      <c r="BO43" s="203" t="s">
        <v>11</v>
      </c>
      <c r="BP43" s="203" t="s">
        <v>11</v>
      </c>
      <c r="BQ43" s="243"/>
      <c r="BR43" s="203" t="s">
        <v>11</v>
      </c>
      <c r="BS43" s="203" t="s">
        <v>11</v>
      </c>
      <c r="BT43" s="203" t="s">
        <v>11</v>
      </c>
      <c r="BU43" s="203" t="s">
        <v>11</v>
      </c>
      <c r="BV43" s="203" t="s">
        <v>11</v>
      </c>
      <c r="BW43" s="203" t="s">
        <v>11</v>
      </c>
      <c r="BX43" s="203" t="s">
        <v>11</v>
      </c>
      <c r="BY43" s="203" t="s">
        <v>11</v>
      </c>
      <c r="BZ43" s="203" t="s">
        <v>11</v>
      </c>
      <c r="CA43" s="203" t="s">
        <v>11</v>
      </c>
      <c r="CB43" s="203" t="s">
        <v>11</v>
      </c>
      <c r="CC43" s="243"/>
      <c r="CD43" s="203" t="s">
        <v>11</v>
      </c>
      <c r="CE43" s="203" t="s">
        <v>11</v>
      </c>
      <c r="CF43" s="203" t="s">
        <v>11</v>
      </c>
      <c r="CG43" s="203" t="s">
        <v>11</v>
      </c>
      <c r="CH43" s="203" t="s">
        <v>11</v>
      </c>
      <c r="CI43" s="203" t="s">
        <v>11</v>
      </c>
      <c r="CJ43" s="203" t="s">
        <v>11</v>
      </c>
      <c r="CK43" s="203" t="s">
        <v>11</v>
      </c>
      <c r="CL43" s="203" t="s">
        <v>11</v>
      </c>
      <c r="CM43" s="203" t="s">
        <v>11</v>
      </c>
      <c r="CN43" s="203" t="s">
        <v>11</v>
      </c>
      <c r="CO43" s="243"/>
      <c r="CP43" s="203" t="s">
        <v>11</v>
      </c>
      <c r="CQ43" s="203" t="s">
        <v>11</v>
      </c>
      <c r="CR43" s="203" t="s">
        <v>11</v>
      </c>
      <c r="CS43" s="318" t="s">
        <v>11</v>
      </c>
      <c r="CT43" s="318" t="s">
        <v>11</v>
      </c>
      <c r="CU43" s="318" t="s">
        <v>11</v>
      </c>
      <c r="CV43" s="318" t="s">
        <v>11</v>
      </c>
      <c r="CW43" s="206"/>
      <c r="CX43" s="203" t="s">
        <v>11</v>
      </c>
      <c r="CY43" s="203" t="s">
        <v>11</v>
      </c>
      <c r="CZ43" s="203" t="s">
        <v>11</v>
      </c>
      <c r="DA43" s="318" t="s">
        <v>11</v>
      </c>
      <c r="DB43" s="318" t="s">
        <v>11</v>
      </c>
      <c r="DC43" s="318" t="s">
        <v>11</v>
      </c>
      <c r="DD43" s="203" t="s">
        <v>11</v>
      </c>
      <c r="DE43" s="243"/>
      <c r="DF43" s="203" t="s">
        <v>178</v>
      </c>
      <c r="DG43" s="241"/>
      <c r="DH43" s="241"/>
      <c r="DI43" s="242"/>
      <c r="DJ43" s="242"/>
    </row>
    <row r="44" spans="1:2941" ht="12" x14ac:dyDescent="0.2">
      <c r="A44" s="314" t="s">
        <v>246</v>
      </c>
      <c r="B44" s="326" t="s">
        <v>247</v>
      </c>
      <c r="C44" s="306" t="s">
        <v>248</v>
      </c>
      <c r="D44" s="306" t="s">
        <v>219</v>
      </c>
      <c r="E44" s="306" t="s">
        <v>133</v>
      </c>
      <c r="F44" s="319" t="s">
        <v>221</v>
      </c>
      <c r="G44" s="306" t="s">
        <v>222</v>
      </c>
      <c r="H44" s="320">
        <v>160000</v>
      </c>
      <c r="I44" s="307"/>
      <c r="J44" s="307"/>
      <c r="K44" s="307" t="s">
        <v>11</v>
      </c>
      <c r="L44" s="307" t="s">
        <v>11</v>
      </c>
      <c r="M44" s="307" t="s">
        <v>148</v>
      </c>
      <c r="N44" s="307" t="s">
        <v>138</v>
      </c>
      <c r="O44" s="298" t="s">
        <v>139</v>
      </c>
      <c r="P44" s="197" t="s">
        <v>140</v>
      </c>
      <c r="Q44" s="190" t="s">
        <v>11</v>
      </c>
      <c r="R44" s="197" t="s">
        <v>148</v>
      </c>
      <c r="S44" s="197" t="s">
        <v>148</v>
      </c>
      <c r="T44" s="343" t="s">
        <v>140</v>
      </c>
      <c r="U44" s="343" t="s">
        <v>140</v>
      </c>
      <c r="V44" s="197" t="s">
        <v>11</v>
      </c>
      <c r="W44" s="197" t="s">
        <v>140</v>
      </c>
      <c r="X44" s="197" t="s">
        <v>140</v>
      </c>
      <c r="Y44" s="192" t="s">
        <v>11</v>
      </c>
      <c r="Z44" s="190" t="s">
        <v>140</v>
      </c>
      <c r="AA44" s="190" t="s">
        <v>140</v>
      </c>
      <c r="AB44" s="190" t="s">
        <v>140</v>
      </c>
      <c r="AC44" s="344" t="s">
        <v>11</v>
      </c>
      <c r="AD44" s="344" t="s">
        <v>11</v>
      </c>
      <c r="AE44" s="345" t="s">
        <v>140</v>
      </c>
      <c r="AF44" s="345" t="s">
        <v>140</v>
      </c>
      <c r="AG44" s="345" t="s">
        <v>140</v>
      </c>
      <c r="AH44" s="171">
        <v>39</v>
      </c>
      <c r="AI44" s="298" t="s">
        <v>148</v>
      </c>
      <c r="AJ44" s="187"/>
      <c r="AK44" s="190" t="s">
        <v>11</v>
      </c>
      <c r="AL44" s="190" t="s">
        <v>11</v>
      </c>
      <c r="AM44" s="206"/>
      <c r="AN44" s="197" t="s">
        <v>148</v>
      </c>
      <c r="AO44" s="197" t="s">
        <v>148</v>
      </c>
      <c r="AP44" s="197" t="s">
        <v>148</v>
      </c>
      <c r="AQ44" s="197" t="s">
        <v>148</v>
      </c>
      <c r="AR44" s="197" t="s">
        <v>140</v>
      </c>
      <c r="AS44" s="197" t="s">
        <v>148</v>
      </c>
      <c r="AT44" s="197" t="s">
        <v>11</v>
      </c>
      <c r="AU44" s="197" t="s">
        <v>140</v>
      </c>
      <c r="AV44" s="174"/>
      <c r="AW44" s="174"/>
      <c r="AX44" s="174"/>
      <c r="AY44" s="174"/>
      <c r="AZ44" s="174"/>
      <c r="BA44" s="174"/>
      <c r="BB44" s="174"/>
      <c r="BC44" s="174"/>
      <c r="BD44" s="174"/>
      <c r="BE44" s="174"/>
      <c r="BF44" s="174"/>
      <c r="BG44" s="206"/>
      <c r="BH44" s="197" t="s">
        <v>11</v>
      </c>
      <c r="BI44" s="298" t="s">
        <v>11</v>
      </c>
      <c r="BJ44" s="197" t="s">
        <v>11</v>
      </c>
      <c r="BK44" s="197" t="s">
        <v>11</v>
      </c>
      <c r="BL44" s="197" t="s">
        <v>11</v>
      </c>
      <c r="BM44" s="197" t="s">
        <v>11</v>
      </c>
      <c r="BN44" s="197" t="s">
        <v>11</v>
      </c>
      <c r="BO44" s="197" t="s">
        <v>11</v>
      </c>
      <c r="BP44" s="197" t="s">
        <v>11</v>
      </c>
      <c r="BQ44" s="206"/>
      <c r="BR44" s="197" t="s">
        <v>141</v>
      </c>
      <c r="BS44" s="197" t="s">
        <v>141</v>
      </c>
      <c r="BT44" s="197" t="s">
        <v>141</v>
      </c>
      <c r="BU44" s="197" t="s">
        <v>141</v>
      </c>
      <c r="BV44" s="197" t="s">
        <v>141</v>
      </c>
      <c r="BW44" s="197" t="s">
        <v>141</v>
      </c>
      <c r="BX44" s="197" t="s">
        <v>141</v>
      </c>
      <c r="BY44" s="197" t="s">
        <v>141</v>
      </c>
      <c r="BZ44" s="197" t="s">
        <v>141</v>
      </c>
      <c r="CA44" s="197" t="s">
        <v>141</v>
      </c>
      <c r="CB44" s="197" t="s">
        <v>141</v>
      </c>
      <c r="CC44" s="206"/>
      <c r="CD44" s="197" t="s">
        <v>141</v>
      </c>
      <c r="CE44" s="197" t="s">
        <v>141</v>
      </c>
      <c r="CF44" s="197" t="s">
        <v>141</v>
      </c>
      <c r="CG44" s="197" t="s">
        <v>141</v>
      </c>
      <c r="CH44" s="197" t="s">
        <v>141</v>
      </c>
      <c r="CI44" s="197" t="s">
        <v>141</v>
      </c>
      <c r="CJ44" s="197" t="s">
        <v>141</v>
      </c>
      <c r="CK44" s="197" t="s">
        <v>141</v>
      </c>
      <c r="CL44" s="197" t="s">
        <v>141</v>
      </c>
      <c r="CM44" s="197" t="s">
        <v>141</v>
      </c>
      <c r="CN44" s="197" t="s">
        <v>141</v>
      </c>
      <c r="CO44" s="206"/>
      <c r="CP44" s="197" t="s">
        <v>148</v>
      </c>
      <c r="CQ44" s="197" t="s">
        <v>148</v>
      </c>
      <c r="CR44" s="298" t="s">
        <v>148</v>
      </c>
      <c r="CS44" s="298" t="s">
        <v>148</v>
      </c>
      <c r="CT44" s="298" t="s">
        <v>148</v>
      </c>
      <c r="CU44" s="298" t="s">
        <v>148</v>
      </c>
      <c r="CV44" s="298" t="s">
        <v>148</v>
      </c>
      <c r="CW44" s="206"/>
      <c r="CX44" s="197" t="s">
        <v>11</v>
      </c>
      <c r="CY44" s="197" t="s">
        <v>11</v>
      </c>
      <c r="CZ44" s="197" t="s">
        <v>11</v>
      </c>
      <c r="DA44" s="298" t="s">
        <v>11</v>
      </c>
      <c r="DB44" s="298" t="s">
        <v>11</v>
      </c>
      <c r="DC44" s="298" t="s">
        <v>11</v>
      </c>
      <c r="DD44" s="197" t="s">
        <v>11</v>
      </c>
      <c r="DE44" s="206"/>
      <c r="DF44" s="197" t="s">
        <v>11</v>
      </c>
      <c r="DG44" s="241"/>
      <c r="DH44" s="241"/>
      <c r="DI44" s="242"/>
      <c r="DJ44" s="242"/>
    </row>
    <row r="45" spans="1:2941" ht="12" x14ac:dyDescent="0.2">
      <c r="A45" s="155"/>
      <c r="B45" s="142"/>
      <c r="C45" s="142"/>
      <c r="D45" s="142"/>
      <c r="E45" s="142"/>
      <c r="F45" s="142"/>
      <c r="G45" s="142"/>
      <c r="H45" s="236"/>
      <c r="I45" s="151"/>
      <c r="J45" s="151"/>
      <c r="K45" s="151"/>
      <c r="L45" s="151"/>
      <c r="M45" s="151"/>
      <c r="N45" s="151"/>
      <c r="O45" s="199"/>
      <c r="P45" s="206"/>
      <c r="Q45" s="206"/>
      <c r="R45" s="206"/>
      <c r="S45" s="206"/>
      <c r="T45" s="206"/>
      <c r="U45" s="206"/>
      <c r="V45" s="206"/>
      <c r="W45" s="206"/>
      <c r="X45" s="206"/>
      <c r="Y45" s="206"/>
      <c r="Z45" s="206"/>
      <c r="AA45" s="206"/>
      <c r="AB45" s="206"/>
      <c r="AC45" s="206"/>
      <c r="AD45" s="206"/>
      <c r="AE45" s="206"/>
      <c r="AF45" s="206"/>
      <c r="AG45" s="206"/>
      <c r="AH45" s="206"/>
      <c r="AI45" s="206"/>
      <c r="AJ45" s="187"/>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174"/>
      <c r="BI45" s="174"/>
      <c r="BJ45" s="174"/>
      <c r="BK45" s="174"/>
      <c r="BL45" s="174"/>
      <c r="BM45" s="174"/>
      <c r="BN45" s="174"/>
      <c r="BO45" s="174"/>
      <c r="BP45" s="174"/>
      <c r="BQ45" s="206"/>
      <c r="BR45" s="206"/>
      <c r="BS45" s="206"/>
      <c r="BT45" s="206"/>
      <c r="BU45" s="206"/>
      <c r="BV45" s="206"/>
      <c r="BW45" s="206"/>
      <c r="BX45" s="206"/>
      <c r="BY45" s="206"/>
      <c r="BZ45" s="206"/>
      <c r="CA45" s="206"/>
      <c r="CB45" s="206"/>
      <c r="CC45" s="206"/>
      <c r="CD45" s="206"/>
      <c r="CE45" s="206"/>
      <c r="CF45" s="206"/>
      <c r="CG45" s="206"/>
      <c r="CH45" s="206"/>
      <c r="CI45" s="206"/>
      <c r="CJ45" s="206"/>
      <c r="CK45" s="206"/>
      <c r="CL45" s="206"/>
      <c r="CM45" s="206"/>
      <c r="CN45" s="206"/>
      <c r="CO45" s="206"/>
      <c r="CP45" s="200"/>
      <c r="CQ45" s="200"/>
      <c r="CR45" s="200"/>
      <c r="CS45" s="200"/>
      <c r="CT45" s="200"/>
      <c r="CU45" s="200"/>
      <c r="CV45" s="200"/>
      <c r="CW45" s="206"/>
      <c r="CX45" s="200"/>
      <c r="CY45" s="206"/>
      <c r="CZ45" s="206"/>
      <c r="DA45" s="206"/>
      <c r="DB45" s="206"/>
      <c r="DC45" s="206"/>
      <c r="DD45" s="206"/>
      <c r="DE45" s="206"/>
      <c r="DF45" s="206"/>
      <c r="DG45" s="241"/>
      <c r="DH45" s="241"/>
      <c r="DI45" s="242"/>
      <c r="DJ45" s="242"/>
    </row>
    <row r="46" spans="1:2941" ht="12" x14ac:dyDescent="0.2">
      <c r="A46" s="142"/>
      <c r="B46" s="142"/>
      <c r="C46" s="151"/>
      <c r="D46" s="151"/>
      <c r="E46" s="151"/>
      <c r="F46" s="151"/>
      <c r="G46" s="151"/>
      <c r="H46" s="236"/>
      <c r="I46" s="151"/>
      <c r="J46" s="151"/>
      <c r="K46" s="151"/>
      <c r="L46" s="151"/>
      <c r="M46" s="151"/>
      <c r="N46" s="151"/>
      <c r="O46" s="199"/>
      <c r="P46" s="206"/>
      <c r="Q46" s="206"/>
      <c r="R46" s="206"/>
      <c r="S46" s="206"/>
      <c r="T46" s="206"/>
      <c r="U46" s="206"/>
      <c r="V46" s="206"/>
      <c r="W46" s="206"/>
      <c r="X46" s="206"/>
      <c r="Y46" s="206"/>
      <c r="Z46" s="206"/>
      <c r="AA46" s="206"/>
      <c r="AB46" s="206"/>
      <c r="AC46" s="206"/>
      <c r="AD46" s="206"/>
      <c r="AE46" s="206"/>
      <c r="AF46" s="206"/>
      <c r="AG46" s="206"/>
      <c r="AH46" s="206"/>
      <c r="AI46" s="174"/>
      <c r="AJ46" s="187"/>
      <c r="AK46" s="206"/>
      <c r="AL46" s="206"/>
      <c r="AM46" s="206"/>
      <c r="AN46" s="206"/>
      <c r="AO46" s="206"/>
      <c r="AP46" s="206"/>
      <c r="AQ46" s="206"/>
      <c r="AR46" s="206"/>
      <c r="AS46" s="206"/>
      <c r="AT46" s="206"/>
      <c r="AU46" s="206"/>
      <c r="AV46" s="206"/>
      <c r="AW46" s="206"/>
      <c r="AX46" s="206"/>
      <c r="AY46" s="206"/>
      <c r="AZ46" s="206"/>
      <c r="BA46" s="206"/>
      <c r="BB46" s="206"/>
      <c r="BC46" s="206"/>
      <c r="BD46" s="206"/>
      <c r="BE46" s="206"/>
      <c r="BF46" s="206"/>
      <c r="BG46" s="206"/>
      <c r="BH46" s="174"/>
      <c r="BI46" s="174"/>
      <c r="BJ46" s="174"/>
      <c r="BK46" s="174"/>
      <c r="BL46" s="174"/>
      <c r="BM46" s="174"/>
      <c r="BN46" s="174"/>
      <c r="BO46" s="174"/>
      <c r="BP46" s="174"/>
      <c r="BQ46" s="206"/>
      <c r="BR46" s="206"/>
      <c r="BS46" s="206"/>
      <c r="BT46" s="206"/>
      <c r="BU46" s="206"/>
      <c r="BV46" s="206"/>
      <c r="BW46" s="206"/>
      <c r="BX46" s="206"/>
      <c r="BY46" s="206"/>
      <c r="BZ46" s="206"/>
      <c r="CA46" s="206"/>
      <c r="CB46" s="206"/>
      <c r="CC46" s="206"/>
      <c r="CD46" s="206"/>
      <c r="CE46" s="206"/>
      <c r="CF46" s="206"/>
      <c r="CG46" s="206"/>
      <c r="CH46" s="206"/>
      <c r="CI46" s="206"/>
      <c r="CJ46" s="206"/>
      <c r="CK46" s="206"/>
      <c r="CL46" s="206"/>
      <c r="CM46" s="206"/>
      <c r="CN46" s="206"/>
      <c r="CO46" s="206"/>
      <c r="CP46" s="206"/>
      <c r="CQ46" s="206"/>
      <c r="CR46" s="206"/>
      <c r="CS46" s="206"/>
      <c r="CT46" s="225"/>
      <c r="CU46" s="206"/>
      <c r="CV46" s="206"/>
      <c r="CW46" s="206"/>
      <c r="CX46" s="206"/>
      <c r="CY46" s="206"/>
      <c r="CZ46" s="206"/>
      <c r="DA46" s="206"/>
      <c r="DB46" s="225"/>
      <c r="DC46" s="206"/>
      <c r="DD46" s="206"/>
      <c r="DE46" s="206"/>
      <c r="DF46" s="206"/>
      <c r="DG46" s="241"/>
      <c r="DH46" s="241"/>
      <c r="DI46" s="242"/>
      <c r="DJ46" s="242"/>
    </row>
    <row r="47" spans="1:2941" ht="12" x14ac:dyDescent="0.2">
      <c r="A47" s="354" t="s">
        <v>249</v>
      </c>
      <c r="B47" s="355"/>
      <c r="C47" s="355"/>
      <c r="D47" s="355"/>
      <c r="E47" s="355"/>
      <c r="F47" s="355"/>
      <c r="G47" s="355"/>
      <c r="H47" s="233"/>
      <c r="I47" s="141"/>
      <c r="J47" s="141"/>
      <c r="K47" s="141"/>
      <c r="L47" s="141"/>
      <c r="M47" s="141"/>
      <c r="N47" s="141"/>
      <c r="O47" s="186"/>
      <c r="P47" s="200"/>
      <c r="Q47" s="200"/>
      <c r="R47" s="200"/>
      <c r="S47" s="200"/>
      <c r="T47" s="200"/>
      <c r="U47" s="200"/>
      <c r="V47" s="200"/>
      <c r="W47" s="200"/>
      <c r="X47" s="200"/>
      <c r="Y47" s="200"/>
      <c r="Z47" s="200"/>
      <c r="AA47" s="200"/>
      <c r="AB47" s="200"/>
      <c r="AC47" s="200"/>
      <c r="AD47" s="200"/>
      <c r="AE47" s="200"/>
      <c r="AF47" s="200"/>
      <c r="AG47" s="200"/>
      <c r="AH47" s="200"/>
      <c r="AI47" s="200"/>
      <c r="AJ47" s="186"/>
      <c r="AK47" s="200"/>
      <c r="AL47" s="200"/>
      <c r="AM47" s="200"/>
      <c r="AN47" s="200"/>
      <c r="AO47" s="206"/>
      <c r="AP47" s="206"/>
      <c r="AQ47" s="206"/>
      <c r="AR47" s="206"/>
      <c r="AS47" s="206"/>
      <c r="AT47" s="206"/>
      <c r="AU47" s="206"/>
      <c r="AV47" s="206"/>
      <c r="AW47" s="206"/>
      <c r="AX47" s="206"/>
      <c r="AY47" s="206"/>
      <c r="AZ47" s="206"/>
      <c r="BA47" s="206"/>
      <c r="BB47" s="206"/>
      <c r="BC47" s="206"/>
      <c r="BD47" s="206"/>
      <c r="BE47" s="206"/>
      <c r="BF47" s="206"/>
      <c r="BG47" s="200"/>
      <c r="BH47" s="200"/>
      <c r="BI47" s="200"/>
      <c r="BJ47" s="200"/>
      <c r="BK47" s="200"/>
      <c r="BL47" s="200"/>
      <c r="BM47" s="200"/>
      <c r="BN47" s="200"/>
      <c r="BO47" s="200"/>
      <c r="BP47" s="200"/>
      <c r="BQ47" s="200"/>
      <c r="BR47" s="206"/>
      <c r="BS47" s="206"/>
      <c r="BT47" s="206"/>
      <c r="BU47" s="206"/>
      <c r="BV47" s="206"/>
      <c r="BW47" s="206"/>
      <c r="BX47" s="206"/>
      <c r="BY47" s="206"/>
      <c r="BZ47" s="206"/>
      <c r="CA47" s="206"/>
      <c r="CB47" s="206"/>
      <c r="CC47" s="200"/>
      <c r="CD47" s="206"/>
      <c r="CE47" s="206"/>
      <c r="CF47" s="206"/>
      <c r="CG47" s="206"/>
      <c r="CH47" s="206"/>
      <c r="CI47" s="206"/>
      <c r="CJ47" s="206"/>
      <c r="CK47" s="206"/>
      <c r="CL47" s="206"/>
      <c r="CM47" s="206"/>
      <c r="CN47" s="206"/>
      <c r="CO47" s="206"/>
      <c r="CP47" s="248"/>
      <c r="CQ47" s="248"/>
      <c r="CR47" s="248"/>
      <c r="CS47" s="248"/>
      <c r="CT47" s="189"/>
      <c r="CU47" s="206"/>
      <c r="CV47" s="206"/>
      <c r="CW47" s="206"/>
      <c r="CX47" s="248"/>
      <c r="CY47" s="248"/>
      <c r="CZ47" s="248"/>
      <c r="DA47" s="248"/>
      <c r="DB47" s="189"/>
      <c r="DC47" s="273"/>
      <c r="DD47" s="273"/>
      <c r="DE47" s="206"/>
      <c r="DF47" s="273"/>
      <c r="DG47" s="241"/>
      <c r="DH47" s="241"/>
      <c r="DI47" s="242"/>
      <c r="DJ47" s="242"/>
    </row>
    <row r="48" spans="1:2941" ht="12" x14ac:dyDescent="0.2">
      <c r="A48" s="175" t="s">
        <v>250</v>
      </c>
      <c r="B48" s="175" t="s">
        <v>251</v>
      </c>
      <c r="C48" s="176" t="s">
        <v>252</v>
      </c>
      <c r="D48" s="176" t="s">
        <v>253</v>
      </c>
      <c r="E48" s="176" t="s">
        <v>254</v>
      </c>
      <c r="F48" s="176" t="s">
        <v>133</v>
      </c>
      <c r="G48" s="177" t="s">
        <v>136</v>
      </c>
      <c r="H48" s="234" t="s">
        <v>255</v>
      </c>
      <c r="I48" s="148">
        <v>22814</v>
      </c>
      <c r="J48" s="147" t="s">
        <v>155</v>
      </c>
      <c r="K48" s="147" t="s">
        <v>11</v>
      </c>
      <c r="L48" s="147" t="s">
        <v>138</v>
      </c>
      <c r="M48" s="147" t="s">
        <v>147</v>
      </c>
      <c r="N48" s="147" t="s">
        <v>147</v>
      </c>
      <c r="O48" s="192" t="s">
        <v>139</v>
      </c>
      <c r="P48" s="190" t="s">
        <v>140</v>
      </c>
      <c r="Q48" s="190" t="s">
        <v>11</v>
      </c>
      <c r="R48" s="190" t="s">
        <v>140</v>
      </c>
      <c r="S48" s="190" t="s">
        <v>140</v>
      </c>
      <c r="T48" s="190" t="s">
        <v>11</v>
      </c>
      <c r="U48" s="190" t="s">
        <v>11</v>
      </c>
      <c r="V48" s="190" t="s">
        <v>140</v>
      </c>
      <c r="W48" s="190" t="s">
        <v>11</v>
      </c>
      <c r="X48" s="190" t="s">
        <v>11</v>
      </c>
      <c r="Y48" s="190" t="s">
        <v>11</v>
      </c>
      <c r="Z48" s="190" t="s">
        <v>140</v>
      </c>
      <c r="AA48" s="190" t="s">
        <v>140</v>
      </c>
      <c r="AB48" s="190" t="s">
        <v>140</v>
      </c>
      <c r="AC48" s="192" t="s">
        <v>11</v>
      </c>
      <c r="AD48" s="192" t="s">
        <v>11</v>
      </c>
      <c r="AE48" s="190" t="s">
        <v>140</v>
      </c>
      <c r="AF48" s="190" t="s">
        <v>148</v>
      </c>
      <c r="AG48" s="190" t="s">
        <v>140</v>
      </c>
      <c r="AH48" s="191">
        <v>8</v>
      </c>
      <c r="AI48" s="190" t="s">
        <v>140</v>
      </c>
      <c r="AJ48" s="187"/>
      <c r="AK48" s="190" t="s">
        <v>140</v>
      </c>
      <c r="AL48" s="190" t="s">
        <v>140</v>
      </c>
      <c r="AM48" s="249"/>
      <c r="AN48" s="190" t="s">
        <v>11</v>
      </c>
      <c r="AO48" s="190" t="s">
        <v>11</v>
      </c>
      <c r="AP48" s="190" t="s">
        <v>140</v>
      </c>
      <c r="AQ48" s="190" t="s">
        <v>11</v>
      </c>
      <c r="AR48" s="190" t="s">
        <v>140</v>
      </c>
      <c r="AS48" s="190" t="s">
        <v>11</v>
      </c>
      <c r="AT48" s="190" t="s">
        <v>11</v>
      </c>
      <c r="AU48" s="190" t="s">
        <v>140</v>
      </c>
      <c r="AV48" s="190" t="s">
        <v>140</v>
      </c>
      <c r="AW48" s="190" t="s">
        <v>148</v>
      </c>
      <c r="AX48" s="190"/>
      <c r="AY48" s="190"/>
      <c r="AZ48" s="190"/>
      <c r="BA48" s="279"/>
      <c r="BB48" s="279" t="s">
        <v>140</v>
      </c>
      <c r="BC48" s="279"/>
      <c r="BD48" s="279"/>
      <c r="BE48" s="190"/>
      <c r="BF48" s="190"/>
      <c r="BG48" s="206"/>
      <c r="BH48" s="190" t="s">
        <v>256</v>
      </c>
      <c r="BI48" s="190" t="s">
        <v>257</v>
      </c>
      <c r="BJ48" s="190" t="s">
        <v>258</v>
      </c>
      <c r="BK48" s="246">
        <v>45819</v>
      </c>
      <c r="BL48" s="190" t="s">
        <v>140</v>
      </c>
      <c r="BM48" s="190" t="s">
        <v>148</v>
      </c>
      <c r="BN48" s="190" t="s">
        <v>148</v>
      </c>
      <c r="BO48" s="190" t="s">
        <v>148</v>
      </c>
      <c r="BP48" s="190" t="s">
        <v>148</v>
      </c>
      <c r="BQ48" s="206"/>
      <c r="BR48" s="190" t="s">
        <v>141</v>
      </c>
      <c r="BS48" s="190" t="s">
        <v>141</v>
      </c>
      <c r="BT48" s="190" t="s">
        <v>141</v>
      </c>
      <c r="BU48" s="190" t="s">
        <v>141</v>
      </c>
      <c r="BV48" s="190" t="s">
        <v>141</v>
      </c>
      <c r="BW48" s="190" t="s">
        <v>141</v>
      </c>
      <c r="BX48" s="190" t="s">
        <v>141</v>
      </c>
      <c r="BY48" s="190" t="s">
        <v>141</v>
      </c>
      <c r="BZ48" s="190" t="s">
        <v>141</v>
      </c>
      <c r="CA48" s="190" t="s">
        <v>141</v>
      </c>
      <c r="CB48" s="190" t="s">
        <v>141</v>
      </c>
      <c r="CC48" s="206"/>
      <c r="CD48" s="190" t="s">
        <v>141</v>
      </c>
      <c r="CE48" s="190" t="s">
        <v>141</v>
      </c>
      <c r="CF48" s="190" t="s">
        <v>141</v>
      </c>
      <c r="CG48" s="190" t="s">
        <v>141</v>
      </c>
      <c r="CH48" s="190" t="s">
        <v>141</v>
      </c>
      <c r="CI48" s="190" t="s">
        <v>141</v>
      </c>
      <c r="CJ48" s="190" t="s">
        <v>141</v>
      </c>
      <c r="CK48" s="190" t="s">
        <v>141</v>
      </c>
      <c r="CL48" s="190" t="s">
        <v>141</v>
      </c>
      <c r="CM48" s="190" t="s">
        <v>141</v>
      </c>
      <c r="CN48" s="190" t="s">
        <v>141</v>
      </c>
      <c r="CO48" s="206"/>
      <c r="CP48" s="190" t="s">
        <v>11</v>
      </c>
      <c r="CQ48" s="190" t="s">
        <v>11</v>
      </c>
      <c r="CR48" s="190" t="s">
        <v>11</v>
      </c>
      <c r="CS48" s="190" t="s">
        <v>11</v>
      </c>
      <c r="CT48" s="174" t="s">
        <v>11</v>
      </c>
      <c r="CU48" s="190" t="s">
        <v>11</v>
      </c>
      <c r="CV48" s="190" t="s">
        <v>11</v>
      </c>
      <c r="CW48" s="206"/>
      <c r="CX48" s="190" t="s">
        <v>140</v>
      </c>
      <c r="CY48" s="190" t="s">
        <v>140</v>
      </c>
      <c r="CZ48" s="190" t="s">
        <v>148</v>
      </c>
      <c r="DA48" s="190" t="s">
        <v>140</v>
      </c>
      <c r="DB48" s="190" t="s">
        <v>140</v>
      </c>
      <c r="DC48" s="190" t="s">
        <v>140</v>
      </c>
      <c r="DD48" s="190" t="s">
        <v>148</v>
      </c>
      <c r="DE48" s="206"/>
      <c r="DF48" s="195" t="s">
        <v>11</v>
      </c>
      <c r="DG48" s="241"/>
      <c r="DH48" s="241"/>
      <c r="DI48" s="242"/>
      <c r="DJ48" s="242"/>
    </row>
    <row r="49" spans="1:114" ht="12" x14ac:dyDescent="0.2">
      <c r="A49" s="175" t="s">
        <v>259</v>
      </c>
      <c r="B49" s="175" t="s">
        <v>260</v>
      </c>
      <c r="C49" s="176" t="s">
        <v>261</v>
      </c>
      <c r="D49" s="176" t="s">
        <v>133</v>
      </c>
      <c r="E49" s="176" t="s">
        <v>254</v>
      </c>
      <c r="F49" s="176" t="s">
        <v>133</v>
      </c>
      <c r="G49" s="177" t="s">
        <v>136</v>
      </c>
      <c r="H49" s="234" t="s">
        <v>262</v>
      </c>
      <c r="I49" s="147"/>
      <c r="J49" s="147" t="s">
        <v>263</v>
      </c>
      <c r="K49" s="147" t="s">
        <v>11</v>
      </c>
      <c r="L49" s="147" t="s">
        <v>138</v>
      </c>
      <c r="M49" s="147" t="s">
        <v>138</v>
      </c>
      <c r="N49" s="147" t="s">
        <v>138</v>
      </c>
      <c r="O49" s="192" t="s">
        <v>139</v>
      </c>
      <c r="P49" s="190" t="s">
        <v>140</v>
      </c>
      <c r="Q49" s="190" t="s">
        <v>11</v>
      </c>
      <c r="R49" s="190" t="s">
        <v>140</v>
      </c>
      <c r="S49" s="190" t="s">
        <v>140</v>
      </c>
      <c r="T49" s="190" t="s">
        <v>140</v>
      </c>
      <c r="U49" s="190" t="s">
        <v>140</v>
      </c>
      <c r="V49" s="190" t="s">
        <v>140</v>
      </c>
      <c r="W49" s="190" t="s">
        <v>140</v>
      </c>
      <c r="X49" s="190" t="s">
        <v>140</v>
      </c>
      <c r="Y49" s="190" t="s">
        <v>140</v>
      </c>
      <c r="Z49" s="190" t="s">
        <v>140</v>
      </c>
      <c r="AA49" s="190" t="s">
        <v>140</v>
      </c>
      <c r="AB49" s="190" t="s">
        <v>140</v>
      </c>
      <c r="AC49" s="192" t="s">
        <v>11</v>
      </c>
      <c r="AD49" s="192" t="s">
        <v>11</v>
      </c>
      <c r="AE49" s="190" t="s">
        <v>140</v>
      </c>
      <c r="AF49" s="190" t="s">
        <v>148</v>
      </c>
      <c r="AG49" s="190" t="s">
        <v>140</v>
      </c>
      <c r="AH49" s="191">
        <v>213</v>
      </c>
      <c r="AI49" s="190" t="s">
        <v>140</v>
      </c>
      <c r="AJ49" s="187"/>
      <c r="AK49" s="190" t="s">
        <v>140</v>
      </c>
      <c r="AL49" s="190" t="s">
        <v>140</v>
      </c>
      <c r="AM49" s="249"/>
      <c r="AN49" s="190" t="s">
        <v>140</v>
      </c>
      <c r="AO49" s="190" t="s">
        <v>140</v>
      </c>
      <c r="AP49" s="190" t="s">
        <v>140</v>
      </c>
      <c r="AQ49" s="190" t="s">
        <v>140</v>
      </c>
      <c r="AR49" s="190" t="s">
        <v>140</v>
      </c>
      <c r="AS49" s="190" t="s">
        <v>140</v>
      </c>
      <c r="AT49" s="190" t="s">
        <v>140</v>
      </c>
      <c r="AU49" s="190" t="s">
        <v>140</v>
      </c>
      <c r="AV49" s="190" t="s">
        <v>140</v>
      </c>
      <c r="AW49" s="190" t="s">
        <v>148</v>
      </c>
      <c r="AX49" s="190"/>
      <c r="AY49" s="190"/>
      <c r="AZ49" s="190"/>
      <c r="BA49" s="190"/>
      <c r="BB49" s="190" t="s">
        <v>140</v>
      </c>
      <c r="BC49" s="190"/>
      <c r="BD49" s="190"/>
      <c r="BE49" s="190"/>
      <c r="BF49" s="190"/>
      <c r="BG49" s="206"/>
      <c r="BH49" s="190" t="s">
        <v>264</v>
      </c>
      <c r="BI49" s="190" t="s">
        <v>265</v>
      </c>
      <c r="BJ49" s="190" t="s">
        <v>266</v>
      </c>
      <c r="BK49" s="246" t="s">
        <v>267</v>
      </c>
      <c r="BL49" s="190" t="s">
        <v>140</v>
      </c>
      <c r="BM49" s="190" t="s">
        <v>140</v>
      </c>
      <c r="BN49" s="190" t="s">
        <v>140</v>
      </c>
      <c r="BO49" s="190" t="s">
        <v>140</v>
      </c>
      <c r="BP49" s="190" t="s">
        <v>148</v>
      </c>
      <c r="BQ49" s="206"/>
      <c r="BR49" s="190" t="s">
        <v>141</v>
      </c>
      <c r="BS49" s="190" t="s">
        <v>141</v>
      </c>
      <c r="BT49" s="190" t="s">
        <v>141</v>
      </c>
      <c r="BU49" s="190" t="s">
        <v>141</v>
      </c>
      <c r="BV49" s="190" t="s">
        <v>141</v>
      </c>
      <c r="BW49" s="190" t="s">
        <v>141</v>
      </c>
      <c r="BX49" s="190" t="s">
        <v>141</v>
      </c>
      <c r="BY49" s="190" t="s">
        <v>141</v>
      </c>
      <c r="BZ49" s="190" t="s">
        <v>141</v>
      </c>
      <c r="CA49" s="190" t="s">
        <v>141</v>
      </c>
      <c r="CB49" s="190" t="s">
        <v>141</v>
      </c>
      <c r="CC49" s="206"/>
      <c r="CD49" s="190" t="s">
        <v>141</v>
      </c>
      <c r="CE49" s="190" t="s">
        <v>141</v>
      </c>
      <c r="CF49" s="190" t="s">
        <v>141</v>
      </c>
      <c r="CG49" s="190" t="s">
        <v>141</v>
      </c>
      <c r="CH49" s="190" t="s">
        <v>141</v>
      </c>
      <c r="CI49" s="190" t="s">
        <v>141</v>
      </c>
      <c r="CJ49" s="190" t="s">
        <v>141</v>
      </c>
      <c r="CK49" s="190" t="s">
        <v>141</v>
      </c>
      <c r="CL49" s="190" t="s">
        <v>141</v>
      </c>
      <c r="CM49" s="190" t="s">
        <v>141</v>
      </c>
      <c r="CN49" s="190" t="s">
        <v>141</v>
      </c>
      <c r="CO49" s="206"/>
      <c r="CP49" s="190" t="s">
        <v>140</v>
      </c>
      <c r="CQ49" s="190" t="s">
        <v>140</v>
      </c>
      <c r="CR49" s="190" t="s">
        <v>148</v>
      </c>
      <c r="CS49" s="190" t="s">
        <v>11</v>
      </c>
      <c r="CT49" s="195" t="s">
        <v>148</v>
      </c>
      <c r="CU49" s="195" t="s">
        <v>148</v>
      </c>
      <c r="CV49" s="195" t="s">
        <v>148</v>
      </c>
      <c r="CW49" s="206"/>
      <c r="CX49" s="190" t="s">
        <v>140</v>
      </c>
      <c r="CY49" s="190" t="s">
        <v>209</v>
      </c>
      <c r="CZ49" s="190" t="s">
        <v>148</v>
      </c>
      <c r="DA49" s="190" t="s">
        <v>140</v>
      </c>
      <c r="DB49" s="195" t="s">
        <v>140</v>
      </c>
      <c r="DC49" s="195" t="s">
        <v>140</v>
      </c>
      <c r="DD49" s="195" t="s">
        <v>148</v>
      </c>
      <c r="DE49" s="206"/>
      <c r="DF49" s="195" t="s">
        <v>11</v>
      </c>
      <c r="DG49" s="241"/>
      <c r="DH49" s="241"/>
      <c r="DI49" s="242"/>
      <c r="DJ49" s="242"/>
    </row>
    <row r="50" spans="1:114" ht="12" x14ac:dyDescent="0.2">
      <c r="A50" s="175" t="s">
        <v>268</v>
      </c>
      <c r="B50" s="175"/>
      <c r="C50" s="176" t="s">
        <v>269</v>
      </c>
      <c r="D50" s="176" t="s">
        <v>253</v>
      </c>
      <c r="E50" s="176" t="s">
        <v>254</v>
      </c>
      <c r="F50" s="176" t="s">
        <v>133</v>
      </c>
      <c r="G50" s="177" t="s">
        <v>136</v>
      </c>
      <c r="H50" s="234" t="s">
        <v>270</v>
      </c>
      <c r="I50" s="147" t="s">
        <v>11</v>
      </c>
      <c r="J50" s="147" t="s">
        <v>146</v>
      </c>
      <c r="K50" s="147" t="s">
        <v>11</v>
      </c>
      <c r="L50" s="147" t="s">
        <v>138</v>
      </c>
      <c r="M50" s="147" t="s">
        <v>138</v>
      </c>
      <c r="N50" s="147" t="s">
        <v>138</v>
      </c>
      <c r="O50" s="192" t="s">
        <v>139</v>
      </c>
      <c r="P50" s="190" t="s">
        <v>140</v>
      </c>
      <c r="Q50" s="190" t="s">
        <v>11</v>
      </c>
      <c r="R50" s="190" t="s">
        <v>140</v>
      </c>
      <c r="S50" s="190" t="s">
        <v>140</v>
      </c>
      <c r="T50" s="190" t="s">
        <v>140</v>
      </c>
      <c r="U50" s="190" t="s">
        <v>140</v>
      </c>
      <c r="V50" s="190" t="s">
        <v>140</v>
      </c>
      <c r="W50" s="190" t="s">
        <v>140</v>
      </c>
      <c r="X50" s="190" t="s">
        <v>140</v>
      </c>
      <c r="Y50" s="190" t="s">
        <v>140</v>
      </c>
      <c r="Z50" s="190" t="s">
        <v>140</v>
      </c>
      <c r="AA50" s="190" t="s">
        <v>140</v>
      </c>
      <c r="AB50" s="190" t="s">
        <v>140</v>
      </c>
      <c r="AC50" s="192" t="s">
        <v>11</v>
      </c>
      <c r="AD50" s="192" t="s">
        <v>11</v>
      </c>
      <c r="AE50" s="190" t="s">
        <v>140</v>
      </c>
      <c r="AF50" s="190" t="s">
        <v>140</v>
      </c>
      <c r="AG50" s="190" t="s">
        <v>140</v>
      </c>
      <c r="AH50" s="224">
        <v>160</v>
      </c>
      <c r="AI50" s="190" t="s">
        <v>11</v>
      </c>
      <c r="AJ50" s="187"/>
      <c r="AK50" s="190" t="s">
        <v>11</v>
      </c>
      <c r="AL50" s="190" t="s">
        <v>11</v>
      </c>
      <c r="AM50" s="249"/>
      <c r="AN50" s="190" t="s">
        <v>11</v>
      </c>
      <c r="AO50" s="190" t="s">
        <v>11</v>
      </c>
      <c r="AP50" s="190" t="s">
        <v>11</v>
      </c>
      <c r="AQ50" s="190" t="s">
        <v>11</v>
      </c>
      <c r="AR50" s="190" t="s">
        <v>140</v>
      </c>
      <c r="AS50" s="190" t="s">
        <v>11</v>
      </c>
      <c r="AT50" s="190" t="s">
        <v>11</v>
      </c>
      <c r="AU50" s="190" t="s">
        <v>11</v>
      </c>
      <c r="AV50" s="190" t="s">
        <v>140</v>
      </c>
      <c r="AW50" s="190" t="s">
        <v>148</v>
      </c>
      <c r="AX50" s="190"/>
      <c r="AY50" s="190"/>
      <c r="AZ50" s="190"/>
      <c r="BA50" s="279"/>
      <c r="BB50" s="279" t="s">
        <v>11</v>
      </c>
      <c r="BC50" s="279"/>
      <c r="BD50" s="279"/>
      <c r="BE50" s="190"/>
      <c r="BF50" s="190"/>
      <c r="BG50" s="206"/>
      <c r="BH50" s="190" t="s">
        <v>11</v>
      </c>
      <c r="BI50" s="190" t="s">
        <v>11</v>
      </c>
      <c r="BJ50" s="190" t="s">
        <v>11</v>
      </c>
      <c r="BK50" s="246" t="s">
        <v>11</v>
      </c>
      <c r="BL50" s="190" t="s">
        <v>11</v>
      </c>
      <c r="BM50" s="190" t="s">
        <v>11</v>
      </c>
      <c r="BN50" s="190" t="s">
        <v>11</v>
      </c>
      <c r="BO50" s="190" t="s">
        <v>11</v>
      </c>
      <c r="BP50" s="190" t="s">
        <v>11</v>
      </c>
      <c r="BQ50" s="206"/>
      <c r="BR50" s="190" t="s">
        <v>141</v>
      </c>
      <c r="BS50" s="190" t="s">
        <v>141</v>
      </c>
      <c r="BT50" s="190" t="s">
        <v>141</v>
      </c>
      <c r="BU50" s="190" t="s">
        <v>141</v>
      </c>
      <c r="BV50" s="190" t="s">
        <v>141</v>
      </c>
      <c r="BW50" s="190" t="s">
        <v>141</v>
      </c>
      <c r="BX50" s="190" t="s">
        <v>141</v>
      </c>
      <c r="BY50" s="190" t="s">
        <v>141</v>
      </c>
      <c r="BZ50" s="190" t="s">
        <v>141</v>
      </c>
      <c r="CA50" s="190" t="s">
        <v>141</v>
      </c>
      <c r="CB50" s="190" t="s">
        <v>141</v>
      </c>
      <c r="CC50" s="206"/>
      <c r="CD50" s="190" t="s">
        <v>141</v>
      </c>
      <c r="CE50" s="190" t="s">
        <v>141</v>
      </c>
      <c r="CF50" s="190" t="s">
        <v>141</v>
      </c>
      <c r="CG50" s="190" t="s">
        <v>141</v>
      </c>
      <c r="CH50" s="190" t="s">
        <v>141</v>
      </c>
      <c r="CI50" s="190" t="s">
        <v>141</v>
      </c>
      <c r="CJ50" s="190" t="s">
        <v>141</v>
      </c>
      <c r="CK50" s="190" t="s">
        <v>141</v>
      </c>
      <c r="CL50" s="190" t="s">
        <v>141</v>
      </c>
      <c r="CM50" s="190" t="s">
        <v>141</v>
      </c>
      <c r="CN50" s="190" t="s">
        <v>141</v>
      </c>
      <c r="CO50" s="206"/>
      <c r="CP50" s="190" t="s">
        <v>11</v>
      </c>
      <c r="CQ50" s="190" t="s">
        <v>11</v>
      </c>
      <c r="CR50" s="190" t="s">
        <v>11</v>
      </c>
      <c r="CS50" s="190" t="s">
        <v>11</v>
      </c>
      <c r="CT50" s="195" t="s">
        <v>11</v>
      </c>
      <c r="CU50" s="195" t="s">
        <v>11</v>
      </c>
      <c r="CV50" s="195" t="s">
        <v>11</v>
      </c>
      <c r="CW50" s="206"/>
      <c r="CX50" s="190" t="s">
        <v>11</v>
      </c>
      <c r="CY50" s="190" t="s">
        <v>11</v>
      </c>
      <c r="CZ50" s="190" t="s">
        <v>11</v>
      </c>
      <c r="DA50" s="190" t="s">
        <v>11</v>
      </c>
      <c r="DB50" s="190" t="s">
        <v>11</v>
      </c>
      <c r="DC50" s="190" t="s">
        <v>11</v>
      </c>
      <c r="DD50" s="190" t="s">
        <v>11</v>
      </c>
      <c r="DE50" s="206"/>
      <c r="DF50" s="195" t="s">
        <v>11</v>
      </c>
      <c r="DG50" s="241"/>
      <c r="DH50" s="241"/>
      <c r="DI50" s="242"/>
      <c r="DJ50" s="242"/>
    </row>
    <row r="51" spans="1:114" ht="12" x14ac:dyDescent="0.2">
      <c r="A51" s="175" t="s">
        <v>271</v>
      </c>
      <c r="B51" s="175"/>
      <c r="C51" s="176" t="s">
        <v>272</v>
      </c>
      <c r="D51" s="176" t="s">
        <v>133</v>
      </c>
      <c r="E51" s="176" t="s">
        <v>254</v>
      </c>
      <c r="F51" s="176" t="s">
        <v>133</v>
      </c>
      <c r="G51" s="177" t="s">
        <v>136</v>
      </c>
      <c r="H51" s="234" t="s">
        <v>273</v>
      </c>
      <c r="I51" s="147" t="s">
        <v>11</v>
      </c>
      <c r="J51" s="147" t="s">
        <v>155</v>
      </c>
      <c r="K51" s="147" t="s">
        <v>11</v>
      </c>
      <c r="L51" s="147" t="s">
        <v>138</v>
      </c>
      <c r="M51" s="147" t="s">
        <v>138</v>
      </c>
      <c r="N51" s="147" t="s">
        <v>138</v>
      </c>
      <c r="O51" s="192" t="s">
        <v>139</v>
      </c>
      <c r="P51" s="190" t="s">
        <v>140</v>
      </c>
      <c r="Q51" s="190" t="s">
        <v>11</v>
      </c>
      <c r="R51" s="190" t="s">
        <v>140</v>
      </c>
      <c r="S51" s="190" t="s">
        <v>140</v>
      </c>
      <c r="T51" s="190" t="s">
        <v>140</v>
      </c>
      <c r="U51" s="190" t="s">
        <v>140</v>
      </c>
      <c r="V51" s="190" t="s">
        <v>140</v>
      </c>
      <c r="W51" s="190" t="s">
        <v>11</v>
      </c>
      <c r="X51" s="190" t="s">
        <v>11</v>
      </c>
      <c r="Y51" s="190" t="s">
        <v>11</v>
      </c>
      <c r="Z51" s="190" t="s">
        <v>140</v>
      </c>
      <c r="AA51" s="190" t="s">
        <v>140</v>
      </c>
      <c r="AB51" s="190" t="s">
        <v>140</v>
      </c>
      <c r="AC51" s="192" t="s">
        <v>11</v>
      </c>
      <c r="AD51" s="192" t="s">
        <v>11</v>
      </c>
      <c r="AE51" s="190" t="s">
        <v>140</v>
      </c>
      <c r="AF51" s="190" t="s">
        <v>140</v>
      </c>
      <c r="AG51" s="190" t="s">
        <v>140</v>
      </c>
      <c r="AH51" s="191">
        <v>29</v>
      </c>
      <c r="AI51" s="190" t="s">
        <v>140</v>
      </c>
      <c r="AJ51" s="187"/>
      <c r="AK51" s="190" t="s">
        <v>11</v>
      </c>
      <c r="AL51" s="190" t="s">
        <v>11</v>
      </c>
      <c r="AM51" s="249"/>
      <c r="AN51" s="192" t="s">
        <v>11</v>
      </c>
      <c r="AO51" s="192" t="s">
        <v>11</v>
      </c>
      <c r="AP51" s="192" t="s">
        <v>11</v>
      </c>
      <c r="AQ51" s="192" t="s">
        <v>11</v>
      </c>
      <c r="AR51" s="192" t="s">
        <v>11</v>
      </c>
      <c r="AS51" s="192" t="s">
        <v>11</v>
      </c>
      <c r="AT51" s="192" t="s">
        <v>11</v>
      </c>
      <c r="AU51" s="192" t="s">
        <v>140</v>
      </c>
      <c r="AV51" s="203" t="s">
        <v>140</v>
      </c>
      <c r="AW51" s="190" t="s">
        <v>148</v>
      </c>
      <c r="AX51" s="203"/>
      <c r="AY51" s="203"/>
      <c r="AZ51" s="203"/>
      <c r="BA51" s="203"/>
      <c r="BB51" s="203" t="s">
        <v>11</v>
      </c>
      <c r="BC51" s="203"/>
      <c r="BD51" s="203"/>
      <c r="BE51" s="203"/>
      <c r="BF51" s="203"/>
      <c r="BG51" s="206"/>
      <c r="BH51" s="190" t="s">
        <v>11</v>
      </c>
      <c r="BI51" s="190" t="s">
        <v>11</v>
      </c>
      <c r="BJ51" s="190" t="s">
        <v>11</v>
      </c>
      <c r="BK51" s="246" t="s">
        <v>11</v>
      </c>
      <c r="BL51" s="190" t="s">
        <v>11</v>
      </c>
      <c r="BM51" s="190" t="s">
        <v>11</v>
      </c>
      <c r="BN51" s="190" t="s">
        <v>11</v>
      </c>
      <c r="BO51" s="190" t="s">
        <v>11</v>
      </c>
      <c r="BP51" s="190" t="s">
        <v>11</v>
      </c>
      <c r="BQ51" s="206"/>
      <c r="BR51" s="190" t="s">
        <v>141</v>
      </c>
      <c r="BS51" s="190" t="s">
        <v>141</v>
      </c>
      <c r="BT51" s="190" t="s">
        <v>141</v>
      </c>
      <c r="BU51" s="190" t="s">
        <v>141</v>
      </c>
      <c r="BV51" s="190" t="s">
        <v>141</v>
      </c>
      <c r="BW51" s="190" t="s">
        <v>141</v>
      </c>
      <c r="BX51" s="190" t="s">
        <v>141</v>
      </c>
      <c r="BY51" s="190" t="s">
        <v>141</v>
      </c>
      <c r="BZ51" s="190" t="s">
        <v>141</v>
      </c>
      <c r="CA51" s="190" t="s">
        <v>141</v>
      </c>
      <c r="CB51" s="190" t="s">
        <v>141</v>
      </c>
      <c r="CC51" s="206"/>
      <c r="CD51" s="190" t="s">
        <v>141</v>
      </c>
      <c r="CE51" s="190" t="s">
        <v>141</v>
      </c>
      <c r="CF51" s="190" t="s">
        <v>141</v>
      </c>
      <c r="CG51" s="190" t="s">
        <v>141</v>
      </c>
      <c r="CH51" s="190" t="s">
        <v>141</v>
      </c>
      <c r="CI51" s="190" t="s">
        <v>141</v>
      </c>
      <c r="CJ51" s="190" t="s">
        <v>141</v>
      </c>
      <c r="CK51" s="190" t="s">
        <v>141</v>
      </c>
      <c r="CL51" s="190" t="s">
        <v>141</v>
      </c>
      <c r="CM51" s="190" t="s">
        <v>141</v>
      </c>
      <c r="CN51" s="190" t="s">
        <v>141</v>
      </c>
      <c r="CO51" s="206"/>
      <c r="CP51" s="190" t="s">
        <v>11</v>
      </c>
      <c r="CQ51" s="190" t="s">
        <v>11</v>
      </c>
      <c r="CR51" s="190" t="s">
        <v>11</v>
      </c>
      <c r="CS51" s="190" t="s">
        <v>11</v>
      </c>
      <c r="CT51" s="192" t="s">
        <v>11</v>
      </c>
      <c r="CU51" s="192" t="s">
        <v>11</v>
      </c>
      <c r="CV51" s="192" t="s">
        <v>11</v>
      </c>
      <c r="CW51" s="206"/>
      <c r="CX51" s="190" t="s">
        <v>11</v>
      </c>
      <c r="CY51" s="190" t="s">
        <v>11</v>
      </c>
      <c r="CZ51" s="190" t="s">
        <v>11</v>
      </c>
      <c r="DA51" s="190" t="s">
        <v>11</v>
      </c>
      <c r="DB51" s="190" t="s">
        <v>11</v>
      </c>
      <c r="DC51" s="190" t="s">
        <v>11</v>
      </c>
      <c r="DD51" s="190" t="s">
        <v>11</v>
      </c>
      <c r="DE51" s="206"/>
      <c r="DF51" s="195" t="s">
        <v>11</v>
      </c>
      <c r="DG51" s="241"/>
      <c r="DH51" s="241"/>
      <c r="DI51" s="242"/>
      <c r="DJ51" s="242"/>
    </row>
    <row r="52" spans="1:114" ht="12" x14ac:dyDescent="0.2">
      <c r="A52" s="175" t="s">
        <v>274</v>
      </c>
      <c r="B52" s="175" t="s">
        <v>166</v>
      </c>
      <c r="C52" s="176" t="s">
        <v>252</v>
      </c>
      <c r="D52" s="176" t="s">
        <v>253</v>
      </c>
      <c r="E52" s="176" t="s">
        <v>254</v>
      </c>
      <c r="F52" s="176" t="s">
        <v>133</v>
      </c>
      <c r="G52" s="177" t="s">
        <v>136</v>
      </c>
      <c r="H52" s="234" t="s">
        <v>275</v>
      </c>
      <c r="I52" s="147" t="s">
        <v>11</v>
      </c>
      <c r="J52" s="321" t="s">
        <v>161</v>
      </c>
      <c r="K52" s="147" t="s">
        <v>11</v>
      </c>
      <c r="L52" s="147" t="s">
        <v>138</v>
      </c>
      <c r="M52" s="147" t="s">
        <v>138</v>
      </c>
      <c r="N52" s="147" t="s">
        <v>138</v>
      </c>
      <c r="O52" s="192" t="s">
        <v>139</v>
      </c>
      <c r="P52" s="190" t="s">
        <v>140</v>
      </c>
      <c r="Q52" s="190" t="s">
        <v>11</v>
      </c>
      <c r="R52" s="190" t="s">
        <v>140</v>
      </c>
      <c r="S52" s="190" t="s">
        <v>140</v>
      </c>
      <c r="T52" s="190" t="s">
        <v>140</v>
      </c>
      <c r="U52" s="190" t="s">
        <v>140</v>
      </c>
      <c r="V52" s="190" t="s">
        <v>140</v>
      </c>
      <c r="W52" s="190" t="s">
        <v>11</v>
      </c>
      <c r="X52" s="190" t="s">
        <v>11</v>
      </c>
      <c r="Y52" s="190" t="s">
        <v>11</v>
      </c>
      <c r="Z52" s="190" t="s">
        <v>140</v>
      </c>
      <c r="AA52" s="190" t="s">
        <v>140</v>
      </c>
      <c r="AB52" s="190" t="s">
        <v>140</v>
      </c>
      <c r="AC52" s="192" t="s">
        <v>11</v>
      </c>
      <c r="AD52" s="192" t="s">
        <v>11</v>
      </c>
      <c r="AE52" s="190" t="s">
        <v>140</v>
      </c>
      <c r="AF52" s="190" t="s">
        <v>140</v>
      </c>
      <c r="AG52" s="190" t="s">
        <v>140</v>
      </c>
      <c r="AH52" s="191">
        <v>8</v>
      </c>
      <c r="AI52" s="190" t="s">
        <v>140</v>
      </c>
      <c r="AJ52" s="187"/>
      <c r="AK52" s="190" t="s">
        <v>140</v>
      </c>
      <c r="AL52" s="190" t="s">
        <v>140</v>
      </c>
      <c r="AM52" s="206"/>
      <c r="AN52" s="192" t="s">
        <v>11</v>
      </c>
      <c r="AO52" s="192" t="s">
        <v>11</v>
      </c>
      <c r="AP52" s="192" t="s">
        <v>11</v>
      </c>
      <c r="AQ52" s="192" t="s">
        <v>11</v>
      </c>
      <c r="AR52" s="190" t="s">
        <v>140</v>
      </c>
      <c r="AS52" s="192" t="s">
        <v>11</v>
      </c>
      <c r="AT52" s="192" t="s">
        <v>11</v>
      </c>
      <c r="AU52" s="192" t="s">
        <v>140</v>
      </c>
      <c r="AV52" s="190" t="s">
        <v>140</v>
      </c>
      <c r="AW52" s="190" t="s">
        <v>148</v>
      </c>
      <c r="AX52" s="190"/>
      <c r="AY52" s="190"/>
      <c r="AZ52" s="190"/>
      <c r="BA52" s="279"/>
      <c r="BB52" s="192" t="s">
        <v>140</v>
      </c>
      <c r="BC52" s="279"/>
      <c r="BD52" s="279"/>
      <c r="BE52" s="197"/>
      <c r="BF52" s="197"/>
      <c r="BG52" s="206"/>
      <c r="BH52" s="190" t="s">
        <v>276</v>
      </c>
      <c r="BI52" s="190" t="s">
        <v>277</v>
      </c>
      <c r="BJ52" s="190" t="s">
        <v>11</v>
      </c>
      <c r="BK52" s="246" t="s">
        <v>11</v>
      </c>
      <c r="BL52" s="190" t="s">
        <v>140</v>
      </c>
      <c r="BM52" s="190" t="s">
        <v>148</v>
      </c>
      <c r="BN52" s="190" t="s">
        <v>148</v>
      </c>
      <c r="BO52" s="190" t="s">
        <v>148</v>
      </c>
      <c r="BP52" s="190" t="s">
        <v>148</v>
      </c>
      <c r="BQ52" s="206"/>
      <c r="BR52" s="190" t="s">
        <v>141</v>
      </c>
      <c r="BS52" s="190" t="s">
        <v>141</v>
      </c>
      <c r="BT52" s="190" t="s">
        <v>141</v>
      </c>
      <c r="BU52" s="190" t="s">
        <v>141</v>
      </c>
      <c r="BV52" s="190" t="s">
        <v>141</v>
      </c>
      <c r="BW52" s="190" t="s">
        <v>141</v>
      </c>
      <c r="BX52" s="190" t="s">
        <v>141</v>
      </c>
      <c r="BY52" s="190" t="s">
        <v>141</v>
      </c>
      <c r="BZ52" s="190" t="s">
        <v>141</v>
      </c>
      <c r="CA52" s="190" t="s">
        <v>141</v>
      </c>
      <c r="CB52" s="190" t="s">
        <v>141</v>
      </c>
      <c r="CC52" s="206"/>
      <c r="CD52" s="190" t="s">
        <v>141</v>
      </c>
      <c r="CE52" s="190" t="s">
        <v>141</v>
      </c>
      <c r="CF52" s="190" t="s">
        <v>141</v>
      </c>
      <c r="CG52" s="190" t="s">
        <v>141</v>
      </c>
      <c r="CH52" s="190" t="s">
        <v>141</v>
      </c>
      <c r="CI52" s="190" t="s">
        <v>141</v>
      </c>
      <c r="CJ52" s="190" t="s">
        <v>141</v>
      </c>
      <c r="CK52" s="190" t="s">
        <v>141</v>
      </c>
      <c r="CL52" s="190" t="s">
        <v>141</v>
      </c>
      <c r="CM52" s="190" t="s">
        <v>141</v>
      </c>
      <c r="CN52" s="190" t="s">
        <v>141</v>
      </c>
      <c r="CO52" s="206"/>
      <c r="CP52" s="190" t="s">
        <v>177</v>
      </c>
      <c r="CQ52" s="190" t="s">
        <v>11</v>
      </c>
      <c r="CR52" s="190" t="s">
        <v>11</v>
      </c>
      <c r="CS52" s="190" t="s">
        <v>11</v>
      </c>
      <c r="CT52" s="195" t="s">
        <v>11</v>
      </c>
      <c r="CU52" s="195" t="s">
        <v>11</v>
      </c>
      <c r="CV52" s="195" t="s">
        <v>11</v>
      </c>
      <c r="CW52" s="206"/>
      <c r="CX52" s="190" t="s">
        <v>11</v>
      </c>
      <c r="CY52" s="190" t="s">
        <v>11</v>
      </c>
      <c r="CZ52" s="190" t="s">
        <v>11</v>
      </c>
      <c r="DA52" s="190" t="s">
        <v>11</v>
      </c>
      <c r="DB52" s="190" t="s">
        <v>11</v>
      </c>
      <c r="DC52" s="190" t="s">
        <v>11</v>
      </c>
      <c r="DD52" s="190" t="s">
        <v>11</v>
      </c>
      <c r="DE52" s="206"/>
      <c r="DF52" s="195" t="s">
        <v>11</v>
      </c>
      <c r="DG52" s="241"/>
      <c r="DH52" s="241"/>
      <c r="DI52" s="242"/>
      <c r="DJ52" s="242"/>
    </row>
    <row r="53" spans="1:114" ht="12" x14ac:dyDescent="0.2">
      <c r="A53" s="175" t="s">
        <v>278</v>
      </c>
      <c r="B53" s="175"/>
      <c r="C53" s="176" t="s">
        <v>261</v>
      </c>
      <c r="D53" s="176" t="s">
        <v>133</v>
      </c>
      <c r="E53" s="176" t="s">
        <v>254</v>
      </c>
      <c r="F53" s="176"/>
      <c r="G53" s="177" t="s">
        <v>136</v>
      </c>
      <c r="H53" s="234"/>
      <c r="I53" s="147"/>
      <c r="J53" s="147"/>
      <c r="K53" s="147"/>
      <c r="L53" s="147"/>
      <c r="M53" s="147"/>
      <c r="N53" s="147"/>
      <c r="O53" s="192"/>
      <c r="P53" s="190" t="s">
        <v>11</v>
      </c>
      <c r="Q53" s="190" t="s">
        <v>11</v>
      </c>
      <c r="R53" s="190" t="s">
        <v>11</v>
      </c>
      <c r="S53" s="190" t="s">
        <v>11</v>
      </c>
      <c r="T53" s="190" t="s">
        <v>11</v>
      </c>
      <c r="U53" s="190" t="s">
        <v>11</v>
      </c>
      <c r="V53" s="190" t="s">
        <v>11</v>
      </c>
      <c r="W53" s="190" t="s">
        <v>11</v>
      </c>
      <c r="X53" s="190" t="s">
        <v>11</v>
      </c>
      <c r="Y53" s="190" t="s">
        <v>11</v>
      </c>
      <c r="Z53" s="190" t="s">
        <v>140</v>
      </c>
      <c r="AA53" s="190" t="s">
        <v>140</v>
      </c>
      <c r="AB53" s="190" t="s">
        <v>140</v>
      </c>
      <c r="AC53" s="192" t="s">
        <v>11</v>
      </c>
      <c r="AD53" s="192" t="s">
        <v>11</v>
      </c>
      <c r="AE53" s="190" t="s">
        <v>11</v>
      </c>
      <c r="AF53" s="190" t="s">
        <v>11</v>
      </c>
      <c r="AG53" s="190" t="s">
        <v>11</v>
      </c>
      <c r="AH53" s="191" t="s">
        <v>11</v>
      </c>
      <c r="AI53" s="190" t="s">
        <v>11</v>
      </c>
      <c r="AJ53" s="187"/>
      <c r="AK53" s="190" t="s">
        <v>11</v>
      </c>
      <c r="AL53" s="190" t="s">
        <v>11</v>
      </c>
      <c r="AM53" s="249"/>
      <c r="AN53" s="192"/>
      <c r="AO53" s="192"/>
      <c r="AP53" s="192"/>
      <c r="AQ53" s="192"/>
      <c r="AR53" s="192"/>
      <c r="AS53" s="192"/>
      <c r="AT53" s="192"/>
      <c r="AU53" s="192"/>
      <c r="AV53" s="203"/>
      <c r="AW53" s="190"/>
      <c r="AX53" s="203"/>
      <c r="AY53" s="203"/>
      <c r="AZ53" s="203"/>
      <c r="BA53" s="203"/>
      <c r="BB53" s="203"/>
      <c r="BC53" s="203"/>
      <c r="BD53" s="203"/>
      <c r="BE53" s="203"/>
      <c r="BF53" s="203"/>
      <c r="BG53" s="206"/>
      <c r="BH53" s="190"/>
      <c r="BI53" s="190"/>
      <c r="BJ53" s="190"/>
      <c r="BK53" s="246"/>
      <c r="BL53" s="190"/>
      <c r="BM53" s="190"/>
      <c r="BN53" s="190"/>
      <c r="BO53" s="190"/>
      <c r="BP53" s="190"/>
      <c r="BQ53" s="206"/>
      <c r="BR53" s="190"/>
      <c r="BS53" s="190"/>
      <c r="BT53" s="190"/>
      <c r="BU53" s="190"/>
      <c r="BV53" s="190"/>
      <c r="BW53" s="190"/>
      <c r="BX53" s="190"/>
      <c r="BY53" s="190"/>
      <c r="BZ53" s="190"/>
      <c r="CA53" s="190"/>
      <c r="CB53" s="190"/>
      <c r="CC53" s="206"/>
      <c r="CD53" s="190"/>
      <c r="CE53" s="190"/>
      <c r="CF53" s="190"/>
      <c r="CG53" s="190"/>
      <c r="CH53" s="190"/>
      <c r="CI53" s="190"/>
      <c r="CJ53" s="190"/>
      <c r="CK53" s="190"/>
      <c r="CL53" s="190"/>
      <c r="CM53" s="190"/>
      <c r="CN53" s="190"/>
      <c r="CO53" s="206"/>
      <c r="CP53" s="190"/>
      <c r="CQ53" s="190"/>
      <c r="CR53" s="190"/>
      <c r="CS53" s="190"/>
      <c r="CT53" s="192"/>
      <c r="CU53" s="192"/>
      <c r="CV53" s="192"/>
      <c r="CW53" s="206"/>
      <c r="CX53" s="190"/>
      <c r="CY53" s="190"/>
      <c r="CZ53" s="190"/>
      <c r="DA53" s="190"/>
      <c r="DB53" s="190"/>
      <c r="DC53" s="190"/>
      <c r="DD53" s="190"/>
      <c r="DE53" s="206"/>
      <c r="DF53" s="195"/>
      <c r="DG53" s="241"/>
      <c r="DH53" s="241"/>
      <c r="DI53" s="242"/>
      <c r="DJ53" s="242"/>
    </row>
    <row r="54" spans="1:114" ht="12" x14ac:dyDescent="0.2">
      <c r="A54" s="142"/>
      <c r="B54" s="142"/>
      <c r="C54" s="151"/>
      <c r="D54" s="151"/>
      <c r="E54" s="151"/>
      <c r="F54" s="151"/>
      <c r="G54" s="151"/>
      <c r="H54" s="236"/>
      <c r="I54" s="151"/>
      <c r="J54" s="151"/>
      <c r="K54" s="151"/>
      <c r="L54" s="151"/>
      <c r="M54" s="151"/>
      <c r="N54" s="151"/>
      <c r="O54" s="228"/>
      <c r="P54" s="174"/>
      <c r="Q54" s="174"/>
      <c r="R54" s="174"/>
      <c r="S54" s="174"/>
      <c r="T54" s="174"/>
      <c r="U54" s="174"/>
      <c r="V54" s="174"/>
      <c r="W54" s="174"/>
      <c r="X54" s="174"/>
      <c r="Y54" s="174"/>
      <c r="Z54" s="174"/>
      <c r="AA54" s="174"/>
      <c r="AB54" s="174"/>
      <c r="AC54" s="174"/>
      <c r="AD54" s="174"/>
      <c r="AE54" s="174"/>
      <c r="AF54" s="174"/>
      <c r="AG54" s="174"/>
      <c r="AH54" s="198"/>
      <c r="AI54" s="174"/>
      <c r="AJ54" s="187"/>
      <c r="AK54" s="174"/>
      <c r="AL54" s="174"/>
      <c r="AM54" s="206"/>
      <c r="AN54" s="206"/>
      <c r="AO54" s="206"/>
      <c r="AP54" s="206"/>
      <c r="AQ54" s="206"/>
      <c r="AR54" s="206"/>
      <c r="AS54" s="206"/>
      <c r="AT54" s="206"/>
      <c r="AU54" s="206"/>
      <c r="AV54" s="206"/>
      <c r="AW54" s="206"/>
      <c r="AX54" s="206"/>
      <c r="AY54" s="206"/>
      <c r="AZ54" s="206"/>
      <c r="BA54" s="206"/>
      <c r="BB54" s="206"/>
      <c r="BC54" s="206"/>
      <c r="BD54" s="206"/>
      <c r="BE54" s="206"/>
      <c r="BF54" s="206"/>
      <c r="BG54" s="206"/>
      <c r="BH54" s="174"/>
      <c r="BI54" s="174"/>
      <c r="BJ54" s="174"/>
      <c r="BK54" s="174"/>
      <c r="BL54" s="174"/>
      <c r="BM54" s="174"/>
      <c r="BN54" s="174"/>
      <c r="BO54" s="174"/>
      <c r="BP54" s="174"/>
      <c r="BQ54" s="206"/>
      <c r="BR54" s="206"/>
      <c r="BS54" s="206"/>
      <c r="BT54" s="206"/>
      <c r="BU54" s="206"/>
      <c r="BV54" s="206"/>
      <c r="BW54" s="206"/>
      <c r="BX54" s="206"/>
      <c r="BY54" s="206"/>
      <c r="BZ54" s="206"/>
      <c r="CA54" s="206"/>
      <c r="CB54" s="206"/>
      <c r="CC54" s="206"/>
      <c r="CD54" s="174"/>
      <c r="CE54" s="174"/>
      <c r="CF54" s="174"/>
      <c r="CG54" s="174"/>
      <c r="CH54" s="174"/>
      <c r="CI54" s="174"/>
      <c r="CJ54" s="174"/>
      <c r="CK54" s="174"/>
      <c r="CL54" s="174"/>
      <c r="CM54" s="174"/>
      <c r="CN54" s="174"/>
      <c r="CO54" s="206"/>
      <c r="CP54" s="174"/>
      <c r="CQ54" s="206"/>
      <c r="CR54" s="206"/>
      <c r="CS54" s="206"/>
      <c r="CT54" s="225"/>
      <c r="CU54" s="206"/>
      <c r="CV54" s="206"/>
      <c r="CW54" s="206"/>
      <c r="CX54" s="174"/>
      <c r="CY54" s="206"/>
      <c r="CZ54" s="206"/>
      <c r="DA54" s="206"/>
      <c r="DB54" s="225"/>
      <c r="DC54" s="206"/>
      <c r="DD54" s="206"/>
      <c r="DE54" s="206"/>
      <c r="DF54" s="206"/>
      <c r="DG54" s="241"/>
      <c r="DH54" s="241"/>
      <c r="DI54" s="242"/>
      <c r="DJ54" s="242"/>
    </row>
    <row r="55" spans="1:114" ht="12" x14ac:dyDescent="0.2">
      <c r="A55" s="352" t="s">
        <v>279</v>
      </c>
      <c r="B55" s="353"/>
      <c r="C55" s="353"/>
      <c r="D55" s="353"/>
      <c r="E55" s="353"/>
      <c r="F55" s="353"/>
      <c r="G55" s="353"/>
      <c r="H55" s="233"/>
      <c r="I55" s="141"/>
      <c r="J55" s="141"/>
      <c r="K55" s="141"/>
      <c r="L55" s="141"/>
      <c r="M55" s="141"/>
      <c r="N55" s="141"/>
      <c r="O55" s="186"/>
      <c r="P55" s="200"/>
      <c r="Q55" s="200"/>
      <c r="R55" s="200"/>
      <c r="S55" s="200"/>
      <c r="T55" s="200"/>
      <c r="U55" s="200"/>
      <c r="V55" s="200"/>
      <c r="W55" s="200"/>
      <c r="X55" s="200"/>
      <c r="Y55" s="200"/>
      <c r="Z55" s="200"/>
      <c r="AA55" s="200"/>
      <c r="AB55" s="200"/>
      <c r="AC55" s="200"/>
      <c r="AD55" s="200"/>
      <c r="AE55" s="200"/>
      <c r="AF55" s="200"/>
      <c r="AG55" s="200"/>
      <c r="AH55" s="200"/>
      <c r="AI55" s="200"/>
      <c r="AJ55" s="186"/>
      <c r="AK55" s="200"/>
      <c r="AL55" s="200"/>
      <c r="AM55" s="200"/>
      <c r="AN55" s="200"/>
      <c r="AO55" s="206"/>
      <c r="AP55" s="206"/>
      <c r="AQ55" s="206"/>
      <c r="AR55" s="206"/>
      <c r="AS55" s="206"/>
      <c r="AT55" s="206"/>
      <c r="AU55" s="206"/>
      <c r="AV55" s="206"/>
      <c r="AW55" s="206"/>
      <c r="AX55" s="206"/>
      <c r="AY55" s="206"/>
      <c r="AZ55" s="206"/>
      <c r="BA55" s="206"/>
      <c r="BB55" s="206"/>
      <c r="BC55" s="206"/>
      <c r="BD55" s="206"/>
      <c r="BE55" s="206"/>
      <c r="BF55" s="206"/>
      <c r="BG55" s="200"/>
      <c r="BH55" s="200"/>
      <c r="BI55" s="200"/>
      <c r="BJ55" s="200"/>
      <c r="BK55" s="200"/>
      <c r="BL55" s="200"/>
      <c r="BM55" s="200"/>
      <c r="BN55" s="200"/>
      <c r="BO55" s="200"/>
      <c r="BP55" s="200"/>
      <c r="BQ55" s="200"/>
      <c r="BR55" s="206"/>
      <c r="BS55" s="206"/>
      <c r="BT55" s="206"/>
      <c r="BU55" s="206"/>
      <c r="BV55" s="206"/>
      <c r="BW55" s="206"/>
      <c r="BX55" s="206"/>
      <c r="BY55" s="206"/>
      <c r="BZ55" s="206"/>
      <c r="CA55" s="206"/>
      <c r="CB55" s="206"/>
      <c r="CC55" s="200"/>
      <c r="CD55" s="206"/>
      <c r="CE55" s="206"/>
      <c r="CF55" s="206"/>
      <c r="CG55" s="206"/>
      <c r="CH55" s="206"/>
      <c r="CI55" s="206"/>
      <c r="CJ55" s="206"/>
      <c r="CK55" s="206"/>
      <c r="CL55" s="206"/>
      <c r="CM55" s="206"/>
      <c r="CN55" s="206"/>
      <c r="CO55" s="206"/>
      <c r="CP55" s="248"/>
      <c r="CQ55" s="248"/>
      <c r="CR55" s="248"/>
      <c r="CS55" s="248"/>
      <c r="CT55" s="189"/>
      <c r="CU55" s="206"/>
      <c r="CV55" s="206"/>
      <c r="CW55" s="206"/>
      <c r="CX55" s="248"/>
      <c r="CY55" s="248"/>
      <c r="CZ55" s="248"/>
      <c r="DA55" s="248"/>
      <c r="DB55" s="189"/>
      <c r="DC55" s="273"/>
      <c r="DD55" s="273"/>
      <c r="DE55" s="206"/>
      <c r="DF55" s="273"/>
      <c r="DG55" s="241"/>
      <c r="DH55" s="241"/>
      <c r="DI55" s="242"/>
      <c r="DJ55" s="242"/>
    </row>
    <row r="56" spans="1:114" ht="12" x14ac:dyDescent="0.2">
      <c r="A56" s="302" t="s">
        <v>280</v>
      </c>
      <c r="B56" s="302" t="s">
        <v>281</v>
      </c>
      <c r="C56" s="303" t="s">
        <v>235</v>
      </c>
      <c r="D56" s="303" t="s">
        <v>282</v>
      </c>
      <c r="E56" s="303" t="s">
        <v>133</v>
      </c>
      <c r="F56" s="303"/>
      <c r="G56" s="304" t="s">
        <v>222</v>
      </c>
      <c r="H56" s="234">
        <v>45000</v>
      </c>
      <c r="I56" s="147"/>
      <c r="J56" s="321" t="s">
        <v>283</v>
      </c>
      <c r="K56" s="147"/>
      <c r="L56" s="147" t="s">
        <v>11</v>
      </c>
      <c r="M56" s="147" t="s">
        <v>11</v>
      </c>
      <c r="N56" s="147" t="s">
        <v>138</v>
      </c>
      <c r="O56" s="192" t="s">
        <v>11</v>
      </c>
      <c r="P56" s="190" t="s">
        <v>140</v>
      </c>
      <c r="Q56" s="190" t="s">
        <v>11</v>
      </c>
      <c r="R56" s="190" t="s">
        <v>11</v>
      </c>
      <c r="S56" s="190" t="s">
        <v>11</v>
      </c>
      <c r="T56" s="190" t="s">
        <v>140</v>
      </c>
      <c r="U56" s="190" t="s">
        <v>140</v>
      </c>
      <c r="V56" s="190" t="s">
        <v>11</v>
      </c>
      <c r="W56" s="190" t="s">
        <v>140</v>
      </c>
      <c r="X56" s="190" t="s">
        <v>140</v>
      </c>
      <c r="Y56" s="190" t="s">
        <v>11</v>
      </c>
      <c r="Z56" s="190" t="s">
        <v>11</v>
      </c>
      <c r="AA56" s="190" t="s">
        <v>11</v>
      </c>
      <c r="AB56" s="190" t="s">
        <v>11</v>
      </c>
      <c r="AC56" s="190" t="s">
        <v>11</v>
      </c>
      <c r="AD56" s="190" t="s">
        <v>11</v>
      </c>
      <c r="AE56" s="190" t="s">
        <v>11</v>
      </c>
      <c r="AF56" s="190" t="s">
        <v>140</v>
      </c>
      <c r="AG56" s="190" t="s">
        <v>140</v>
      </c>
      <c r="AH56" s="276">
        <v>423</v>
      </c>
      <c r="AI56" s="190" t="s">
        <v>11</v>
      </c>
      <c r="AJ56" s="187"/>
      <c r="AK56" s="190" t="s">
        <v>11</v>
      </c>
      <c r="AL56" s="190" t="s">
        <v>11</v>
      </c>
      <c r="AM56" s="206"/>
      <c r="AN56" s="190" t="s">
        <v>11</v>
      </c>
      <c r="AO56" s="190" t="s">
        <v>11</v>
      </c>
      <c r="AP56" s="190" t="s">
        <v>140</v>
      </c>
      <c r="AQ56" s="190" t="s">
        <v>11</v>
      </c>
      <c r="AR56" s="190" t="s">
        <v>11</v>
      </c>
      <c r="AS56" s="190" t="s">
        <v>11</v>
      </c>
      <c r="AT56" s="190" t="s">
        <v>11</v>
      </c>
      <c r="AU56" s="190" t="s">
        <v>140</v>
      </c>
      <c r="AV56" s="190" t="s">
        <v>11</v>
      </c>
      <c r="AW56" s="190" t="s">
        <v>11</v>
      </c>
      <c r="AX56" s="190"/>
      <c r="AY56" s="190"/>
      <c r="AZ56" s="190"/>
      <c r="BA56" s="190"/>
      <c r="BB56" s="190" t="s">
        <v>11</v>
      </c>
      <c r="BC56" s="190"/>
      <c r="BD56" s="190"/>
      <c r="BE56" s="190"/>
      <c r="BF56" s="190"/>
      <c r="BG56" s="206"/>
      <c r="BH56" s="190" t="s">
        <v>11</v>
      </c>
      <c r="BI56" s="190" t="s">
        <v>11</v>
      </c>
      <c r="BJ56" s="190" t="s">
        <v>11</v>
      </c>
      <c r="BK56" s="190" t="s">
        <v>11</v>
      </c>
      <c r="BL56" s="190" t="s">
        <v>11</v>
      </c>
      <c r="BM56" s="190" t="s">
        <v>11</v>
      </c>
      <c r="BN56" s="190" t="s">
        <v>11</v>
      </c>
      <c r="BO56" s="190" t="s">
        <v>11</v>
      </c>
      <c r="BP56" s="190" t="s">
        <v>11</v>
      </c>
      <c r="BQ56" s="206"/>
      <c r="BR56" s="190" t="s">
        <v>141</v>
      </c>
      <c r="BS56" s="190" t="s">
        <v>11</v>
      </c>
      <c r="BT56" s="190" t="s">
        <v>11</v>
      </c>
      <c r="BU56" s="190" t="s">
        <v>11</v>
      </c>
      <c r="BV56" s="190" t="s">
        <v>141</v>
      </c>
      <c r="BW56" s="190" t="s">
        <v>11</v>
      </c>
      <c r="BX56" s="190" t="s">
        <v>11</v>
      </c>
      <c r="BY56" s="190" t="s">
        <v>11</v>
      </c>
      <c r="BZ56" s="190" t="s">
        <v>11</v>
      </c>
      <c r="CA56" s="190" t="s">
        <v>11</v>
      </c>
      <c r="CB56" s="190" t="s">
        <v>11</v>
      </c>
      <c r="CC56" s="206"/>
      <c r="CD56" s="190" t="s">
        <v>141</v>
      </c>
      <c r="CE56" s="190" t="s">
        <v>11</v>
      </c>
      <c r="CF56" s="190" t="s">
        <v>141</v>
      </c>
      <c r="CG56" s="190" t="s">
        <v>11</v>
      </c>
      <c r="CH56" s="190" t="s">
        <v>141</v>
      </c>
      <c r="CI56" s="190" t="s">
        <v>11</v>
      </c>
      <c r="CJ56" s="190" t="s">
        <v>11</v>
      </c>
      <c r="CK56" s="190" t="s">
        <v>11</v>
      </c>
      <c r="CL56" s="190" t="s">
        <v>11</v>
      </c>
      <c r="CM56" s="190" t="s">
        <v>11</v>
      </c>
      <c r="CN56" s="190" t="s">
        <v>11</v>
      </c>
      <c r="CO56" s="206"/>
      <c r="CP56" s="190" t="s">
        <v>11</v>
      </c>
      <c r="CQ56" s="190" t="s">
        <v>11</v>
      </c>
      <c r="CR56" s="190" t="s">
        <v>11</v>
      </c>
      <c r="CS56" s="190" t="s">
        <v>11</v>
      </c>
      <c r="CT56" s="174" t="s">
        <v>11</v>
      </c>
      <c r="CU56" s="193" t="s">
        <v>11</v>
      </c>
      <c r="CV56" s="197" t="s">
        <v>11</v>
      </c>
      <c r="CW56" s="206"/>
      <c r="CX56" s="190" t="s">
        <v>11</v>
      </c>
      <c r="CY56" s="190" t="s">
        <v>11</v>
      </c>
      <c r="CZ56" s="190" t="s">
        <v>11</v>
      </c>
      <c r="DA56" s="193" t="s">
        <v>11</v>
      </c>
      <c r="DB56" s="197" t="s">
        <v>11</v>
      </c>
      <c r="DC56" s="194" t="s">
        <v>11</v>
      </c>
      <c r="DD56" s="190" t="s">
        <v>11</v>
      </c>
      <c r="DE56" s="206"/>
      <c r="DF56" s="190" t="s">
        <v>178</v>
      </c>
      <c r="DG56" s="241"/>
      <c r="DH56" s="241"/>
      <c r="DI56" s="242"/>
      <c r="DJ56" s="242"/>
    </row>
    <row r="57" spans="1:114" ht="12" x14ac:dyDescent="0.2">
      <c r="A57" s="302" t="s">
        <v>284</v>
      </c>
      <c r="B57" s="302" t="s">
        <v>285</v>
      </c>
      <c r="C57" s="303" t="s">
        <v>235</v>
      </c>
      <c r="D57" s="303" t="s">
        <v>282</v>
      </c>
      <c r="E57" s="303" t="s">
        <v>133</v>
      </c>
      <c r="F57" s="303"/>
      <c r="G57" s="304" t="s">
        <v>222</v>
      </c>
      <c r="H57" s="234">
        <v>35750</v>
      </c>
      <c r="I57" s="147"/>
      <c r="J57" s="147" t="s">
        <v>215</v>
      </c>
      <c r="K57" s="147"/>
      <c r="L57" s="147" t="s">
        <v>138</v>
      </c>
      <c r="M57" s="147" t="s">
        <v>138</v>
      </c>
      <c r="N57" s="147" t="s">
        <v>138</v>
      </c>
      <c r="O57" s="192" t="s">
        <v>139</v>
      </c>
      <c r="P57" s="190" t="s">
        <v>140</v>
      </c>
      <c r="Q57" s="190" t="s">
        <v>11</v>
      </c>
      <c r="R57" s="190" t="s">
        <v>11</v>
      </c>
      <c r="S57" s="190" t="s">
        <v>11</v>
      </c>
      <c r="T57" s="190" t="s">
        <v>11</v>
      </c>
      <c r="U57" s="190" t="s">
        <v>11</v>
      </c>
      <c r="V57" s="190" t="s">
        <v>11</v>
      </c>
      <c r="W57" s="190" t="s">
        <v>11</v>
      </c>
      <c r="X57" s="190" t="s">
        <v>11</v>
      </c>
      <c r="Y57" s="190" t="s">
        <v>11</v>
      </c>
      <c r="Z57" s="190" t="s">
        <v>140</v>
      </c>
      <c r="AA57" s="190" t="s">
        <v>140</v>
      </c>
      <c r="AB57" s="190" t="s">
        <v>140</v>
      </c>
      <c r="AC57" s="190" t="s">
        <v>11</v>
      </c>
      <c r="AD57" s="190" t="s">
        <v>11</v>
      </c>
      <c r="AE57" s="190" t="s">
        <v>140</v>
      </c>
      <c r="AF57" s="190" t="s">
        <v>140</v>
      </c>
      <c r="AG57" s="190" t="s">
        <v>11</v>
      </c>
      <c r="AH57" s="190" t="s">
        <v>11</v>
      </c>
      <c r="AI57" s="190" t="s">
        <v>11</v>
      </c>
      <c r="AJ57" s="187"/>
      <c r="AK57" s="190" t="s">
        <v>140</v>
      </c>
      <c r="AL57" s="190" t="s">
        <v>140</v>
      </c>
      <c r="AM57" s="206"/>
      <c r="AN57" s="190" t="s">
        <v>11</v>
      </c>
      <c r="AO57" s="190" t="s">
        <v>11</v>
      </c>
      <c r="AP57" s="190" t="s">
        <v>11</v>
      </c>
      <c r="AQ57" s="190" t="s">
        <v>11</v>
      </c>
      <c r="AR57" s="190" t="s">
        <v>140</v>
      </c>
      <c r="AS57" s="190" t="s">
        <v>11</v>
      </c>
      <c r="AT57" s="190" t="s">
        <v>11</v>
      </c>
      <c r="AU57" s="190" t="s">
        <v>11</v>
      </c>
      <c r="AV57" s="190" t="s">
        <v>140</v>
      </c>
      <c r="AW57" s="190" t="s">
        <v>11</v>
      </c>
      <c r="AX57" s="190"/>
      <c r="AY57" s="190"/>
      <c r="AZ57" s="190"/>
      <c r="BA57" s="190"/>
      <c r="BB57" s="190" t="s">
        <v>11</v>
      </c>
      <c r="BC57" s="190"/>
      <c r="BD57" s="190"/>
      <c r="BE57" s="190"/>
      <c r="BF57" s="190"/>
      <c r="BG57" s="206"/>
      <c r="BH57" s="190" t="s">
        <v>286</v>
      </c>
      <c r="BI57" s="246">
        <v>45427</v>
      </c>
      <c r="BJ57" s="272">
        <v>449000</v>
      </c>
      <c r="BK57" s="190" t="s">
        <v>140</v>
      </c>
      <c r="BL57" s="190" t="s">
        <v>140</v>
      </c>
      <c r="BM57" s="190" t="s">
        <v>140</v>
      </c>
      <c r="BN57" s="190" t="s">
        <v>140</v>
      </c>
      <c r="BO57" s="190" t="s">
        <v>11</v>
      </c>
      <c r="BP57" s="190" t="s">
        <v>11</v>
      </c>
      <c r="BQ57" s="206"/>
      <c r="BR57" s="190" t="s">
        <v>141</v>
      </c>
      <c r="BS57" s="190" t="s">
        <v>141</v>
      </c>
      <c r="BT57" s="190" t="s">
        <v>141</v>
      </c>
      <c r="BU57" s="190" t="s">
        <v>141</v>
      </c>
      <c r="BV57" s="190" t="s">
        <v>141</v>
      </c>
      <c r="BW57" s="190" t="s">
        <v>141</v>
      </c>
      <c r="BX57" s="190" t="s">
        <v>141</v>
      </c>
      <c r="BY57" s="190" t="s">
        <v>141</v>
      </c>
      <c r="BZ57" s="190" t="s">
        <v>141</v>
      </c>
      <c r="CA57" s="190" t="s">
        <v>11</v>
      </c>
      <c r="CB57" s="190" t="s">
        <v>141</v>
      </c>
      <c r="CC57" s="206"/>
      <c r="CD57" s="190" t="s">
        <v>141</v>
      </c>
      <c r="CE57" s="190" t="s">
        <v>141</v>
      </c>
      <c r="CF57" s="190" t="s">
        <v>141</v>
      </c>
      <c r="CG57" s="190" t="s">
        <v>141</v>
      </c>
      <c r="CH57" s="190" t="s">
        <v>141</v>
      </c>
      <c r="CI57" s="190" t="s">
        <v>141</v>
      </c>
      <c r="CJ57" s="190" t="s">
        <v>11</v>
      </c>
      <c r="CK57" s="190" t="s">
        <v>11</v>
      </c>
      <c r="CL57" s="190" t="s">
        <v>11</v>
      </c>
      <c r="CM57" s="190" t="s">
        <v>11</v>
      </c>
      <c r="CN57" s="190" t="s">
        <v>141</v>
      </c>
      <c r="CO57" s="206"/>
      <c r="CP57" s="190" t="s">
        <v>11</v>
      </c>
      <c r="CQ57" s="190" t="s">
        <v>11</v>
      </c>
      <c r="CR57" s="190" t="s">
        <v>11</v>
      </c>
      <c r="CS57" s="190" t="s">
        <v>11</v>
      </c>
      <c r="CT57" s="190" t="s">
        <v>11</v>
      </c>
      <c r="CU57" s="190" t="s">
        <v>11</v>
      </c>
      <c r="CV57" s="190" t="s">
        <v>11</v>
      </c>
      <c r="CW57" s="206"/>
      <c r="CX57" s="190" t="s">
        <v>11</v>
      </c>
      <c r="CY57" s="190" t="s">
        <v>11</v>
      </c>
      <c r="CZ57" s="190" t="s">
        <v>11</v>
      </c>
      <c r="DA57" s="193" t="s">
        <v>11</v>
      </c>
      <c r="DB57" s="197" t="s">
        <v>11</v>
      </c>
      <c r="DC57" s="194" t="s">
        <v>11</v>
      </c>
      <c r="DD57" s="190" t="s">
        <v>11</v>
      </c>
      <c r="DE57" s="206"/>
      <c r="DF57" s="190" t="s">
        <v>11</v>
      </c>
      <c r="DG57" s="241"/>
      <c r="DH57" s="241"/>
      <c r="DI57" s="242"/>
      <c r="DJ57" s="242"/>
    </row>
    <row r="58" spans="1:114" ht="12" x14ac:dyDescent="0.2">
      <c r="A58" s="305" t="s">
        <v>287</v>
      </c>
      <c r="B58" s="305" t="s">
        <v>288</v>
      </c>
      <c r="C58" s="303" t="s">
        <v>289</v>
      </c>
      <c r="D58" s="303" t="s">
        <v>282</v>
      </c>
      <c r="E58" s="303" t="s">
        <v>133</v>
      </c>
      <c r="F58" s="303"/>
      <c r="G58" s="303" t="s">
        <v>222</v>
      </c>
      <c r="H58" s="234">
        <v>52500</v>
      </c>
      <c r="I58" s="147"/>
      <c r="J58" s="147" t="s">
        <v>232</v>
      </c>
      <c r="K58" s="147"/>
      <c r="L58" s="147"/>
      <c r="M58" s="147" t="s">
        <v>11</v>
      </c>
      <c r="N58" s="147" t="s">
        <v>138</v>
      </c>
      <c r="O58" s="192" t="s">
        <v>139</v>
      </c>
      <c r="P58" s="190" t="s">
        <v>140</v>
      </c>
      <c r="Q58" s="190" t="s">
        <v>11</v>
      </c>
      <c r="R58" s="190" t="s">
        <v>140</v>
      </c>
      <c r="S58" s="190" t="s">
        <v>140</v>
      </c>
      <c r="T58" s="190" t="s">
        <v>11</v>
      </c>
      <c r="U58" s="190" t="s">
        <v>11</v>
      </c>
      <c r="V58" s="190" t="s">
        <v>11</v>
      </c>
      <c r="W58" s="190" t="s">
        <v>11</v>
      </c>
      <c r="X58" s="190" t="s">
        <v>11</v>
      </c>
      <c r="Y58" s="190" t="s">
        <v>11</v>
      </c>
      <c r="Z58" s="190" t="s">
        <v>140</v>
      </c>
      <c r="AA58" s="190" t="s">
        <v>140</v>
      </c>
      <c r="AB58" s="190" t="s">
        <v>140</v>
      </c>
      <c r="AC58" s="190" t="s">
        <v>11</v>
      </c>
      <c r="AD58" s="190" t="s">
        <v>11</v>
      </c>
      <c r="AE58" s="190" t="s">
        <v>140</v>
      </c>
      <c r="AF58" s="190" t="s">
        <v>140</v>
      </c>
      <c r="AG58" s="190" t="s">
        <v>140</v>
      </c>
      <c r="AH58" s="171">
        <v>1</v>
      </c>
      <c r="AI58" s="190" t="s">
        <v>11</v>
      </c>
      <c r="AJ58" s="196"/>
      <c r="AK58" s="190" t="s">
        <v>11</v>
      </c>
      <c r="AL58" s="190" t="s">
        <v>11</v>
      </c>
      <c r="AM58" s="206"/>
      <c r="AN58" s="190" t="s">
        <v>11</v>
      </c>
      <c r="AO58" s="190" t="s">
        <v>11</v>
      </c>
      <c r="AP58" s="190" t="s">
        <v>11</v>
      </c>
      <c r="AQ58" s="190" t="s">
        <v>11</v>
      </c>
      <c r="AR58" s="190" t="s">
        <v>140</v>
      </c>
      <c r="AS58" s="190" t="s">
        <v>11</v>
      </c>
      <c r="AT58" s="190" t="s">
        <v>11</v>
      </c>
      <c r="AU58" s="190" t="s">
        <v>140</v>
      </c>
      <c r="AV58" s="190" t="s">
        <v>140</v>
      </c>
      <c r="AW58" s="190" t="s">
        <v>11</v>
      </c>
      <c r="AX58" s="190"/>
      <c r="AY58" s="190"/>
      <c r="AZ58" s="190"/>
      <c r="BA58" s="190"/>
      <c r="BB58" s="190" t="s">
        <v>11</v>
      </c>
      <c r="BC58" s="190"/>
      <c r="BD58" s="190"/>
      <c r="BE58" s="190"/>
      <c r="BF58" s="190"/>
      <c r="BG58" s="243"/>
      <c r="BH58" s="190" t="s">
        <v>11</v>
      </c>
      <c r="BI58" s="192" t="s">
        <v>11</v>
      </c>
      <c r="BJ58" s="190" t="s">
        <v>11</v>
      </c>
      <c r="BK58" s="190" t="s">
        <v>11</v>
      </c>
      <c r="BL58" s="190" t="s">
        <v>11</v>
      </c>
      <c r="BM58" s="190" t="s">
        <v>11</v>
      </c>
      <c r="BN58" s="190" t="s">
        <v>11</v>
      </c>
      <c r="BO58" s="190" t="s">
        <v>11</v>
      </c>
      <c r="BP58" s="190" t="s">
        <v>11</v>
      </c>
      <c r="BQ58" s="243"/>
      <c r="BR58" s="190" t="s">
        <v>141</v>
      </c>
      <c r="BS58" s="190" t="s">
        <v>141</v>
      </c>
      <c r="BT58" s="190" t="s">
        <v>141</v>
      </c>
      <c r="BU58" s="190" t="s">
        <v>141</v>
      </c>
      <c r="BV58" s="190" t="s">
        <v>141</v>
      </c>
      <c r="BW58" s="190" t="s">
        <v>11</v>
      </c>
      <c r="BX58" s="190" t="s">
        <v>11</v>
      </c>
      <c r="BY58" s="190" t="s">
        <v>141</v>
      </c>
      <c r="BZ58" s="190" t="s">
        <v>141</v>
      </c>
      <c r="CA58" s="190" t="s">
        <v>11</v>
      </c>
      <c r="CB58" s="190" t="s">
        <v>11</v>
      </c>
      <c r="CC58" s="243"/>
      <c r="CD58" s="190" t="s">
        <v>141</v>
      </c>
      <c r="CE58" s="190" t="s">
        <v>141</v>
      </c>
      <c r="CF58" s="190" t="s">
        <v>141</v>
      </c>
      <c r="CG58" s="190" t="s">
        <v>141</v>
      </c>
      <c r="CH58" s="190" t="s">
        <v>141</v>
      </c>
      <c r="CI58" s="190" t="s">
        <v>11</v>
      </c>
      <c r="CJ58" s="190" t="s">
        <v>11</v>
      </c>
      <c r="CK58" s="190" t="s">
        <v>11</v>
      </c>
      <c r="CL58" s="190" t="s">
        <v>11</v>
      </c>
      <c r="CM58" s="190" t="s">
        <v>11</v>
      </c>
      <c r="CN58" s="190" t="s">
        <v>141</v>
      </c>
      <c r="CO58" s="243"/>
      <c r="CP58" s="190" t="s">
        <v>11</v>
      </c>
      <c r="CQ58" s="190" t="s">
        <v>11</v>
      </c>
      <c r="CR58" s="190" t="s">
        <v>11</v>
      </c>
      <c r="CS58" s="192" t="s">
        <v>11</v>
      </c>
      <c r="CT58" s="192" t="s">
        <v>11</v>
      </c>
      <c r="CU58" s="192" t="s">
        <v>11</v>
      </c>
      <c r="CV58" s="192" t="s">
        <v>11</v>
      </c>
      <c r="CW58" s="206"/>
      <c r="CX58" s="190" t="s">
        <v>11</v>
      </c>
      <c r="CY58" s="190" t="s">
        <v>11</v>
      </c>
      <c r="CZ58" s="190" t="s">
        <v>11</v>
      </c>
      <c r="DA58" s="192" t="s">
        <v>11</v>
      </c>
      <c r="DB58" s="192" t="s">
        <v>11</v>
      </c>
      <c r="DC58" s="192" t="s">
        <v>11</v>
      </c>
      <c r="DD58" s="190" t="s">
        <v>11</v>
      </c>
      <c r="DE58" s="243"/>
      <c r="DF58" s="190" t="s">
        <v>11</v>
      </c>
      <c r="DG58" s="241"/>
      <c r="DH58" s="241"/>
      <c r="DI58" s="242"/>
      <c r="DJ58" s="242"/>
    </row>
    <row r="59" spans="1:114" ht="21.75" customHeight="1" x14ac:dyDescent="0.2">
      <c r="A59" s="305" t="s">
        <v>290</v>
      </c>
      <c r="B59" s="305" t="s">
        <v>291</v>
      </c>
      <c r="C59" s="303" t="s">
        <v>292</v>
      </c>
      <c r="D59" s="303" t="s">
        <v>282</v>
      </c>
      <c r="E59" s="303" t="s">
        <v>133</v>
      </c>
      <c r="F59" s="303" t="s">
        <v>221</v>
      </c>
      <c r="G59" s="303" t="s">
        <v>222</v>
      </c>
      <c r="H59" s="234">
        <v>60750</v>
      </c>
      <c r="I59" s="147"/>
      <c r="J59" s="147" t="s">
        <v>232</v>
      </c>
      <c r="K59" s="147"/>
      <c r="L59" s="147"/>
      <c r="M59" s="147" t="s">
        <v>138</v>
      </c>
      <c r="N59" s="147" t="s">
        <v>138</v>
      </c>
      <c r="O59" s="192" t="s">
        <v>139</v>
      </c>
      <c r="P59" s="190" t="s">
        <v>140</v>
      </c>
      <c r="Q59" s="190" t="s">
        <v>11</v>
      </c>
      <c r="R59" s="190" t="s">
        <v>140</v>
      </c>
      <c r="S59" s="190" t="s">
        <v>140</v>
      </c>
      <c r="T59" s="190" t="s">
        <v>140</v>
      </c>
      <c r="U59" s="190" t="s">
        <v>140</v>
      </c>
      <c r="V59" s="190" t="s">
        <v>11</v>
      </c>
      <c r="W59" s="190" t="s">
        <v>140</v>
      </c>
      <c r="X59" s="190" t="s">
        <v>140</v>
      </c>
      <c r="Y59" s="190" t="s">
        <v>11</v>
      </c>
      <c r="Z59" s="190" t="s">
        <v>140</v>
      </c>
      <c r="AA59" s="190" t="s">
        <v>140</v>
      </c>
      <c r="AB59" s="190" t="s">
        <v>140</v>
      </c>
      <c r="AC59" s="190" t="s">
        <v>11</v>
      </c>
      <c r="AD59" s="190" t="s">
        <v>11</v>
      </c>
      <c r="AE59" s="190" t="s">
        <v>140</v>
      </c>
      <c r="AF59" s="190" t="s">
        <v>140</v>
      </c>
      <c r="AG59" s="190" t="s">
        <v>140</v>
      </c>
      <c r="AH59" s="171">
        <v>28</v>
      </c>
      <c r="AI59" s="190" t="s">
        <v>11</v>
      </c>
      <c r="AJ59" s="196"/>
      <c r="AK59" s="190" t="s">
        <v>11</v>
      </c>
      <c r="AL59" s="190" t="s">
        <v>11</v>
      </c>
      <c r="AM59" s="206"/>
      <c r="AN59" s="190" t="s">
        <v>11</v>
      </c>
      <c r="AO59" s="190" t="s">
        <v>140</v>
      </c>
      <c r="AP59" s="190" t="s">
        <v>140</v>
      </c>
      <c r="AQ59" s="190" t="s">
        <v>11</v>
      </c>
      <c r="AR59" s="190" t="s">
        <v>140</v>
      </c>
      <c r="AS59" s="190" t="s">
        <v>140</v>
      </c>
      <c r="AT59" s="190" t="s">
        <v>11</v>
      </c>
      <c r="AU59" s="190" t="s">
        <v>140</v>
      </c>
      <c r="AV59" s="190" t="s">
        <v>140</v>
      </c>
      <c r="AW59" s="190" t="s">
        <v>140</v>
      </c>
      <c r="AX59" s="190"/>
      <c r="AY59" s="190"/>
      <c r="AZ59" s="190"/>
      <c r="BA59" s="190"/>
      <c r="BB59" s="190" t="s">
        <v>11</v>
      </c>
      <c r="BC59" s="190"/>
      <c r="BD59" s="190"/>
      <c r="BE59" s="190"/>
      <c r="BF59" s="190"/>
      <c r="BG59" s="243"/>
      <c r="BH59" s="190" t="s">
        <v>11</v>
      </c>
      <c r="BI59" s="192" t="s">
        <v>11</v>
      </c>
      <c r="BJ59" s="190" t="s">
        <v>11</v>
      </c>
      <c r="BK59" s="190" t="s">
        <v>11</v>
      </c>
      <c r="BL59" s="190" t="s">
        <v>11</v>
      </c>
      <c r="BM59" s="190" t="s">
        <v>11</v>
      </c>
      <c r="BN59" s="190" t="s">
        <v>11</v>
      </c>
      <c r="BO59" s="190" t="s">
        <v>11</v>
      </c>
      <c r="BP59" s="190" t="s">
        <v>11</v>
      </c>
      <c r="BQ59" s="243"/>
      <c r="BR59" s="190" t="s">
        <v>141</v>
      </c>
      <c r="BS59" s="190" t="s">
        <v>141</v>
      </c>
      <c r="BT59" s="190" t="s">
        <v>141</v>
      </c>
      <c r="BU59" s="190" t="s">
        <v>141</v>
      </c>
      <c r="BV59" s="190" t="s">
        <v>141</v>
      </c>
      <c r="BW59" s="190" t="s">
        <v>141</v>
      </c>
      <c r="BX59" s="190" t="s">
        <v>141</v>
      </c>
      <c r="BY59" s="190" t="s">
        <v>141</v>
      </c>
      <c r="BZ59" s="190" t="s">
        <v>141</v>
      </c>
      <c r="CA59" s="190" t="s">
        <v>141</v>
      </c>
      <c r="CB59" s="190" t="s">
        <v>141</v>
      </c>
      <c r="CC59" s="243"/>
      <c r="CD59" s="190" t="s">
        <v>141</v>
      </c>
      <c r="CE59" s="190" t="s">
        <v>141</v>
      </c>
      <c r="CF59" s="190" t="s">
        <v>141</v>
      </c>
      <c r="CG59" s="190" t="s">
        <v>141</v>
      </c>
      <c r="CH59" s="190" t="s">
        <v>141</v>
      </c>
      <c r="CI59" s="190" t="s">
        <v>141</v>
      </c>
      <c r="CJ59" s="190" t="s">
        <v>141</v>
      </c>
      <c r="CK59" s="190" t="s">
        <v>141</v>
      </c>
      <c r="CL59" s="190" t="s">
        <v>141</v>
      </c>
      <c r="CM59" s="190" t="s">
        <v>11</v>
      </c>
      <c r="CN59" s="190" t="s">
        <v>141</v>
      </c>
      <c r="CO59" s="243"/>
      <c r="CP59" s="190" t="s">
        <v>148</v>
      </c>
      <c r="CQ59" s="190" t="s">
        <v>148</v>
      </c>
      <c r="CR59" s="190" t="s">
        <v>11</v>
      </c>
      <c r="CS59" s="203" t="s">
        <v>148</v>
      </c>
      <c r="CT59" s="195" t="s">
        <v>148</v>
      </c>
      <c r="CU59" s="195" t="s">
        <v>148</v>
      </c>
      <c r="CV59" s="195" t="s">
        <v>148</v>
      </c>
      <c r="CW59" s="206"/>
      <c r="CX59" s="190" t="s">
        <v>11</v>
      </c>
      <c r="CY59" s="190" t="s">
        <v>11</v>
      </c>
      <c r="CZ59" s="190" t="s">
        <v>11</v>
      </c>
      <c r="DA59" s="192" t="s">
        <v>11</v>
      </c>
      <c r="DB59" s="192" t="s">
        <v>11</v>
      </c>
      <c r="DC59" s="192" t="s">
        <v>11</v>
      </c>
      <c r="DD59" s="190" t="s">
        <v>11</v>
      </c>
      <c r="DE59" s="243"/>
      <c r="DF59" s="190" t="s">
        <v>11</v>
      </c>
      <c r="DG59" s="241"/>
      <c r="DH59" s="241"/>
      <c r="DI59" s="242"/>
      <c r="DJ59" s="242"/>
    </row>
    <row r="60" spans="1:114" ht="12" x14ac:dyDescent="0.2">
      <c r="A60" s="302" t="s">
        <v>293</v>
      </c>
      <c r="B60" s="302" t="s">
        <v>166</v>
      </c>
      <c r="C60" s="303" t="s">
        <v>294</v>
      </c>
      <c r="D60" s="303" t="s">
        <v>282</v>
      </c>
      <c r="E60" s="303" t="s">
        <v>133</v>
      </c>
      <c r="F60" s="303"/>
      <c r="G60" s="304" t="s">
        <v>222</v>
      </c>
      <c r="H60" s="234">
        <v>50000</v>
      </c>
      <c r="I60" s="147"/>
      <c r="J60" s="321" t="s">
        <v>295</v>
      </c>
      <c r="K60" s="147" t="s">
        <v>147</v>
      </c>
      <c r="L60" s="147" t="s">
        <v>138</v>
      </c>
      <c r="M60" s="147" t="s">
        <v>138</v>
      </c>
      <c r="N60" s="147" t="s">
        <v>138</v>
      </c>
      <c r="O60" s="192" t="s">
        <v>139</v>
      </c>
      <c r="P60" s="190" t="s">
        <v>140</v>
      </c>
      <c r="Q60" s="190" t="s">
        <v>11</v>
      </c>
      <c r="R60" s="190" t="s">
        <v>140</v>
      </c>
      <c r="S60" s="190" t="s">
        <v>140</v>
      </c>
      <c r="T60" s="190" t="s">
        <v>140</v>
      </c>
      <c r="U60" s="190" t="s">
        <v>140</v>
      </c>
      <c r="V60" s="190" t="s">
        <v>11</v>
      </c>
      <c r="W60" s="190" t="s">
        <v>140</v>
      </c>
      <c r="X60" s="190" t="s">
        <v>140</v>
      </c>
      <c r="Y60" s="190" t="s">
        <v>11</v>
      </c>
      <c r="Z60" s="190" t="s">
        <v>140</v>
      </c>
      <c r="AA60" s="190" t="s">
        <v>140</v>
      </c>
      <c r="AB60" s="190" t="s">
        <v>140</v>
      </c>
      <c r="AC60" s="190" t="s">
        <v>11</v>
      </c>
      <c r="AD60" s="190" t="s">
        <v>11</v>
      </c>
      <c r="AE60" s="190" t="s">
        <v>140</v>
      </c>
      <c r="AF60" s="190" t="s">
        <v>140</v>
      </c>
      <c r="AG60" s="190" t="s">
        <v>140</v>
      </c>
      <c r="AH60" s="276">
        <v>11</v>
      </c>
      <c r="AI60" s="190" t="s">
        <v>140</v>
      </c>
      <c r="AJ60" s="187"/>
      <c r="AK60" s="190" t="s">
        <v>140</v>
      </c>
      <c r="AL60" s="190" t="s">
        <v>140</v>
      </c>
      <c r="AM60" s="206"/>
      <c r="AN60" s="190" t="s">
        <v>11</v>
      </c>
      <c r="AO60" s="190" t="s">
        <v>140</v>
      </c>
      <c r="AP60" s="190" t="s">
        <v>140</v>
      </c>
      <c r="AQ60" s="190" t="s">
        <v>140</v>
      </c>
      <c r="AR60" s="190" t="s">
        <v>140</v>
      </c>
      <c r="AS60" s="190" t="s">
        <v>11</v>
      </c>
      <c r="AT60" s="190" t="s">
        <v>11</v>
      </c>
      <c r="AU60" s="190" t="s">
        <v>140</v>
      </c>
      <c r="AV60" s="190" t="s">
        <v>140</v>
      </c>
      <c r="AW60" s="190" t="s">
        <v>11</v>
      </c>
      <c r="AX60" s="190"/>
      <c r="AY60" s="190"/>
      <c r="AZ60" s="190"/>
      <c r="BA60" s="190"/>
      <c r="BB60" s="190" t="s">
        <v>140</v>
      </c>
      <c r="BC60" s="190"/>
      <c r="BD60" s="190"/>
      <c r="BE60" s="190"/>
      <c r="BF60" s="190"/>
      <c r="BG60" s="206"/>
      <c r="BH60" s="190" t="s">
        <v>11</v>
      </c>
      <c r="BI60" s="190" t="s">
        <v>11</v>
      </c>
      <c r="BJ60" s="190" t="s">
        <v>11</v>
      </c>
      <c r="BK60" s="190" t="s">
        <v>11</v>
      </c>
      <c r="BL60" s="190" t="s">
        <v>11</v>
      </c>
      <c r="BM60" s="190" t="s">
        <v>11</v>
      </c>
      <c r="BN60" s="190" t="s">
        <v>11</v>
      </c>
      <c r="BO60" s="190" t="s">
        <v>11</v>
      </c>
      <c r="BP60" s="190" t="s">
        <v>11</v>
      </c>
      <c r="BQ60" s="206"/>
      <c r="BR60" s="190" t="s">
        <v>141</v>
      </c>
      <c r="BS60" s="190" t="s">
        <v>141</v>
      </c>
      <c r="BT60" s="190" t="s">
        <v>141</v>
      </c>
      <c r="BU60" s="190" t="s">
        <v>141</v>
      </c>
      <c r="BV60" s="190" t="s">
        <v>141</v>
      </c>
      <c r="BW60" s="190" t="s">
        <v>141</v>
      </c>
      <c r="BX60" s="190" t="s">
        <v>141</v>
      </c>
      <c r="BY60" s="190" t="s">
        <v>141</v>
      </c>
      <c r="BZ60" s="190" t="s">
        <v>141</v>
      </c>
      <c r="CA60" s="190" t="s">
        <v>141</v>
      </c>
      <c r="CB60" s="190" t="s">
        <v>141</v>
      </c>
      <c r="CC60" s="206"/>
      <c r="CD60" s="190" t="s">
        <v>141</v>
      </c>
      <c r="CE60" s="190" t="s">
        <v>141</v>
      </c>
      <c r="CF60" s="190" t="s">
        <v>141</v>
      </c>
      <c r="CG60" s="190" t="s">
        <v>141</v>
      </c>
      <c r="CH60" s="190" t="s">
        <v>141</v>
      </c>
      <c r="CI60" s="190" t="s">
        <v>141</v>
      </c>
      <c r="CJ60" s="190" t="s">
        <v>11</v>
      </c>
      <c r="CK60" s="190" t="s">
        <v>11</v>
      </c>
      <c r="CL60" s="190" t="s">
        <v>11</v>
      </c>
      <c r="CM60" s="190" t="s">
        <v>11</v>
      </c>
      <c r="CN60" s="190" t="s">
        <v>141</v>
      </c>
      <c r="CO60" s="206"/>
      <c r="CP60" s="190" t="s">
        <v>11</v>
      </c>
      <c r="CQ60" s="190" t="s">
        <v>11</v>
      </c>
      <c r="CR60" s="190" t="s">
        <v>11</v>
      </c>
      <c r="CS60" s="190" t="s">
        <v>11</v>
      </c>
      <c r="CT60" s="174" t="s">
        <v>11</v>
      </c>
      <c r="CU60" s="193" t="s">
        <v>11</v>
      </c>
      <c r="CV60" s="197" t="s">
        <v>11</v>
      </c>
      <c r="CW60" s="206"/>
      <c r="CX60" s="190" t="s">
        <v>140</v>
      </c>
      <c r="CY60" s="190"/>
      <c r="CZ60" s="190"/>
      <c r="DA60" s="193"/>
      <c r="DB60" s="197"/>
      <c r="DC60" s="194"/>
      <c r="DD60" s="190"/>
      <c r="DE60" s="206"/>
      <c r="DF60" s="190" t="s">
        <v>11</v>
      </c>
      <c r="DG60" s="241"/>
      <c r="DH60" s="241"/>
      <c r="DI60" s="242"/>
      <c r="DJ60" s="242"/>
    </row>
    <row r="61" spans="1:114" ht="12" x14ac:dyDescent="0.2">
      <c r="A61" s="302" t="s">
        <v>296</v>
      </c>
      <c r="B61" s="302" t="s">
        <v>166</v>
      </c>
      <c r="C61" s="303" t="s">
        <v>294</v>
      </c>
      <c r="D61" s="303" t="s">
        <v>282</v>
      </c>
      <c r="E61" s="303" t="s">
        <v>133</v>
      </c>
      <c r="F61" s="303"/>
      <c r="G61" s="304" t="s">
        <v>222</v>
      </c>
      <c r="H61" s="234">
        <v>35000</v>
      </c>
      <c r="I61" s="147"/>
      <c r="J61" s="321" t="s">
        <v>191</v>
      </c>
      <c r="K61" s="147" t="s">
        <v>147</v>
      </c>
      <c r="L61" s="147" t="s">
        <v>138</v>
      </c>
      <c r="M61" s="147" t="s">
        <v>147</v>
      </c>
      <c r="N61" s="147" t="s">
        <v>138</v>
      </c>
      <c r="O61" s="192" t="s">
        <v>139</v>
      </c>
      <c r="P61" s="190" t="s">
        <v>140</v>
      </c>
      <c r="Q61" s="190" t="s">
        <v>11</v>
      </c>
      <c r="R61" s="190" t="s">
        <v>11</v>
      </c>
      <c r="S61" s="190" t="s">
        <v>11</v>
      </c>
      <c r="T61" s="190" t="s">
        <v>11</v>
      </c>
      <c r="U61" s="190" t="s">
        <v>11</v>
      </c>
      <c r="V61" s="190" t="s">
        <v>11</v>
      </c>
      <c r="W61" s="190" t="s">
        <v>11</v>
      </c>
      <c r="X61" s="190" t="s">
        <v>11</v>
      </c>
      <c r="Y61" s="190" t="s">
        <v>11</v>
      </c>
      <c r="Z61" s="190" t="s">
        <v>140</v>
      </c>
      <c r="AA61" s="190" t="s">
        <v>140</v>
      </c>
      <c r="AB61" s="190" t="s">
        <v>140</v>
      </c>
      <c r="AC61" s="190" t="s">
        <v>11</v>
      </c>
      <c r="AD61" s="190" t="s">
        <v>11</v>
      </c>
      <c r="AE61" s="190" t="s">
        <v>140</v>
      </c>
      <c r="AF61" s="190" t="s">
        <v>140</v>
      </c>
      <c r="AG61" s="190" t="s">
        <v>11</v>
      </c>
      <c r="AH61" s="276">
        <v>0</v>
      </c>
      <c r="AI61" s="190" t="s">
        <v>140</v>
      </c>
      <c r="AJ61" s="187"/>
      <c r="AK61" s="190" t="s">
        <v>11</v>
      </c>
      <c r="AL61" s="190" t="s">
        <v>177</v>
      </c>
      <c r="AM61" s="206"/>
      <c r="AN61" s="190" t="s">
        <v>11</v>
      </c>
      <c r="AO61" s="190" t="s">
        <v>11</v>
      </c>
      <c r="AP61" s="190" t="s">
        <v>11</v>
      </c>
      <c r="AQ61" s="190" t="s">
        <v>11</v>
      </c>
      <c r="AR61" s="190" t="s">
        <v>140</v>
      </c>
      <c r="AS61" s="190" t="s">
        <v>11</v>
      </c>
      <c r="AT61" s="190" t="s">
        <v>11</v>
      </c>
      <c r="AU61" s="190" t="s">
        <v>11</v>
      </c>
      <c r="AV61" s="190" t="s">
        <v>11</v>
      </c>
      <c r="AW61" s="190" t="s">
        <v>11</v>
      </c>
      <c r="AX61" s="190"/>
      <c r="AY61" s="190"/>
      <c r="AZ61" s="190"/>
      <c r="BA61" s="190"/>
      <c r="BB61" s="190" t="s">
        <v>11</v>
      </c>
      <c r="BC61" s="190"/>
      <c r="BD61" s="190"/>
      <c r="BE61" s="190"/>
      <c r="BF61" s="190"/>
      <c r="BG61" s="206"/>
      <c r="BH61" s="190" t="s">
        <v>11</v>
      </c>
      <c r="BI61" s="190" t="s">
        <v>11</v>
      </c>
      <c r="BJ61" s="190" t="s">
        <v>11</v>
      </c>
      <c r="BK61" s="190" t="s">
        <v>11</v>
      </c>
      <c r="BL61" s="190" t="s">
        <v>11</v>
      </c>
      <c r="BM61" s="190" t="s">
        <v>11</v>
      </c>
      <c r="BN61" s="190" t="s">
        <v>11</v>
      </c>
      <c r="BO61" s="190" t="s">
        <v>11</v>
      </c>
      <c r="BP61" s="190" t="s">
        <v>11</v>
      </c>
      <c r="BQ61" s="206"/>
      <c r="BR61" s="190" t="s">
        <v>141</v>
      </c>
      <c r="BS61" s="190" t="s">
        <v>141</v>
      </c>
      <c r="BT61" s="190" t="s">
        <v>141</v>
      </c>
      <c r="BU61" s="190" t="s">
        <v>141</v>
      </c>
      <c r="BV61" s="190" t="s">
        <v>141</v>
      </c>
      <c r="BW61" s="190" t="s">
        <v>141</v>
      </c>
      <c r="BX61" s="190" t="s">
        <v>141</v>
      </c>
      <c r="BY61" s="190" t="s">
        <v>141</v>
      </c>
      <c r="BZ61" s="190" t="s">
        <v>141</v>
      </c>
      <c r="CA61" s="190" t="s">
        <v>141</v>
      </c>
      <c r="CB61" s="190" t="s">
        <v>141</v>
      </c>
      <c r="CC61" s="206"/>
      <c r="CD61" s="190" t="s">
        <v>141</v>
      </c>
      <c r="CE61" s="190" t="s">
        <v>141</v>
      </c>
      <c r="CF61" s="190" t="s">
        <v>141</v>
      </c>
      <c r="CG61" s="190" t="s">
        <v>141</v>
      </c>
      <c r="CH61" s="190" t="s">
        <v>141</v>
      </c>
      <c r="CI61" s="190" t="s">
        <v>141</v>
      </c>
      <c r="CJ61" s="190" t="s">
        <v>11</v>
      </c>
      <c r="CK61" s="190" t="s">
        <v>11</v>
      </c>
      <c r="CL61" s="190" t="s">
        <v>11</v>
      </c>
      <c r="CM61" s="190" t="s">
        <v>11</v>
      </c>
      <c r="CN61" s="190" t="s">
        <v>141</v>
      </c>
      <c r="CO61" s="206"/>
      <c r="CP61" s="190" t="s">
        <v>11</v>
      </c>
      <c r="CQ61" s="190" t="s">
        <v>11</v>
      </c>
      <c r="CR61" s="190" t="s">
        <v>11</v>
      </c>
      <c r="CS61" s="190" t="s">
        <v>11</v>
      </c>
      <c r="CT61" s="174" t="s">
        <v>11</v>
      </c>
      <c r="CU61" s="193" t="s">
        <v>11</v>
      </c>
      <c r="CV61" s="197" t="s">
        <v>11</v>
      </c>
      <c r="CW61" s="206"/>
      <c r="CX61" s="190"/>
      <c r="CY61" s="190"/>
      <c r="CZ61" s="190"/>
      <c r="DA61" s="193"/>
      <c r="DB61" s="197"/>
      <c r="DC61" s="194"/>
      <c r="DD61" s="190"/>
      <c r="DE61" s="206"/>
      <c r="DF61" s="190" t="s">
        <v>11</v>
      </c>
      <c r="DG61" s="241"/>
      <c r="DH61" s="241"/>
      <c r="DI61" s="242"/>
      <c r="DJ61" s="242"/>
    </row>
    <row r="62" spans="1:114" ht="12" x14ac:dyDescent="0.2">
      <c r="A62" s="302" t="s">
        <v>297</v>
      </c>
      <c r="B62" s="302" t="s">
        <v>298</v>
      </c>
      <c r="C62" s="303" t="s">
        <v>133</v>
      </c>
      <c r="D62" s="303" t="s">
        <v>282</v>
      </c>
      <c r="E62" s="303" t="s">
        <v>133</v>
      </c>
      <c r="F62" s="303" t="s">
        <v>221</v>
      </c>
      <c r="G62" s="304" t="s">
        <v>222</v>
      </c>
      <c r="H62" s="234">
        <v>112500</v>
      </c>
      <c r="I62" s="147"/>
      <c r="J62" s="321" t="s">
        <v>11</v>
      </c>
      <c r="K62" s="147" t="s">
        <v>11</v>
      </c>
      <c r="L62" s="147" t="s">
        <v>11</v>
      </c>
      <c r="M62" s="147" t="s">
        <v>11</v>
      </c>
      <c r="N62" s="147" t="s">
        <v>138</v>
      </c>
      <c r="O62" s="192" t="s">
        <v>139</v>
      </c>
      <c r="P62" s="190" t="s">
        <v>11</v>
      </c>
      <c r="Q62" s="190" t="s">
        <v>11</v>
      </c>
      <c r="R62" s="190" t="s">
        <v>11</v>
      </c>
      <c r="S62" s="190" t="s">
        <v>11</v>
      </c>
      <c r="T62" s="190" t="s">
        <v>11</v>
      </c>
      <c r="U62" s="190" t="s">
        <v>11</v>
      </c>
      <c r="V62" s="190" t="s">
        <v>11</v>
      </c>
      <c r="W62" s="190" t="s">
        <v>11</v>
      </c>
      <c r="X62" s="190" t="s">
        <v>11</v>
      </c>
      <c r="Y62" s="190" t="s">
        <v>11</v>
      </c>
      <c r="Z62" s="190" t="s">
        <v>140</v>
      </c>
      <c r="AA62" s="190" t="s">
        <v>140</v>
      </c>
      <c r="AB62" s="190" t="s">
        <v>140</v>
      </c>
      <c r="AC62" s="190" t="s">
        <v>11</v>
      </c>
      <c r="AD62" s="190" t="s">
        <v>11</v>
      </c>
      <c r="AE62" s="190" t="s">
        <v>11</v>
      </c>
      <c r="AF62" s="190" t="s">
        <v>11</v>
      </c>
      <c r="AG62" s="190" t="s">
        <v>11</v>
      </c>
      <c r="AH62" s="276" t="s">
        <v>11</v>
      </c>
      <c r="AI62" s="190" t="s">
        <v>11</v>
      </c>
      <c r="AJ62" s="187"/>
      <c r="AK62" s="190" t="s">
        <v>11</v>
      </c>
      <c r="AL62" s="190" t="s">
        <v>177</v>
      </c>
      <c r="AM62" s="206"/>
      <c r="AN62" s="190" t="s">
        <v>11</v>
      </c>
      <c r="AO62" s="190" t="s">
        <v>11</v>
      </c>
      <c r="AP62" s="190" t="s">
        <v>11</v>
      </c>
      <c r="AQ62" s="190" t="s">
        <v>11</v>
      </c>
      <c r="AR62" s="190" t="s">
        <v>140</v>
      </c>
      <c r="AS62" s="190" t="s">
        <v>11</v>
      </c>
      <c r="AT62" s="190" t="s">
        <v>11</v>
      </c>
      <c r="AU62" s="190" t="s">
        <v>11</v>
      </c>
      <c r="AV62" s="190" t="s">
        <v>11</v>
      </c>
      <c r="AW62" s="190" t="s">
        <v>11</v>
      </c>
      <c r="AX62" s="190"/>
      <c r="AY62" s="190"/>
      <c r="AZ62" s="190"/>
      <c r="BA62" s="190"/>
      <c r="BB62" s="190" t="s">
        <v>11</v>
      </c>
      <c r="BC62" s="190"/>
      <c r="BD62" s="190"/>
      <c r="BE62" s="190"/>
      <c r="BF62" s="190"/>
      <c r="BG62" s="206"/>
      <c r="BH62" s="190" t="s">
        <v>11</v>
      </c>
      <c r="BI62" s="190" t="s">
        <v>11</v>
      </c>
      <c r="BJ62" s="190" t="s">
        <v>11</v>
      </c>
      <c r="BK62" s="190" t="s">
        <v>11</v>
      </c>
      <c r="BL62" s="190" t="s">
        <v>11</v>
      </c>
      <c r="BM62" s="190" t="s">
        <v>11</v>
      </c>
      <c r="BN62" s="190" t="s">
        <v>11</v>
      </c>
      <c r="BO62" s="190" t="s">
        <v>11</v>
      </c>
      <c r="BP62" s="190" t="s">
        <v>11</v>
      </c>
      <c r="BQ62" s="206"/>
      <c r="BR62" s="190" t="s">
        <v>11</v>
      </c>
      <c r="BS62" s="190" t="s">
        <v>11</v>
      </c>
      <c r="BT62" s="190" t="s">
        <v>11</v>
      </c>
      <c r="BU62" s="190" t="s">
        <v>11</v>
      </c>
      <c r="BV62" s="190" t="s">
        <v>11</v>
      </c>
      <c r="BW62" s="190" t="s">
        <v>11</v>
      </c>
      <c r="BX62" s="190" t="s">
        <v>11</v>
      </c>
      <c r="BY62" s="190" t="s">
        <v>11</v>
      </c>
      <c r="BZ62" s="190" t="s">
        <v>11</v>
      </c>
      <c r="CA62" s="190" t="s">
        <v>11</v>
      </c>
      <c r="CB62" s="190" t="s">
        <v>11</v>
      </c>
      <c r="CC62" s="206"/>
      <c r="CD62" s="190" t="s">
        <v>11</v>
      </c>
      <c r="CE62" s="190" t="s">
        <v>11</v>
      </c>
      <c r="CF62" s="190" t="s">
        <v>11</v>
      </c>
      <c r="CG62" s="190" t="s">
        <v>11</v>
      </c>
      <c r="CH62" s="190" t="s">
        <v>11</v>
      </c>
      <c r="CI62" s="190" t="s">
        <v>11</v>
      </c>
      <c r="CJ62" s="190" t="s">
        <v>11</v>
      </c>
      <c r="CK62" s="190" t="s">
        <v>11</v>
      </c>
      <c r="CL62" s="190" t="s">
        <v>11</v>
      </c>
      <c r="CM62" s="190" t="s">
        <v>11</v>
      </c>
      <c r="CN62" s="190" t="s">
        <v>11</v>
      </c>
      <c r="CO62" s="206"/>
      <c r="CP62" s="190" t="s">
        <v>11</v>
      </c>
      <c r="CQ62" s="190" t="s">
        <v>11</v>
      </c>
      <c r="CR62" s="190" t="s">
        <v>11</v>
      </c>
      <c r="CS62" s="190" t="s">
        <v>11</v>
      </c>
      <c r="CT62" s="174" t="s">
        <v>11</v>
      </c>
      <c r="CU62" s="193" t="s">
        <v>11</v>
      </c>
      <c r="CV62" s="197" t="s">
        <v>11</v>
      </c>
      <c r="CW62" s="206"/>
      <c r="CX62" s="190" t="s">
        <v>11</v>
      </c>
      <c r="CY62" s="190" t="s">
        <v>11</v>
      </c>
      <c r="CZ62" s="190" t="s">
        <v>11</v>
      </c>
      <c r="DA62" s="193" t="s">
        <v>11</v>
      </c>
      <c r="DB62" s="197" t="s">
        <v>11</v>
      </c>
      <c r="DC62" s="194" t="s">
        <v>11</v>
      </c>
      <c r="DD62" s="190" t="s">
        <v>11</v>
      </c>
      <c r="DE62" s="206"/>
      <c r="DF62" s="190" t="s">
        <v>178</v>
      </c>
      <c r="DG62" s="241"/>
      <c r="DH62" s="241"/>
      <c r="DI62" s="242"/>
      <c r="DJ62" s="242"/>
    </row>
    <row r="63" spans="1:114" ht="12" x14ac:dyDescent="0.2">
      <c r="A63" s="302" t="s">
        <v>299</v>
      </c>
      <c r="B63" s="302"/>
      <c r="C63" s="303" t="s">
        <v>292</v>
      </c>
      <c r="D63" s="303" t="s">
        <v>282</v>
      </c>
      <c r="E63" s="303"/>
      <c r="F63" s="303"/>
      <c r="G63" s="304" t="s">
        <v>222</v>
      </c>
      <c r="H63" s="234"/>
      <c r="I63" s="147"/>
      <c r="J63" s="321"/>
      <c r="K63" s="147"/>
      <c r="L63" s="147"/>
      <c r="M63" s="147"/>
      <c r="N63" s="147"/>
      <c r="O63" s="192"/>
      <c r="P63" s="192" t="s">
        <v>11</v>
      </c>
      <c r="Q63" s="192" t="s">
        <v>11</v>
      </c>
      <c r="R63" s="192" t="s">
        <v>11</v>
      </c>
      <c r="S63" s="192" t="s">
        <v>11</v>
      </c>
      <c r="T63" s="192" t="s">
        <v>11</v>
      </c>
      <c r="U63" s="192" t="s">
        <v>11</v>
      </c>
      <c r="V63" s="190" t="s">
        <v>11</v>
      </c>
      <c r="W63" s="190" t="s">
        <v>11</v>
      </c>
      <c r="X63" s="190" t="s">
        <v>11</v>
      </c>
      <c r="Y63" s="190" t="s">
        <v>11</v>
      </c>
      <c r="Z63" s="192" t="s">
        <v>11</v>
      </c>
      <c r="AA63" s="192" t="s">
        <v>11</v>
      </c>
      <c r="AB63" s="192" t="s">
        <v>11</v>
      </c>
      <c r="AC63" s="190" t="s">
        <v>11</v>
      </c>
      <c r="AD63" s="190" t="s">
        <v>11</v>
      </c>
      <c r="AE63" s="192" t="s">
        <v>11</v>
      </c>
      <c r="AF63" s="192" t="s">
        <v>11</v>
      </c>
      <c r="AG63" s="192" t="s">
        <v>11</v>
      </c>
      <c r="AH63" s="276" t="s">
        <v>11</v>
      </c>
      <c r="AI63" s="192" t="s">
        <v>11</v>
      </c>
      <c r="AJ63" s="187"/>
      <c r="AK63" s="190" t="s">
        <v>11</v>
      </c>
      <c r="AL63" s="190" t="s">
        <v>177</v>
      </c>
      <c r="AM63" s="206"/>
      <c r="AN63" s="192"/>
      <c r="AO63" s="192"/>
      <c r="AP63" s="192"/>
      <c r="AQ63" s="192"/>
      <c r="AR63" s="192"/>
      <c r="AS63" s="192"/>
      <c r="AT63" s="192"/>
      <c r="AU63" s="192"/>
      <c r="AV63" s="192"/>
      <c r="AW63" s="192"/>
      <c r="AX63" s="192"/>
      <c r="AY63" s="192"/>
      <c r="AZ63" s="192"/>
      <c r="BA63" s="192"/>
      <c r="BB63" s="192"/>
      <c r="BC63" s="192"/>
      <c r="BD63" s="192"/>
      <c r="BE63" s="192"/>
      <c r="BF63" s="192"/>
      <c r="BG63" s="206"/>
      <c r="BH63" s="192"/>
      <c r="BI63" s="192"/>
      <c r="BJ63" s="192"/>
      <c r="BK63" s="192"/>
      <c r="BL63" s="192"/>
      <c r="BM63" s="192"/>
      <c r="BN63" s="192"/>
      <c r="BO63" s="192"/>
      <c r="BP63" s="192"/>
      <c r="BQ63" s="206"/>
      <c r="BR63" s="192"/>
      <c r="BS63" s="192"/>
      <c r="BT63" s="192"/>
      <c r="BU63" s="192"/>
      <c r="BV63" s="192"/>
      <c r="BW63" s="192"/>
      <c r="BX63" s="192"/>
      <c r="BY63" s="192"/>
      <c r="BZ63" s="192"/>
      <c r="CA63" s="192"/>
      <c r="CB63" s="192"/>
      <c r="CC63" s="206"/>
      <c r="CD63" s="192"/>
      <c r="CE63" s="192"/>
      <c r="CF63" s="192"/>
      <c r="CG63" s="192"/>
      <c r="CH63" s="192"/>
      <c r="CI63" s="192"/>
      <c r="CJ63" s="192"/>
      <c r="CK63" s="192"/>
      <c r="CL63" s="192"/>
      <c r="CM63" s="192"/>
      <c r="CN63" s="192"/>
      <c r="CO63" s="206"/>
      <c r="CP63" s="192"/>
      <c r="CQ63" s="192"/>
      <c r="CR63" s="192"/>
      <c r="CS63" s="192"/>
      <c r="CT63" s="174"/>
      <c r="CU63" s="202"/>
      <c r="CV63" s="298"/>
      <c r="CW63" s="206"/>
      <c r="CX63" s="192"/>
      <c r="CY63" s="192"/>
      <c r="CZ63" s="192"/>
      <c r="DA63" s="202"/>
      <c r="DB63" s="298"/>
      <c r="DC63" s="275"/>
      <c r="DD63" s="192"/>
      <c r="DE63" s="206"/>
      <c r="DF63" s="192"/>
      <c r="DG63" s="241"/>
      <c r="DH63" s="241"/>
      <c r="DI63" s="242"/>
      <c r="DJ63" s="242"/>
    </row>
    <row r="64" spans="1:114" ht="12" x14ac:dyDescent="0.2">
      <c r="A64" s="142"/>
      <c r="B64" s="142"/>
      <c r="C64" s="151"/>
      <c r="D64" s="151"/>
      <c r="E64" s="151"/>
      <c r="F64" s="151"/>
      <c r="G64" s="151"/>
      <c r="H64" s="236"/>
      <c r="I64" s="151"/>
      <c r="J64" s="151"/>
      <c r="K64" s="151"/>
      <c r="L64" s="151"/>
      <c r="M64" s="151"/>
      <c r="N64" s="151"/>
      <c r="O64" s="228"/>
      <c r="P64" s="174"/>
      <c r="Q64" s="174"/>
      <c r="R64" s="174"/>
      <c r="S64" s="174"/>
      <c r="T64" s="174"/>
      <c r="U64" s="174"/>
      <c r="V64" s="174"/>
      <c r="W64" s="174"/>
      <c r="X64" s="174"/>
      <c r="Y64" s="174"/>
      <c r="Z64" s="174"/>
      <c r="AA64" s="174"/>
      <c r="AB64" s="174"/>
      <c r="AC64" s="174"/>
      <c r="AD64" s="174"/>
      <c r="AE64" s="174"/>
      <c r="AF64" s="174"/>
      <c r="AG64" s="174"/>
      <c r="AH64" s="198"/>
      <c r="AI64" s="174"/>
      <c r="AJ64" s="187"/>
      <c r="AK64" s="174"/>
      <c r="AL64" s="174"/>
      <c r="AM64" s="206"/>
      <c r="AN64" s="206"/>
      <c r="AO64" s="206"/>
      <c r="AP64" s="206"/>
      <c r="AQ64" s="206"/>
      <c r="AR64" s="206"/>
      <c r="AS64" s="206"/>
      <c r="AT64" s="206"/>
      <c r="AU64" s="206"/>
      <c r="AV64" s="206"/>
      <c r="AW64" s="206"/>
      <c r="AX64" s="206"/>
      <c r="AY64" s="206"/>
      <c r="AZ64" s="206"/>
      <c r="BA64" s="206"/>
      <c r="BB64" s="206"/>
      <c r="BC64" s="206"/>
      <c r="BD64" s="206"/>
      <c r="BE64" s="206"/>
      <c r="BF64" s="206"/>
      <c r="BG64" s="206"/>
      <c r="BH64" s="174"/>
      <c r="BI64" s="174"/>
      <c r="BJ64" s="174"/>
      <c r="BK64" s="174"/>
      <c r="BL64" s="174"/>
      <c r="BM64" s="174"/>
      <c r="BN64" s="174"/>
      <c r="BO64" s="174"/>
      <c r="BP64" s="174"/>
      <c r="BQ64" s="206"/>
      <c r="BR64" s="206"/>
      <c r="BS64" s="206"/>
      <c r="BT64" s="206"/>
      <c r="BU64" s="206"/>
      <c r="BV64" s="206"/>
      <c r="BW64" s="206"/>
      <c r="BX64" s="206"/>
      <c r="BY64" s="206"/>
      <c r="BZ64" s="206"/>
      <c r="CA64" s="206"/>
      <c r="CB64" s="206"/>
      <c r="CC64" s="206"/>
      <c r="CD64" s="174"/>
      <c r="CE64" s="174"/>
      <c r="CF64" s="174"/>
      <c r="CG64" s="174"/>
      <c r="CH64" s="174"/>
      <c r="CI64" s="174"/>
      <c r="CJ64" s="174"/>
      <c r="CK64" s="174"/>
      <c r="CL64" s="174"/>
      <c r="CM64" s="174"/>
      <c r="CN64" s="174"/>
      <c r="CO64" s="206"/>
      <c r="CP64" s="174"/>
      <c r="CQ64" s="206"/>
      <c r="CR64" s="206"/>
      <c r="CS64" s="206"/>
      <c r="CT64" s="225"/>
      <c r="CU64" s="206"/>
      <c r="CV64" s="206"/>
      <c r="CW64" s="206"/>
      <c r="CX64" s="174"/>
      <c r="CY64" s="206"/>
      <c r="CZ64" s="206"/>
      <c r="DA64" s="206"/>
      <c r="DB64" s="225"/>
      <c r="DC64" s="206"/>
      <c r="DD64" s="206"/>
      <c r="DE64" s="206"/>
      <c r="DF64" s="206"/>
      <c r="DG64" s="241"/>
      <c r="DH64" s="241"/>
      <c r="DI64" s="242"/>
      <c r="DJ64" s="242"/>
    </row>
    <row r="65" spans="1:117" ht="12" x14ac:dyDescent="0.2">
      <c r="A65" s="371" t="s">
        <v>300</v>
      </c>
      <c r="B65" s="372"/>
      <c r="C65" s="372"/>
      <c r="D65" s="372"/>
      <c r="E65" s="372"/>
      <c r="F65" s="372"/>
      <c r="G65" s="372"/>
      <c r="H65" s="237"/>
      <c r="I65" s="158"/>
      <c r="J65" s="158"/>
      <c r="K65" s="158"/>
      <c r="L65" s="158"/>
      <c r="M65" s="158"/>
      <c r="N65" s="158"/>
      <c r="O65" s="186"/>
      <c r="P65" s="200"/>
      <c r="Q65" s="200"/>
      <c r="R65" s="200"/>
      <c r="S65" s="200"/>
      <c r="T65" s="200"/>
      <c r="U65" s="200"/>
      <c r="V65" s="200"/>
      <c r="W65" s="200"/>
      <c r="X65" s="200"/>
      <c r="Y65" s="200"/>
      <c r="Z65" s="200"/>
      <c r="AA65" s="200"/>
      <c r="AB65" s="200"/>
      <c r="AC65" s="200"/>
      <c r="AD65" s="200"/>
      <c r="AE65" s="200"/>
      <c r="AF65" s="200"/>
      <c r="AG65" s="200"/>
      <c r="AH65" s="200"/>
      <c r="AI65" s="200"/>
      <c r="AJ65" s="186"/>
      <c r="AK65" s="200"/>
      <c r="AL65" s="200"/>
      <c r="AM65" s="200"/>
      <c r="AN65" s="200"/>
      <c r="AO65" s="200"/>
      <c r="AP65" s="200"/>
      <c r="AQ65" s="200"/>
      <c r="AR65" s="200"/>
      <c r="AS65" s="200"/>
      <c r="AT65" s="200"/>
      <c r="AU65" s="200"/>
      <c r="AV65" s="200"/>
      <c r="AW65" s="200"/>
      <c r="AX65" s="200"/>
      <c r="AY65" s="200"/>
      <c r="AZ65" s="200"/>
      <c r="BA65" s="200"/>
      <c r="BB65" s="200"/>
      <c r="BC65" s="200"/>
      <c r="BD65" s="200"/>
      <c r="BE65" s="200"/>
      <c r="BF65" s="200"/>
      <c r="BG65" s="200"/>
      <c r="BH65" s="200"/>
      <c r="BI65" s="200"/>
      <c r="BJ65" s="200"/>
      <c r="BK65" s="200"/>
      <c r="BL65" s="200"/>
      <c r="BM65" s="200"/>
      <c r="BN65" s="200"/>
      <c r="BO65" s="200"/>
      <c r="BP65" s="200"/>
      <c r="BQ65" s="200"/>
      <c r="BR65" s="200"/>
      <c r="BS65" s="200"/>
      <c r="BT65" s="200"/>
      <c r="BU65" s="200"/>
      <c r="BV65" s="200"/>
      <c r="BW65" s="200"/>
      <c r="BX65" s="200"/>
      <c r="BY65" s="200"/>
      <c r="BZ65" s="200"/>
      <c r="CA65" s="200"/>
      <c r="CB65" s="200"/>
      <c r="CC65" s="200"/>
      <c r="CD65" s="200"/>
      <c r="CE65" s="200"/>
      <c r="CF65" s="200"/>
      <c r="CG65" s="200"/>
      <c r="CH65" s="200"/>
      <c r="CI65" s="200"/>
      <c r="CJ65" s="200"/>
      <c r="CK65" s="200"/>
      <c r="CL65" s="200"/>
      <c r="CM65" s="200"/>
      <c r="CN65" s="200"/>
      <c r="CO65" s="206"/>
      <c r="CP65" s="200"/>
      <c r="CQ65" s="200"/>
      <c r="CR65" s="200"/>
      <c r="CS65" s="200"/>
      <c r="CT65" s="200"/>
      <c r="CU65" s="200"/>
      <c r="CV65" s="200"/>
      <c r="CW65" s="206"/>
      <c r="CX65" s="200"/>
      <c r="CY65" s="200"/>
      <c r="CZ65" s="200"/>
      <c r="DA65" s="200"/>
      <c r="DB65" s="200"/>
      <c r="DC65" s="200"/>
      <c r="DD65" s="200"/>
      <c r="DE65" s="200"/>
      <c r="DF65" s="200"/>
      <c r="DG65" s="250"/>
      <c r="DH65" s="250"/>
      <c r="DI65" s="251"/>
      <c r="DJ65" s="251"/>
      <c r="DK65" s="159"/>
      <c r="DL65" s="159"/>
      <c r="DM65" s="159"/>
    </row>
    <row r="66" spans="1:117" ht="12" x14ac:dyDescent="0.2">
      <c r="A66" s="332" t="s">
        <v>301</v>
      </c>
      <c r="B66" s="332" t="s">
        <v>302</v>
      </c>
      <c r="C66" s="335" t="s">
        <v>303</v>
      </c>
      <c r="D66" s="335" t="s">
        <v>236</v>
      </c>
      <c r="E66" s="335" t="s">
        <v>133</v>
      </c>
      <c r="F66" s="335" t="s">
        <v>133</v>
      </c>
      <c r="G66" s="336" t="s">
        <v>222</v>
      </c>
      <c r="H66" s="234">
        <v>45945</v>
      </c>
      <c r="I66" s="160">
        <v>0</v>
      </c>
      <c r="J66" s="161" t="s">
        <v>232</v>
      </c>
      <c r="K66" s="161" t="s">
        <v>147</v>
      </c>
      <c r="L66" s="161" t="s">
        <v>138</v>
      </c>
      <c r="M66" s="161" t="s">
        <v>138</v>
      </c>
      <c r="N66" s="161" t="s">
        <v>138</v>
      </c>
      <c r="O66" s="216" t="s">
        <v>139</v>
      </c>
      <c r="P66" s="210" t="s">
        <v>140</v>
      </c>
      <c r="Q66" s="211" t="s">
        <v>11</v>
      </c>
      <c r="R66" s="212" t="s">
        <v>140</v>
      </c>
      <c r="S66" s="212" t="s">
        <v>140</v>
      </c>
      <c r="T66" s="213" t="s">
        <v>11</v>
      </c>
      <c r="U66" s="211" t="s">
        <v>11</v>
      </c>
      <c r="V66" s="214" t="s">
        <v>140</v>
      </c>
      <c r="W66" s="213" t="s">
        <v>11</v>
      </c>
      <c r="X66" s="213" t="s">
        <v>140</v>
      </c>
      <c r="Y66" s="214" t="s">
        <v>11</v>
      </c>
      <c r="Z66" s="211" t="s">
        <v>140</v>
      </c>
      <c r="AA66" s="211" t="s">
        <v>140</v>
      </c>
      <c r="AB66" s="211" t="s">
        <v>148</v>
      </c>
      <c r="AC66" s="213" t="s">
        <v>11</v>
      </c>
      <c r="AD66" s="213" t="s">
        <v>11</v>
      </c>
      <c r="AE66" s="210" t="s">
        <v>140</v>
      </c>
      <c r="AF66" s="210" t="s">
        <v>11</v>
      </c>
      <c r="AG66" s="212" t="s">
        <v>140</v>
      </c>
      <c r="AH66" s="219"/>
      <c r="AI66" s="212" t="s">
        <v>140</v>
      </c>
      <c r="AJ66" s="187"/>
      <c r="AK66" s="212" t="s">
        <v>148</v>
      </c>
      <c r="AL66" s="212" t="s">
        <v>148</v>
      </c>
      <c r="AM66" s="249"/>
      <c r="AN66" s="192" t="s">
        <v>11</v>
      </c>
      <c r="AO66" s="190" t="s">
        <v>140</v>
      </c>
      <c r="AP66" s="190" t="s">
        <v>140</v>
      </c>
      <c r="AQ66" s="190" t="s">
        <v>11</v>
      </c>
      <c r="AR66" s="190" t="s">
        <v>140</v>
      </c>
      <c r="AS66" s="190" t="s">
        <v>148</v>
      </c>
      <c r="AT66" s="190" t="s">
        <v>11</v>
      </c>
      <c r="AU66" s="190" t="s">
        <v>140</v>
      </c>
      <c r="AV66" s="190" t="s">
        <v>140</v>
      </c>
      <c r="AW66" s="190" t="s">
        <v>11</v>
      </c>
      <c r="AX66" s="190"/>
      <c r="AY66" s="190"/>
      <c r="AZ66" s="190"/>
      <c r="BA66" s="190"/>
      <c r="BB66" s="190"/>
      <c r="BC66" s="190"/>
      <c r="BD66" s="203"/>
      <c r="BE66" s="203"/>
      <c r="BF66" s="203"/>
      <c r="BG66" s="206"/>
      <c r="BH66" s="190" t="s">
        <v>304</v>
      </c>
      <c r="BI66" s="190" t="s">
        <v>11</v>
      </c>
      <c r="BJ66" s="324">
        <v>444372</v>
      </c>
      <c r="BK66" s="246">
        <v>45819</v>
      </c>
      <c r="BL66" s="190" t="s">
        <v>140</v>
      </c>
      <c r="BM66" s="190" t="s">
        <v>140</v>
      </c>
      <c r="BN66" s="190" t="s">
        <v>11</v>
      </c>
      <c r="BO66" s="190" t="s">
        <v>11</v>
      </c>
      <c r="BP66" s="190" t="s">
        <v>11</v>
      </c>
      <c r="BQ66" s="206"/>
      <c r="BR66" s="253" t="s">
        <v>141</v>
      </c>
      <c r="BS66" s="267" t="s">
        <v>141</v>
      </c>
      <c r="BT66" s="257" t="s">
        <v>141</v>
      </c>
      <c r="BU66" s="257" t="s">
        <v>141</v>
      </c>
      <c r="BV66" s="253" t="s">
        <v>141</v>
      </c>
      <c r="BW66" s="267" t="s">
        <v>141</v>
      </c>
      <c r="BX66" s="257" t="s">
        <v>141</v>
      </c>
      <c r="BY66" s="257" t="s">
        <v>141</v>
      </c>
      <c r="BZ66" s="257" t="s">
        <v>141</v>
      </c>
      <c r="CA66" s="257" t="s">
        <v>11</v>
      </c>
      <c r="CB66" s="268" t="s">
        <v>141</v>
      </c>
      <c r="CC66" s="174"/>
      <c r="CD66" s="253" t="s">
        <v>141</v>
      </c>
      <c r="CE66" s="253" t="s">
        <v>141</v>
      </c>
      <c r="CF66" s="253" t="s">
        <v>141</v>
      </c>
      <c r="CG66" s="268" t="s">
        <v>141</v>
      </c>
      <c r="CH66" s="253" t="s">
        <v>141</v>
      </c>
      <c r="CI66" s="268" t="s">
        <v>141</v>
      </c>
      <c r="CJ66" s="263" t="s">
        <v>141</v>
      </c>
      <c r="CK66" s="269" t="s">
        <v>11</v>
      </c>
      <c r="CL66" s="267" t="s">
        <v>11</v>
      </c>
      <c r="CM66" s="255" t="s">
        <v>11</v>
      </c>
      <c r="CN66" s="253" t="s">
        <v>141</v>
      </c>
      <c r="CO66" s="206"/>
      <c r="CP66" s="197" t="s">
        <v>148</v>
      </c>
      <c r="CQ66" s="197" t="s">
        <v>148</v>
      </c>
      <c r="CR66" s="197" t="s">
        <v>11</v>
      </c>
      <c r="CS66" s="197" t="s">
        <v>11</v>
      </c>
      <c r="CT66" s="197" t="s">
        <v>11</v>
      </c>
      <c r="CU66" s="197" t="s">
        <v>11</v>
      </c>
      <c r="CV66" s="197" t="s">
        <v>11</v>
      </c>
      <c r="CW66" s="206"/>
      <c r="CX66" s="190" t="s">
        <v>140</v>
      </c>
      <c r="CY66" s="190" t="s">
        <v>148</v>
      </c>
      <c r="CZ66" s="190" t="s">
        <v>148</v>
      </c>
      <c r="DA66" s="190" t="s">
        <v>148</v>
      </c>
      <c r="DB66" s="190" t="s">
        <v>148</v>
      </c>
      <c r="DC66" s="190" t="s">
        <v>148</v>
      </c>
      <c r="DD66" s="190" t="s">
        <v>148</v>
      </c>
      <c r="DE66" s="206"/>
      <c r="DF66" s="190" t="s">
        <v>11</v>
      </c>
      <c r="DG66" s="241"/>
      <c r="DH66" s="241"/>
      <c r="DI66" s="242"/>
      <c r="DJ66" s="242"/>
    </row>
    <row r="67" spans="1:117" ht="12" x14ac:dyDescent="0.2">
      <c r="A67" s="332" t="s">
        <v>305</v>
      </c>
      <c r="B67" s="332" t="s">
        <v>306</v>
      </c>
      <c r="C67" s="335" t="s">
        <v>303</v>
      </c>
      <c r="D67" s="335" t="s">
        <v>236</v>
      </c>
      <c r="E67" s="335" t="s">
        <v>133</v>
      </c>
      <c r="F67" s="335" t="s">
        <v>133</v>
      </c>
      <c r="G67" s="335" t="s">
        <v>222</v>
      </c>
      <c r="H67" s="234">
        <v>34500</v>
      </c>
      <c r="I67" s="163">
        <v>0</v>
      </c>
      <c r="J67" s="162" t="s">
        <v>307</v>
      </c>
      <c r="K67" s="162" t="s">
        <v>147</v>
      </c>
      <c r="L67" s="162" t="s">
        <v>147</v>
      </c>
      <c r="M67" s="162" t="s">
        <v>138</v>
      </c>
      <c r="N67" s="162" t="s">
        <v>138</v>
      </c>
      <c r="O67" s="216" t="s">
        <v>139</v>
      </c>
      <c r="P67" s="210" t="s">
        <v>140</v>
      </c>
      <c r="Q67" s="211" t="s">
        <v>11</v>
      </c>
      <c r="R67" s="212" t="s">
        <v>140</v>
      </c>
      <c r="S67" s="212" t="s">
        <v>140</v>
      </c>
      <c r="T67" s="213" t="s">
        <v>11</v>
      </c>
      <c r="U67" s="211" t="s">
        <v>11</v>
      </c>
      <c r="V67" s="214" t="s">
        <v>140</v>
      </c>
      <c r="W67" s="213" t="s">
        <v>11</v>
      </c>
      <c r="X67" s="213" t="s">
        <v>11</v>
      </c>
      <c r="Y67" s="214" t="s">
        <v>11</v>
      </c>
      <c r="Z67" s="211" t="s">
        <v>140</v>
      </c>
      <c r="AA67" s="211" t="s">
        <v>140</v>
      </c>
      <c r="AB67" s="211" t="s">
        <v>140</v>
      </c>
      <c r="AC67" s="213" t="s">
        <v>11</v>
      </c>
      <c r="AD67" s="213" t="s">
        <v>11</v>
      </c>
      <c r="AE67" s="210" t="s">
        <v>140</v>
      </c>
      <c r="AF67" s="210" t="s">
        <v>11</v>
      </c>
      <c r="AG67" s="212" t="s">
        <v>140</v>
      </c>
      <c r="AH67" s="219"/>
      <c r="AI67" s="212" t="s">
        <v>140</v>
      </c>
      <c r="AJ67" s="220"/>
      <c r="AK67" s="204" t="s">
        <v>11</v>
      </c>
      <c r="AL67" s="204" t="s">
        <v>11</v>
      </c>
      <c r="AM67" s="249"/>
      <c r="AN67" s="192" t="s">
        <v>11</v>
      </c>
      <c r="AO67" s="190" t="s">
        <v>140</v>
      </c>
      <c r="AP67" s="190" t="s">
        <v>11</v>
      </c>
      <c r="AQ67" s="190" t="s">
        <v>11</v>
      </c>
      <c r="AR67" s="190" t="s">
        <v>140</v>
      </c>
      <c r="AS67" s="190" t="s">
        <v>11</v>
      </c>
      <c r="AT67" s="190" t="s">
        <v>11</v>
      </c>
      <c r="AU67" s="190" t="s">
        <v>140</v>
      </c>
      <c r="AV67" s="190" t="s">
        <v>11</v>
      </c>
      <c r="AW67" s="190" t="s">
        <v>140</v>
      </c>
      <c r="AX67" s="190"/>
      <c r="AY67" s="190"/>
      <c r="AZ67" s="190"/>
      <c r="BA67" s="190"/>
      <c r="BB67" s="190"/>
      <c r="BC67" s="193"/>
      <c r="BD67" s="203"/>
      <c r="BE67" s="203"/>
      <c r="BF67" s="203"/>
      <c r="BG67" s="243"/>
      <c r="BH67" s="190" t="s">
        <v>11</v>
      </c>
      <c r="BI67" s="190" t="s">
        <v>11</v>
      </c>
      <c r="BJ67" s="190" t="s">
        <v>11</v>
      </c>
      <c r="BK67" s="190" t="s">
        <v>11</v>
      </c>
      <c r="BL67" s="190" t="s">
        <v>11</v>
      </c>
      <c r="BM67" s="190" t="s">
        <v>11</v>
      </c>
      <c r="BN67" s="190" t="s">
        <v>11</v>
      </c>
      <c r="BO67" s="190" t="s">
        <v>11</v>
      </c>
      <c r="BP67" s="190" t="s">
        <v>11</v>
      </c>
      <c r="BQ67" s="270"/>
      <c r="BR67" s="262" t="s">
        <v>141</v>
      </c>
      <c r="BS67" s="271" t="s">
        <v>141</v>
      </c>
      <c r="BT67" s="271" t="s">
        <v>141</v>
      </c>
      <c r="BU67" s="271" t="s">
        <v>141</v>
      </c>
      <c r="BV67" s="262" t="s">
        <v>141</v>
      </c>
      <c r="BW67" s="271" t="s">
        <v>141</v>
      </c>
      <c r="BX67" s="271" t="s">
        <v>11</v>
      </c>
      <c r="BY67" s="271" t="s">
        <v>141</v>
      </c>
      <c r="BZ67" s="271" t="s">
        <v>141</v>
      </c>
      <c r="CA67" s="271" t="s">
        <v>141</v>
      </c>
      <c r="CB67" s="262" t="s">
        <v>141</v>
      </c>
      <c r="CC67" s="260"/>
      <c r="CD67" s="262" t="s">
        <v>141</v>
      </c>
      <c r="CE67" s="262" t="s">
        <v>141</v>
      </c>
      <c r="CF67" s="262" t="s">
        <v>141</v>
      </c>
      <c r="CG67" s="262" t="s">
        <v>141</v>
      </c>
      <c r="CH67" s="262" t="s">
        <v>141</v>
      </c>
      <c r="CI67" s="262" t="s">
        <v>141</v>
      </c>
      <c r="CJ67" s="262" t="s">
        <v>11</v>
      </c>
      <c r="CK67" s="271" t="s">
        <v>141</v>
      </c>
      <c r="CL67" s="271" t="s">
        <v>11</v>
      </c>
      <c r="CM67" s="256" t="s">
        <v>11</v>
      </c>
      <c r="CN67" s="262" t="s">
        <v>141</v>
      </c>
      <c r="CO67" s="206"/>
      <c r="CP67" s="197" t="s">
        <v>11</v>
      </c>
      <c r="CQ67" s="197" t="s">
        <v>11</v>
      </c>
      <c r="CR67" s="197" t="s">
        <v>11</v>
      </c>
      <c r="CS67" s="197" t="s">
        <v>11</v>
      </c>
      <c r="CT67" s="197" t="s">
        <v>11</v>
      </c>
      <c r="CU67" s="197" t="s">
        <v>11</v>
      </c>
      <c r="CV67" s="197" t="s">
        <v>11</v>
      </c>
      <c r="CW67" s="206"/>
      <c r="CX67" s="190" t="s">
        <v>11</v>
      </c>
      <c r="CY67" s="190" t="s">
        <v>11</v>
      </c>
      <c r="CZ67" s="190" t="s">
        <v>11</v>
      </c>
      <c r="DA67" s="190" t="s">
        <v>11</v>
      </c>
      <c r="DB67" s="174" t="s">
        <v>11</v>
      </c>
      <c r="DC67" s="190" t="s">
        <v>11</v>
      </c>
      <c r="DD67" s="190" t="s">
        <v>11</v>
      </c>
      <c r="DE67" s="206"/>
      <c r="DF67" s="190" t="s">
        <v>11</v>
      </c>
      <c r="DG67" s="241"/>
      <c r="DH67" s="241"/>
      <c r="DI67" s="242"/>
      <c r="DJ67" s="242"/>
    </row>
    <row r="68" spans="1:117" ht="12" x14ac:dyDescent="0.2">
      <c r="A68" s="332" t="s">
        <v>308</v>
      </c>
      <c r="B68" s="337" t="s">
        <v>309</v>
      </c>
      <c r="C68" s="335" t="s">
        <v>303</v>
      </c>
      <c r="D68" s="335" t="s">
        <v>236</v>
      </c>
      <c r="E68" s="335" t="s">
        <v>133</v>
      </c>
      <c r="F68" s="338" t="s">
        <v>133</v>
      </c>
      <c r="G68" s="338" t="s">
        <v>222</v>
      </c>
      <c r="H68" s="234">
        <f>10000+2500+12500+5000</f>
        <v>30000</v>
      </c>
      <c r="I68" s="147">
        <v>25000</v>
      </c>
      <c r="J68" s="147" t="s">
        <v>159</v>
      </c>
      <c r="K68" s="147" t="s">
        <v>147</v>
      </c>
      <c r="L68" s="308"/>
      <c r="M68" s="307" t="s">
        <v>138</v>
      </c>
      <c r="N68" s="309" t="s">
        <v>138</v>
      </c>
      <c r="O68" s="227" t="s">
        <v>139</v>
      </c>
      <c r="P68" s="210" t="s">
        <v>140</v>
      </c>
      <c r="Q68" s="211" t="s">
        <v>11</v>
      </c>
      <c r="R68" s="211" t="s">
        <v>11</v>
      </c>
      <c r="S68" s="211" t="s">
        <v>11</v>
      </c>
      <c r="T68" s="213" t="s">
        <v>140</v>
      </c>
      <c r="U68" s="213" t="s">
        <v>11</v>
      </c>
      <c r="V68" s="214" t="s">
        <v>140</v>
      </c>
      <c r="W68" s="213" t="s">
        <v>11</v>
      </c>
      <c r="X68" s="213" t="s">
        <v>11</v>
      </c>
      <c r="Y68" s="214" t="s">
        <v>11</v>
      </c>
      <c r="Z68" s="211" t="s">
        <v>140</v>
      </c>
      <c r="AA68" s="211" t="s">
        <v>11</v>
      </c>
      <c r="AB68" s="211" t="s">
        <v>11</v>
      </c>
      <c r="AC68" s="213" t="s">
        <v>11</v>
      </c>
      <c r="AD68" s="213" t="s">
        <v>11</v>
      </c>
      <c r="AE68" s="210" t="s">
        <v>140</v>
      </c>
      <c r="AF68" s="210" t="s">
        <v>11</v>
      </c>
      <c r="AG68" s="212" t="s">
        <v>11</v>
      </c>
      <c r="AH68" s="219"/>
      <c r="AI68" s="212" t="s">
        <v>140</v>
      </c>
      <c r="AJ68" s="208"/>
      <c r="AK68" s="190" t="s">
        <v>11</v>
      </c>
      <c r="AL68" s="190" t="s">
        <v>11</v>
      </c>
      <c r="AM68" s="249"/>
      <c r="AN68" s="190" t="s">
        <v>11</v>
      </c>
      <c r="AO68" s="190" t="s">
        <v>11</v>
      </c>
      <c r="AP68" s="190" t="s">
        <v>140</v>
      </c>
      <c r="AQ68" s="190" t="s">
        <v>11</v>
      </c>
      <c r="AR68" s="190" t="s">
        <v>140</v>
      </c>
      <c r="AS68" s="190" t="s">
        <v>11</v>
      </c>
      <c r="AT68" s="190" t="s">
        <v>11</v>
      </c>
      <c r="AU68" s="190" t="s">
        <v>11</v>
      </c>
      <c r="AV68" s="190" t="s">
        <v>11</v>
      </c>
      <c r="AW68" s="190" t="s">
        <v>11</v>
      </c>
      <c r="AX68" s="190"/>
      <c r="AY68" s="190"/>
      <c r="AZ68" s="190"/>
      <c r="BA68" s="190"/>
      <c r="BB68" s="190"/>
      <c r="BC68" s="190"/>
      <c r="BD68" s="190"/>
      <c r="BE68" s="190"/>
      <c r="BF68" s="190"/>
      <c r="BG68" s="243"/>
      <c r="BH68" s="190" t="s">
        <v>11</v>
      </c>
      <c r="BI68" s="190" t="s">
        <v>11</v>
      </c>
      <c r="BJ68" s="190" t="s">
        <v>11</v>
      </c>
      <c r="BK68" s="190" t="s">
        <v>11</v>
      </c>
      <c r="BL68" s="190" t="s">
        <v>11</v>
      </c>
      <c r="BM68" s="190" t="s">
        <v>11</v>
      </c>
      <c r="BN68" s="190" t="s">
        <v>11</v>
      </c>
      <c r="BO68" s="190" t="s">
        <v>11</v>
      </c>
      <c r="BP68" s="190" t="s">
        <v>11</v>
      </c>
      <c r="BQ68" s="243"/>
      <c r="BR68" s="190" t="s">
        <v>141</v>
      </c>
      <c r="BS68" s="190" t="s">
        <v>141</v>
      </c>
      <c r="BT68" s="190" t="s">
        <v>141</v>
      </c>
      <c r="BU68" s="190" t="s">
        <v>141</v>
      </c>
      <c r="BV68" s="190" t="s">
        <v>141</v>
      </c>
      <c r="BW68" s="190" t="s">
        <v>141</v>
      </c>
      <c r="BX68" s="190" t="s">
        <v>141</v>
      </c>
      <c r="BY68" s="190" t="s">
        <v>141</v>
      </c>
      <c r="BZ68" s="190" t="s">
        <v>141</v>
      </c>
      <c r="CA68" s="190" t="s">
        <v>11</v>
      </c>
      <c r="CB68" s="190" t="s">
        <v>141</v>
      </c>
      <c r="CC68" s="243"/>
      <c r="CD68" s="190" t="s">
        <v>141</v>
      </c>
      <c r="CE68" s="190" t="s">
        <v>141</v>
      </c>
      <c r="CF68" s="190" t="s">
        <v>141</v>
      </c>
      <c r="CG68" s="190" t="s">
        <v>141</v>
      </c>
      <c r="CH68" s="190" t="s">
        <v>141</v>
      </c>
      <c r="CI68" s="190" t="s">
        <v>141</v>
      </c>
      <c r="CJ68" s="190" t="s">
        <v>141</v>
      </c>
      <c r="CK68" s="190" t="s">
        <v>11</v>
      </c>
      <c r="CL68" s="190" t="s">
        <v>11</v>
      </c>
      <c r="CM68" s="190" t="s">
        <v>11</v>
      </c>
      <c r="CN68" s="190" t="s">
        <v>141</v>
      </c>
      <c r="CO68" s="222"/>
      <c r="CP68" s="197" t="s">
        <v>11</v>
      </c>
      <c r="CQ68" s="197" t="s">
        <v>11</v>
      </c>
      <c r="CR68" s="197" t="s">
        <v>11</v>
      </c>
      <c r="CS68" s="197" t="s">
        <v>11</v>
      </c>
      <c r="CT68" s="209" t="s">
        <v>11</v>
      </c>
      <c r="CU68" s="197" t="s">
        <v>11</v>
      </c>
      <c r="CV68" s="197" t="s">
        <v>11</v>
      </c>
      <c r="CW68" s="206"/>
      <c r="CX68" s="197" t="s">
        <v>11</v>
      </c>
      <c r="CY68" s="197" t="s">
        <v>11</v>
      </c>
      <c r="CZ68" s="197" t="s">
        <v>11</v>
      </c>
      <c r="DA68" s="197" t="s">
        <v>11</v>
      </c>
      <c r="DB68" s="197" t="s">
        <v>11</v>
      </c>
      <c r="DC68" s="197" t="s">
        <v>11</v>
      </c>
      <c r="DD68" s="197" t="s">
        <v>11</v>
      </c>
      <c r="DE68" s="243"/>
      <c r="DF68" s="190" t="s">
        <v>11</v>
      </c>
      <c r="DG68" s="241"/>
      <c r="DH68" s="241"/>
      <c r="DI68" s="242"/>
      <c r="DJ68" s="242"/>
    </row>
    <row r="69" spans="1:117" ht="12" x14ac:dyDescent="0.2">
      <c r="A69" s="332" t="s">
        <v>310</v>
      </c>
      <c r="B69" s="337" t="s">
        <v>311</v>
      </c>
      <c r="C69" s="338" t="s">
        <v>312</v>
      </c>
      <c r="D69" s="335" t="s">
        <v>236</v>
      </c>
      <c r="E69" s="335" t="s">
        <v>133</v>
      </c>
      <c r="F69" s="338" t="s">
        <v>221</v>
      </c>
      <c r="G69" s="338" t="s">
        <v>222</v>
      </c>
      <c r="H69" s="234">
        <v>119100</v>
      </c>
      <c r="I69" s="147"/>
      <c r="J69" s="147" t="s">
        <v>232</v>
      </c>
      <c r="K69" s="147"/>
      <c r="L69" s="308" t="s">
        <v>147</v>
      </c>
      <c r="M69" s="307" t="s">
        <v>147</v>
      </c>
      <c r="N69" s="309" t="s">
        <v>138</v>
      </c>
      <c r="O69" s="227" t="s">
        <v>139</v>
      </c>
      <c r="P69" s="210" t="s">
        <v>140</v>
      </c>
      <c r="Q69" s="211" t="s">
        <v>11</v>
      </c>
      <c r="R69" s="211" t="s">
        <v>140</v>
      </c>
      <c r="S69" s="211" t="s">
        <v>140</v>
      </c>
      <c r="T69" s="213" t="s">
        <v>140</v>
      </c>
      <c r="U69" s="213" t="s">
        <v>140</v>
      </c>
      <c r="V69" s="214" t="s">
        <v>140</v>
      </c>
      <c r="W69" s="213" t="s">
        <v>11</v>
      </c>
      <c r="X69" s="213" t="s">
        <v>140</v>
      </c>
      <c r="Y69" s="214" t="s">
        <v>140</v>
      </c>
      <c r="Z69" s="211" t="s">
        <v>140</v>
      </c>
      <c r="AA69" s="211" t="s">
        <v>11</v>
      </c>
      <c r="AB69" s="211" t="s">
        <v>140</v>
      </c>
      <c r="AC69" s="213" t="s">
        <v>11</v>
      </c>
      <c r="AD69" s="213" t="s">
        <v>11</v>
      </c>
      <c r="AE69" s="210" t="s">
        <v>140</v>
      </c>
      <c r="AF69" s="210" t="s">
        <v>140</v>
      </c>
      <c r="AG69" s="212" t="s">
        <v>140</v>
      </c>
      <c r="AH69" s="219"/>
      <c r="AI69" s="212" t="s">
        <v>140</v>
      </c>
      <c r="AJ69" s="208"/>
      <c r="AK69" s="190" t="s">
        <v>140</v>
      </c>
      <c r="AL69" s="190" t="s">
        <v>140</v>
      </c>
      <c r="AM69" s="249"/>
      <c r="AN69" s="190" t="s">
        <v>148</v>
      </c>
      <c r="AO69" s="190" t="s">
        <v>148</v>
      </c>
      <c r="AP69" s="190" t="s">
        <v>140</v>
      </c>
      <c r="AQ69" s="190" t="s">
        <v>140</v>
      </c>
      <c r="AR69" s="190" t="s">
        <v>140</v>
      </c>
      <c r="AS69" s="190" t="s">
        <v>140</v>
      </c>
      <c r="AT69" s="190" t="s">
        <v>140</v>
      </c>
      <c r="AU69" s="190" t="s">
        <v>140</v>
      </c>
      <c r="AV69" s="190" t="s">
        <v>140</v>
      </c>
      <c r="AW69" s="190" t="s">
        <v>11</v>
      </c>
      <c r="AX69" s="190"/>
      <c r="AY69" s="190"/>
      <c r="AZ69" s="190"/>
      <c r="BA69" s="190"/>
      <c r="BB69" s="190"/>
      <c r="BC69" s="190"/>
      <c r="BD69" s="190"/>
      <c r="BE69" s="190"/>
      <c r="BF69" s="190"/>
      <c r="BG69" s="243"/>
      <c r="BH69" s="190" t="s">
        <v>225</v>
      </c>
      <c r="BI69" s="190">
        <v>45900</v>
      </c>
      <c r="BJ69" s="190">
        <v>2694521</v>
      </c>
      <c r="BK69" s="334">
        <v>45937</v>
      </c>
      <c r="BL69" s="190" t="s">
        <v>148</v>
      </c>
      <c r="BM69" s="190" t="s">
        <v>148</v>
      </c>
      <c r="BN69" s="190"/>
      <c r="BO69" s="190" t="s">
        <v>148</v>
      </c>
      <c r="BP69" s="190"/>
      <c r="BQ69" s="243"/>
      <c r="BR69" s="190" t="s">
        <v>141</v>
      </c>
      <c r="BS69" s="190" t="s">
        <v>141</v>
      </c>
      <c r="BT69" s="190" t="s">
        <v>141</v>
      </c>
      <c r="BU69" s="190" t="s">
        <v>141</v>
      </c>
      <c r="BV69" s="190" t="s">
        <v>141</v>
      </c>
      <c r="BW69" s="190" t="s">
        <v>141</v>
      </c>
      <c r="BX69" s="190" t="s">
        <v>141</v>
      </c>
      <c r="BY69" s="190" t="s">
        <v>141</v>
      </c>
      <c r="BZ69" s="190" t="s">
        <v>141</v>
      </c>
      <c r="CA69" s="190" t="s">
        <v>141</v>
      </c>
      <c r="CB69" s="190" t="s">
        <v>141</v>
      </c>
      <c r="CC69" s="243"/>
      <c r="CD69" s="190" t="s">
        <v>142</v>
      </c>
      <c r="CE69" s="190" t="s">
        <v>142</v>
      </c>
      <c r="CF69" s="190" t="s">
        <v>142</v>
      </c>
      <c r="CG69" s="190" t="s">
        <v>142</v>
      </c>
      <c r="CH69" s="190" t="s">
        <v>142</v>
      </c>
      <c r="CI69" s="190" t="s">
        <v>142</v>
      </c>
      <c r="CJ69" s="190" t="s">
        <v>142</v>
      </c>
      <c r="CK69" s="190" t="s">
        <v>142</v>
      </c>
      <c r="CL69" s="190" t="s">
        <v>142</v>
      </c>
      <c r="CM69" s="190" t="s">
        <v>142</v>
      </c>
      <c r="CN69" s="190" t="s">
        <v>142</v>
      </c>
      <c r="CO69" s="222"/>
      <c r="CP69" s="197" t="s">
        <v>140</v>
      </c>
      <c r="CQ69" s="197" t="s">
        <v>140</v>
      </c>
      <c r="CR69" s="197" t="s">
        <v>11</v>
      </c>
      <c r="CS69" s="197" t="s">
        <v>148</v>
      </c>
      <c r="CT69" s="209" t="s">
        <v>148</v>
      </c>
      <c r="CU69" s="197" t="s">
        <v>148</v>
      </c>
      <c r="CV69" s="197" t="s">
        <v>148</v>
      </c>
      <c r="CW69" s="206"/>
      <c r="CX69" s="197" t="s">
        <v>140</v>
      </c>
      <c r="CY69" s="197" t="s">
        <v>148</v>
      </c>
      <c r="CZ69" s="197" t="s">
        <v>148</v>
      </c>
      <c r="DA69" s="197" t="s">
        <v>148</v>
      </c>
      <c r="DB69" s="197" t="s">
        <v>148</v>
      </c>
      <c r="DC69" s="197" t="s">
        <v>148</v>
      </c>
      <c r="DD69" s="197" t="s">
        <v>148</v>
      </c>
      <c r="DE69" s="243"/>
      <c r="DF69" s="190" t="s">
        <v>11</v>
      </c>
      <c r="DG69" s="241"/>
      <c r="DH69" s="241"/>
      <c r="DI69" s="242"/>
      <c r="DJ69" s="242"/>
    </row>
    <row r="70" spans="1:117" ht="12" x14ac:dyDescent="0.2">
      <c r="A70" s="332" t="s">
        <v>313</v>
      </c>
      <c r="B70" s="337" t="s">
        <v>314</v>
      </c>
      <c r="C70" s="338" t="s">
        <v>133</v>
      </c>
      <c r="D70" s="335" t="s">
        <v>236</v>
      </c>
      <c r="E70" s="335" t="s">
        <v>133</v>
      </c>
      <c r="F70" s="338" t="s">
        <v>221</v>
      </c>
      <c r="G70" s="338" t="s">
        <v>222</v>
      </c>
      <c r="H70" s="234" t="s">
        <v>202</v>
      </c>
      <c r="I70" s="147"/>
      <c r="J70" s="147"/>
      <c r="K70" s="147" t="s">
        <v>11</v>
      </c>
      <c r="L70" s="308" t="s">
        <v>11</v>
      </c>
      <c r="M70" s="307" t="s">
        <v>11</v>
      </c>
      <c r="N70" s="309" t="s">
        <v>138</v>
      </c>
      <c r="O70" s="227" t="s">
        <v>139</v>
      </c>
      <c r="P70" s="210" t="s">
        <v>11</v>
      </c>
      <c r="Q70" s="211" t="s">
        <v>11</v>
      </c>
      <c r="R70" s="211" t="s">
        <v>11</v>
      </c>
      <c r="S70" s="211" t="s">
        <v>11</v>
      </c>
      <c r="T70" s="213" t="s">
        <v>11</v>
      </c>
      <c r="U70" s="211" t="s">
        <v>11</v>
      </c>
      <c r="V70" s="214" t="s">
        <v>11</v>
      </c>
      <c r="W70" s="213" t="s">
        <v>11</v>
      </c>
      <c r="X70" s="213" t="s">
        <v>11</v>
      </c>
      <c r="Y70" s="214" t="s">
        <v>11</v>
      </c>
      <c r="Z70" s="211" t="s">
        <v>140</v>
      </c>
      <c r="AA70" s="211" t="s">
        <v>140</v>
      </c>
      <c r="AB70" s="211" t="s">
        <v>140</v>
      </c>
      <c r="AC70" s="213" t="s">
        <v>11</v>
      </c>
      <c r="AD70" s="213" t="s">
        <v>11</v>
      </c>
      <c r="AE70" s="210" t="s">
        <v>11</v>
      </c>
      <c r="AF70" s="210" t="s">
        <v>11</v>
      </c>
      <c r="AG70" s="212" t="s">
        <v>11</v>
      </c>
      <c r="AH70" s="219"/>
      <c r="AI70" s="212" t="s">
        <v>11</v>
      </c>
      <c r="AJ70" s="208"/>
      <c r="AK70" s="203"/>
      <c r="AL70" s="203"/>
      <c r="AM70" s="249"/>
      <c r="AN70" s="190" t="s">
        <v>11</v>
      </c>
      <c r="AO70" s="190" t="s">
        <v>11</v>
      </c>
      <c r="AP70" s="190" t="s">
        <v>11</v>
      </c>
      <c r="AQ70" s="190" t="s">
        <v>11</v>
      </c>
      <c r="AR70" s="190" t="s">
        <v>11</v>
      </c>
      <c r="AS70" s="190" t="s">
        <v>11</v>
      </c>
      <c r="AT70" s="190" t="s">
        <v>11</v>
      </c>
      <c r="AU70" s="190" t="s">
        <v>11</v>
      </c>
      <c r="AV70" s="190"/>
      <c r="AW70" s="190"/>
      <c r="AX70" s="190"/>
      <c r="AY70" s="190"/>
      <c r="AZ70" s="190"/>
      <c r="BA70" s="190"/>
      <c r="BB70" s="190"/>
      <c r="BC70" s="190"/>
      <c r="BD70" s="190"/>
      <c r="BE70" s="190"/>
      <c r="BF70" s="190"/>
      <c r="BG70" s="243"/>
      <c r="BH70" s="190"/>
      <c r="BI70" s="190"/>
      <c r="BJ70" s="190"/>
      <c r="BK70" s="190"/>
      <c r="BL70" s="190"/>
      <c r="BM70" s="190"/>
      <c r="BN70" s="190"/>
      <c r="BO70" s="190"/>
      <c r="BP70" s="190"/>
      <c r="BQ70" s="243"/>
      <c r="BR70" s="190"/>
      <c r="BS70" s="190"/>
      <c r="BT70" s="190"/>
      <c r="BU70" s="190"/>
      <c r="BV70" s="190"/>
      <c r="BW70" s="190"/>
      <c r="BX70" s="190"/>
      <c r="BY70" s="190"/>
      <c r="BZ70" s="190"/>
      <c r="CA70" s="190"/>
      <c r="CB70" s="190"/>
      <c r="CC70" s="243"/>
      <c r="CD70" s="190"/>
      <c r="CE70" s="190"/>
      <c r="CF70" s="190"/>
      <c r="CG70" s="190"/>
      <c r="CH70" s="190"/>
      <c r="CI70" s="190"/>
      <c r="CJ70" s="190"/>
      <c r="CK70" s="190"/>
      <c r="CL70" s="190"/>
      <c r="CM70" s="190"/>
      <c r="CN70" s="190"/>
      <c r="CO70" s="222"/>
      <c r="CP70" s="197"/>
      <c r="CQ70" s="197"/>
      <c r="CR70" s="197"/>
      <c r="CS70" s="197"/>
      <c r="CT70" s="209"/>
      <c r="CU70" s="197"/>
      <c r="CV70" s="197"/>
      <c r="CW70" s="206"/>
      <c r="CX70" s="197"/>
      <c r="CY70" s="197"/>
      <c r="CZ70" s="197"/>
      <c r="DA70" s="197"/>
      <c r="DB70" s="197"/>
      <c r="DC70" s="197"/>
      <c r="DD70" s="197"/>
      <c r="DE70" s="243"/>
      <c r="DF70" s="190"/>
      <c r="DG70" s="241"/>
      <c r="DH70" s="241"/>
      <c r="DI70" s="242"/>
      <c r="DJ70" s="242"/>
    </row>
    <row r="71" spans="1:117" ht="12" x14ac:dyDescent="0.2">
      <c r="A71" s="342" t="s">
        <v>315</v>
      </c>
      <c r="B71" s="342" t="s">
        <v>316</v>
      </c>
      <c r="C71" s="338" t="s">
        <v>312</v>
      </c>
      <c r="D71" s="340" t="s">
        <v>236</v>
      </c>
      <c r="E71" s="340" t="s">
        <v>133</v>
      </c>
      <c r="F71" s="341" t="s">
        <v>221</v>
      </c>
      <c r="G71" s="340" t="s">
        <v>222</v>
      </c>
      <c r="H71" s="320" t="s">
        <v>11</v>
      </c>
      <c r="I71" s="307" t="s">
        <v>317</v>
      </c>
      <c r="J71" s="307"/>
      <c r="K71" s="307" t="s">
        <v>11</v>
      </c>
      <c r="L71" s="307" t="s">
        <v>11</v>
      </c>
      <c r="M71" s="307" t="s">
        <v>11</v>
      </c>
      <c r="N71" s="307" t="s">
        <v>138</v>
      </c>
      <c r="O71" s="298" t="s">
        <v>139</v>
      </c>
      <c r="P71" s="298" t="s">
        <v>11</v>
      </c>
      <c r="Q71" s="333" t="s">
        <v>11</v>
      </c>
      <c r="R71" s="298" t="s">
        <v>11</v>
      </c>
      <c r="S71" s="333" t="s">
        <v>11</v>
      </c>
      <c r="T71" s="347" t="s">
        <v>11</v>
      </c>
      <c r="U71" s="333" t="s">
        <v>11</v>
      </c>
      <c r="V71" s="214" t="s">
        <v>11</v>
      </c>
      <c r="W71" s="347" t="s">
        <v>11</v>
      </c>
      <c r="X71" s="347" t="s">
        <v>11</v>
      </c>
      <c r="Y71" s="192" t="s">
        <v>11</v>
      </c>
      <c r="Z71" s="298" t="s">
        <v>11</v>
      </c>
      <c r="AA71" s="211" t="s">
        <v>11</v>
      </c>
      <c r="AB71" s="211" t="s">
        <v>11</v>
      </c>
      <c r="AC71" s="213" t="s">
        <v>11</v>
      </c>
      <c r="AD71" s="213" t="s">
        <v>11</v>
      </c>
      <c r="AE71" s="192" t="s">
        <v>140</v>
      </c>
      <c r="AF71" s="348" t="s">
        <v>11</v>
      </c>
      <c r="AG71" s="192" t="s">
        <v>11</v>
      </c>
      <c r="AH71" s="192"/>
      <c r="AI71" s="298" t="s">
        <v>11</v>
      </c>
      <c r="AJ71" s="187"/>
      <c r="AK71" s="298"/>
      <c r="AL71" s="298"/>
      <c r="AM71" s="187"/>
      <c r="AN71" s="298" t="s">
        <v>11</v>
      </c>
      <c r="AO71" s="298" t="s">
        <v>11</v>
      </c>
      <c r="AP71" s="298" t="s">
        <v>11</v>
      </c>
      <c r="AQ71" s="298" t="s">
        <v>11</v>
      </c>
      <c r="AR71" s="298" t="s">
        <v>11</v>
      </c>
      <c r="AS71" s="298" t="s">
        <v>11</v>
      </c>
      <c r="AT71" s="298" t="s">
        <v>11</v>
      </c>
      <c r="AU71" s="298" t="s">
        <v>11</v>
      </c>
      <c r="AV71" s="199"/>
      <c r="AW71" s="199"/>
      <c r="AX71" s="199"/>
      <c r="AY71" s="199"/>
      <c r="AZ71" s="199"/>
      <c r="BA71" s="199"/>
      <c r="BB71" s="192"/>
      <c r="BC71" s="199"/>
      <c r="BD71" s="199"/>
      <c r="BE71" s="199"/>
      <c r="BF71" s="199"/>
      <c r="BG71" s="187"/>
      <c r="BH71" s="298" t="s">
        <v>11</v>
      </c>
      <c r="BI71" s="298" t="s">
        <v>11</v>
      </c>
      <c r="BJ71" s="298" t="s">
        <v>11</v>
      </c>
      <c r="BK71" s="298" t="s">
        <v>11</v>
      </c>
      <c r="BL71" s="298" t="s">
        <v>11</v>
      </c>
      <c r="BM71" s="298" t="s">
        <v>11</v>
      </c>
      <c r="BN71" s="298" t="s">
        <v>11</v>
      </c>
      <c r="BO71" s="298" t="s">
        <v>11</v>
      </c>
      <c r="BP71" s="298" t="s">
        <v>11</v>
      </c>
      <c r="BQ71" s="187"/>
      <c r="BR71" s="298" t="s">
        <v>11</v>
      </c>
      <c r="BS71" s="298" t="s">
        <v>11</v>
      </c>
      <c r="BT71" s="298" t="s">
        <v>11</v>
      </c>
      <c r="BU71" s="298" t="s">
        <v>11</v>
      </c>
      <c r="BV71" s="298" t="s">
        <v>11</v>
      </c>
      <c r="BW71" s="298" t="s">
        <v>11</v>
      </c>
      <c r="BX71" s="298" t="s">
        <v>11</v>
      </c>
      <c r="BY71" s="298" t="s">
        <v>11</v>
      </c>
      <c r="BZ71" s="298" t="s">
        <v>11</v>
      </c>
      <c r="CA71" s="298" t="s">
        <v>11</v>
      </c>
      <c r="CB71" s="298" t="s">
        <v>11</v>
      </c>
      <c r="CC71" s="187"/>
      <c r="CD71" s="298" t="s">
        <v>11</v>
      </c>
      <c r="CE71" s="298" t="s">
        <v>11</v>
      </c>
      <c r="CF71" s="298" t="s">
        <v>11</v>
      </c>
      <c r="CG71" s="298" t="s">
        <v>11</v>
      </c>
      <c r="CH71" s="298" t="s">
        <v>11</v>
      </c>
      <c r="CI71" s="298" t="s">
        <v>11</v>
      </c>
      <c r="CJ71" s="298" t="s">
        <v>11</v>
      </c>
      <c r="CK71" s="298" t="s">
        <v>11</v>
      </c>
      <c r="CL71" s="298" t="s">
        <v>11</v>
      </c>
      <c r="CM71" s="298" t="s">
        <v>11</v>
      </c>
      <c r="CN71" s="298" t="s">
        <v>11</v>
      </c>
      <c r="CO71" s="187"/>
      <c r="CP71" s="298" t="s">
        <v>11</v>
      </c>
      <c r="CQ71" s="298" t="s">
        <v>11</v>
      </c>
      <c r="CR71" s="298" t="s">
        <v>11</v>
      </c>
      <c r="CS71" s="298" t="s">
        <v>11</v>
      </c>
      <c r="CT71" s="298" t="s">
        <v>11</v>
      </c>
      <c r="CU71" s="298" t="s">
        <v>11</v>
      </c>
      <c r="CV71" s="298" t="s">
        <v>11</v>
      </c>
      <c r="CW71" s="206"/>
      <c r="CX71" s="298" t="s">
        <v>11</v>
      </c>
      <c r="CY71" s="298" t="s">
        <v>11</v>
      </c>
      <c r="CZ71" s="298" t="s">
        <v>11</v>
      </c>
      <c r="DA71" s="298" t="s">
        <v>11</v>
      </c>
      <c r="DB71" s="298" t="s">
        <v>11</v>
      </c>
      <c r="DC71" s="298" t="s">
        <v>11</v>
      </c>
      <c r="DD71" s="298" t="s">
        <v>11</v>
      </c>
      <c r="DE71" s="187"/>
      <c r="DF71" s="298" t="s">
        <v>11</v>
      </c>
      <c r="DG71" s="241"/>
      <c r="DH71" s="241"/>
      <c r="DI71" s="242"/>
      <c r="DJ71" s="242"/>
    </row>
    <row r="72" spans="1:117" ht="12" x14ac:dyDescent="0.2">
      <c r="A72" s="339" t="s">
        <v>318</v>
      </c>
      <c r="B72" s="342" t="s">
        <v>316</v>
      </c>
      <c r="C72" s="338" t="s">
        <v>312</v>
      </c>
      <c r="D72" s="340" t="s">
        <v>236</v>
      </c>
      <c r="E72" s="340" t="s">
        <v>133</v>
      </c>
      <c r="F72" s="341" t="s">
        <v>221</v>
      </c>
      <c r="G72" s="340" t="s">
        <v>222</v>
      </c>
      <c r="H72" s="320" t="s">
        <v>11</v>
      </c>
      <c r="I72" s="307" t="s">
        <v>202</v>
      </c>
      <c r="J72" s="307"/>
      <c r="K72" s="307" t="s">
        <v>11</v>
      </c>
      <c r="L72" s="307" t="s">
        <v>11</v>
      </c>
      <c r="M72" s="307" t="s">
        <v>11</v>
      </c>
      <c r="N72" s="307" t="s">
        <v>138</v>
      </c>
      <c r="O72" s="298" t="s">
        <v>139</v>
      </c>
      <c r="P72" s="298" t="s">
        <v>11</v>
      </c>
      <c r="Q72" s="333" t="s">
        <v>11</v>
      </c>
      <c r="R72" s="298" t="s">
        <v>11</v>
      </c>
      <c r="S72" s="333" t="s">
        <v>11</v>
      </c>
      <c r="T72" s="347" t="s">
        <v>11</v>
      </c>
      <c r="U72" s="333" t="s">
        <v>11</v>
      </c>
      <c r="V72" s="214" t="s">
        <v>11</v>
      </c>
      <c r="W72" s="347" t="s">
        <v>11</v>
      </c>
      <c r="X72" s="347" t="s">
        <v>11</v>
      </c>
      <c r="Y72" s="192" t="s">
        <v>11</v>
      </c>
      <c r="Z72" s="298" t="s">
        <v>11</v>
      </c>
      <c r="AA72" s="211" t="s">
        <v>11</v>
      </c>
      <c r="AB72" s="211" t="s">
        <v>11</v>
      </c>
      <c r="AC72" s="213" t="s">
        <v>11</v>
      </c>
      <c r="AD72" s="213" t="s">
        <v>11</v>
      </c>
      <c r="AE72" s="192" t="s">
        <v>140</v>
      </c>
      <c r="AF72" s="348" t="s">
        <v>11</v>
      </c>
      <c r="AG72" s="192" t="s">
        <v>11</v>
      </c>
      <c r="AH72" s="192"/>
      <c r="AI72" s="298" t="s">
        <v>11</v>
      </c>
      <c r="AJ72" s="187"/>
      <c r="AK72" s="298"/>
      <c r="AL72" s="298"/>
      <c r="AM72" s="187"/>
      <c r="AN72" s="298" t="s">
        <v>11</v>
      </c>
      <c r="AO72" s="298" t="s">
        <v>11</v>
      </c>
      <c r="AP72" s="298" t="s">
        <v>11</v>
      </c>
      <c r="AQ72" s="298" t="s">
        <v>11</v>
      </c>
      <c r="AR72" s="298" t="s">
        <v>11</v>
      </c>
      <c r="AS72" s="298" t="s">
        <v>11</v>
      </c>
      <c r="AT72" s="298" t="s">
        <v>11</v>
      </c>
      <c r="AU72" s="298" t="s">
        <v>11</v>
      </c>
      <c r="AV72" s="199"/>
      <c r="AW72" s="199"/>
      <c r="AX72" s="199"/>
      <c r="AY72" s="199"/>
      <c r="AZ72" s="199"/>
      <c r="BA72" s="199"/>
      <c r="BB72" s="192"/>
      <c r="BC72" s="199"/>
      <c r="BD72" s="199"/>
      <c r="BE72" s="199"/>
      <c r="BF72" s="199"/>
      <c r="BG72" s="187"/>
      <c r="BH72" s="298" t="s">
        <v>11</v>
      </c>
      <c r="BI72" s="298" t="s">
        <v>11</v>
      </c>
      <c r="BJ72" s="298" t="s">
        <v>11</v>
      </c>
      <c r="BK72" s="298" t="s">
        <v>11</v>
      </c>
      <c r="BL72" s="298" t="s">
        <v>11</v>
      </c>
      <c r="BM72" s="298" t="s">
        <v>11</v>
      </c>
      <c r="BN72" s="298" t="s">
        <v>11</v>
      </c>
      <c r="BO72" s="298" t="s">
        <v>11</v>
      </c>
      <c r="BP72" s="298" t="s">
        <v>11</v>
      </c>
      <c r="BQ72" s="187"/>
      <c r="BR72" s="298" t="s">
        <v>11</v>
      </c>
      <c r="BS72" s="298" t="s">
        <v>11</v>
      </c>
      <c r="BT72" s="298" t="s">
        <v>11</v>
      </c>
      <c r="BU72" s="298" t="s">
        <v>11</v>
      </c>
      <c r="BV72" s="298" t="s">
        <v>11</v>
      </c>
      <c r="BW72" s="298" t="s">
        <v>11</v>
      </c>
      <c r="BX72" s="298" t="s">
        <v>11</v>
      </c>
      <c r="BY72" s="298" t="s">
        <v>11</v>
      </c>
      <c r="BZ72" s="298" t="s">
        <v>11</v>
      </c>
      <c r="CA72" s="298" t="s">
        <v>11</v>
      </c>
      <c r="CB72" s="298" t="s">
        <v>11</v>
      </c>
      <c r="CC72" s="187"/>
      <c r="CD72" s="298" t="s">
        <v>11</v>
      </c>
      <c r="CE72" s="298" t="s">
        <v>11</v>
      </c>
      <c r="CF72" s="298" t="s">
        <v>11</v>
      </c>
      <c r="CG72" s="298" t="s">
        <v>11</v>
      </c>
      <c r="CH72" s="298" t="s">
        <v>11</v>
      </c>
      <c r="CI72" s="298" t="s">
        <v>11</v>
      </c>
      <c r="CJ72" s="298" t="s">
        <v>11</v>
      </c>
      <c r="CK72" s="298" t="s">
        <v>11</v>
      </c>
      <c r="CL72" s="298" t="s">
        <v>11</v>
      </c>
      <c r="CM72" s="298" t="s">
        <v>11</v>
      </c>
      <c r="CN72" s="298" t="s">
        <v>11</v>
      </c>
      <c r="CO72" s="187"/>
      <c r="CP72" s="298" t="s">
        <v>11</v>
      </c>
      <c r="CQ72" s="298" t="s">
        <v>11</v>
      </c>
      <c r="CR72" s="298" t="s">
        <v>11</v>
      </c>
      <c r="CS72" s="298" t="s">
        <v>11</v>
      </c>
      <c r="CT72" s="298" t="s">
        <v>11</v>
      </c>
      <c r="CU72" s="298" t="s">
        <v>11</v>
      </c>
      <c r="CV72" s="298" t="s">
        <v>11</v>
      </c>
      <c r="CW72" s="206"/>
      <c r="CX72" s="298" t="s">
        <v>11</v>
      </c>
      <c r="CY72" s="298" t="s">
        <v>11</v>
      </c>
      <c r="CZ72" s="298" t="s">
        <v>11</v>
      </c>
      <c r="DA72" s="298" t="s">
        <v>11</v>
      </c>
      <c r="DB72" s="298" t="s">
        <v>11</v>
      </c>
      <c r="DC72" s="298" t="s">
        <v>11</v>
      </c>
      <c r="DD72" s="298" t="s">
        <v>11</v>
      </c>
      <c r="DE72" s="187"/>
      <c r="DF72" s="298" t="s">
        <v>11</v>
      </c>
      <c r="DG72" s="241"/>
      <c r="DH72" s="241"/>
      <c r="DI72" s="242"/>
      <c r="DJ72" s="242"/>
    </row>
    <row r="73" spans="1:117" ht="12" x14ac:dyDescent="0.2">
      <c r="A73" s="339" t="s">
        <v>319</v>
      </c>
      <c r="B73" s="342"/>
      <c r="C73" s="335" t="s">
        <v>303</v>
      </c>
      <c r="D73" s="340" t="s">
        <v>236</v>
      </c>
      <c r="E73" s="340"/>
      <c r="F73" s="341"/>
      <c r="G73" s="340" t="s">
        <v>222</v>
      </c>
      <c r="H73" s="320"/>
      <c r="I73" s="307"/>
      <c r="J73" s="307"/>
      <c r="K73" s="307"/>
      <c r="L73" s="307"/>
      <c r="M73" s="307"/>
      <c r="N73" s="307"/>
      <c r="O73" s="298"/>
      <c r="P73" s="298" t="s">
        <v>148</v>
      </c>
      <c r="Q73" s="333" t="s">
        <v>11</v>
      </c>
      <c r="R73" s="298" t="s">
        <v>11</v>
      </c>
      <c r="S73" s="333" t="s">
        <v>11</v>
      </c>
      <c r="T73" s="347" t="s">
        <v>11</v>
      </c>
      <c r="U73" s="333" t="s">
        <v>11</v>
      </c>
      <c r="V73" s="214" t="s">
        <v>140</v>
      </c>
      <c r="W73" s="347" t="s">
        <v>11</v>
      </c>
      <c r="X73" s="347" t="s">
        <v>11</v>
      </c>
      <c r="Y73" s="192" t="s">
        <v>11</v>
      </c>
      <c r="Z73" s="298" t="s">
        <v>11</v>
      </c>
      <c r="AA73" s="211" t="s">
        <v>11</v>
      </c>
      <c r="AB73" s="211" t="s">
        <v>11</v>
      </c>
      <c r="AC73" s="213" t="s">
        <v>11</v>
      </c>
      <c r="AD73" s="213" t="s">
        <v>11</v>
      </c>
      <c r="AE73" s="192" t="s">
        <v>148</v>
      </c>
      <c r="AF73" s="192" t="s">
        <v>11</v>
      </c>
      <c r="AG73" s="192" t="s">
        <v>140</v>
      </c>
      <c r="AH73" s="192"/>
      <c r="AI73" s="298" t="s">
        <v>11</v>
      </c>
      <c r="AJ73" s="187"/>
      <c r="AK73" s="298"/>
      <c r="AL73" s="298"/>
      <c r="AM73" s="187"/>
      <c r="AN73" s="298"/>
      <c r="AO73" s="298"/>
      <c r="AP73" s="298"/>
      <c r="AQ73" s="298"/>
      <c r="AR73" s="298"/>
      <c r="AS73" s="298"/>
      <c r="AT73" s="298"/>
      <c r="AU73" s="298"/>
      <c r="AV73" s="199"/>
      <c r="AW73" s="199"/>
      <c r="AX73" s="199"/>
      <c r="AY73" s="199"/>
      <c r="AZ73" s="199"/>
      <c r="BA73" s="199"/>
      <c r="BB73" s="192"/>
      <c r="BC73" s="199"/>
      <c r="BD73" s="199"/>
      <c r="BE73" s="199"/>
      <c r="BF73" s="199"/>
      <c r="BG73" s="187"/>
      <c r="BH73" s="298"/>
      <c r="BI73" s="298"/>
      <c r="BJ73" s="298"/>
      <c r="BK73" s="298"/>
      <c r="BL73" s="298"/>
      <c r="BM73" s="298"/>
      <c r="BN73" s="298"/>
      <c r="BO73" s="298"/>
      <c r="BP73" s="298"/>
      <c r="BQ73" s="187"/>
      <c r="BR73" s="298"/>
      <c r="BS73" s="298"/>
      <c r="BT73" s="298"/>
      <c r="BU73" s="298"/>
      <c r="BV73" s="298"/>
      <c r="BW73" s="298"/>
      <c r="BX73" s="298"/>
      <c r="BY73" s="298"/>
      <c r="BZ73" s="298"/>
      <c r="CA73" s="298"/>
      <c r="CB73" s="298"/>
      <c r="CC73" s="187"/>
      <c r="CD73" s="298"/>
      <c r="CE73" s="298"/>
      <c r="CF73" s="298"/>
      <c r="CG73" s="298"/>
      <c r="CH73" s="298"/>
      <c r="CI73" s="298"/>
      <c r="CJ73" s="298"/>
      <c r="CK73" s="298"/>
      <c r="CL73" s="298"/>
      <c r="CM73" s="298"/>
      <c r="CN73" s="298"/>
      <c r="CO73" s="187"/>
      <c r="CP73" s="298"/>
      <c r="CQ73" s="298"/>
      <c r="CR73" s="298"/>
      <c r="CS73" s="298"/>
      <c r="CT73" s="298"/>
      <c r="CU73" s="298"/>
      <c r="CV73" s="298"/>
      <c r="CW73" s="206"/>
      <c r="CX73" s="298"/>
      <c r="CY73" s="298"/>
      <c r="CZ73" s="298"/>
      <c r="DA73" s="298"/>
      <c r="DB73" s="298"/>
      <c r="DC73" s="298"/>
      <c r="DD73" s="298"/>
      <c r="DE73" s="187"/>
      <c r="DF73" s="298"/>
      <c r="DG73" s="241"/>
      <c r="DH73" s="241"/>
      <c r="DI73" s="242"/>
      <c r="DJ73" s="242"/>
    </row>
    <row r="74" spans="1:117" ht="12" x14ac:dyDescent="0.2">
      <c r="A74" s="142"/>
      <c r="B74" s="142"/>
      <c r="C74" s="151"/>
      <c r="D74" s="151"/>
      <c r="E74" s="151"/>
      <c r="F74" s="151"/>
      <c r="G74" s="151"/>
      <c r="H74" s="236"/>
      <c r="I74" s="151"/>
      <c r="J74" s="151"/>
      <c r="K74" s="151"/>
      <c r="L74" s="151"/>
      <c r="M74" s="151"/>
      <c r="N74" s="151"/>
      <c r="O74" s="228"/>
      <c r="P74" s="174"/>
      <c r="Q74" s="174"/>
      <c r="R74" s="174"/>
      <c r="S74" s="174"/>
      <c r="T74" s="174"/>
      <c r="U74" s="174"/>
      <c r="V74" s="174"/>
      <c r="W74" s="174"/>
      <c r="X74" s="174"/>
      <c r="Y74" s="174"/>
      <c r="Z74" s="174"/>
      <c r="AA74" s="174"/>
      <c r="AB74" s="174"/>
      <c r="AC74" s="174"/>
      <c r="AD74" s="174"/>
      <c r="AE74" s="174"/>
      <c r="AF74" s="174"/>
      <c r="AG74" s="174"/>
      <c r="AH74" s="198"/>
      <c r="AI74" s="198"/>
      <c r="AJ74" s="187"/>
      <c r="AK74" s="174"/>
      <c r="AL74" s="174"/>
      <c r="AM74" s="206"/>
      <c r="AN74" s="206"/>
      <c r="AO74" s="206"/>
      <c r="AP74" s="206"/>
      <c r="AQ74" s="206"/>
      <c r="AR74" s="206"/>
      <c r="AS74" s="206"/>
      <c r="AT74" s="206"/>
      <c r="AU74" s="206"/>
      <c r="AV74" s="206"/>
      <c r="AW74" s="206"/>
      <c r="AX74" s="206"/>
      <c r="AY74" s="206"/>
      <c r="AZ74" s="206"/>
      <c r="BA74" s="206"/>
      <c r="BB74" s="206"/>
      <c r="BC74" s="206"/>
      <c r="BD74" s="206"/>
      <c r="BE74" s="206"/>
      <c r="BF74" s="206"/>
      <c r="BG74" s="206"/>
      <c r="BH74" s="174"/>
      <c r="BI74" s="174"/>
      <c r="BJ74" s="174"/>
      <c r="BK74" s="174"/>
      <c r="BL74" s="174"/>
      <c r="BM74" s="174"/>
      <c r="BN74" s="174"/>
      <c r="BO74" s="174"/>
      <c r="BP74" s="174"/>
      <c r="BQ74" s="206"/>
      <c r="BR74" s="206"/>
      <c r="BS74" s="206"/>
      <c r="BT74" s="206"/>
      <c r="BU74" s="206"/>
      <c r="BV74" s="206"/>
      <c r="BW74" s="206"/>
      <c r="BX74" s="206"/>
      <c r="BY74" s="206"/>
      <c r="BZ74" s="206"/>
      <c r="CA74" s="206"/>
      <c r="CB74" s="206"/>
      <c r="CC74" s="206"/>
      <c r="CD74" s="174"/>
      <c r="CE74" s="174"/>
      <c r="CF74" s="174"/>
      <c r="CG74" s="174"/>
      <c r="CH74" s="174"/>
      <c r="CI74" s="174"/>
      <c r="CJ74" s="174"/>
      <c r="CK74" s="174"/>
      <c r="CL74" s="174"/>
      <c r="CM74" s="174"/>
      <c r="CN74" s="174"/>
      <c r="CO74" s="206"/>
      <c r="CP74" s="174"/>
      <c r="CQ74" s="206"/>
      <c r="CR74" s="206"/>
      <c r="CS74" s="206"/>
      <c r="CT74" s="225"/>
      <c r="CU74" s="206"/>
      <c r="CV74" s="206"/>
      <c r="CW74" s="206"/>
      <c r="CX74" s="174"/>
      <c r="CY74" s="206"/>
      <c r="CZ74" s="206"/>
      <c r="DA74" s="206"/>
      <c r="DB74" s="225"/>
      <c r="DC74" s="206"/>
      <c r="DD74" s="206"/>
      <c r="DE74" s="206"/>
      <c r="DF74" s="206"/>
      <c r="DG74" s="241"/>
      <c r="DH74" s="241"/>
      <c r="DI74" s="242"/>
      <c r="DJ74" s="242"/>
    </row>
    <row r="75" spans="1:117" ht="12" x14ac:dyDescent="0.2">
      <c r="A75" s="373" t="s">
        <v>320</v>
      </c>
      <c r="B75" s="374"/>
      <c r="C75" s="374"/>
      <c r="D75" s="374"/>
      <c r="E75" s="374"/>
      <c r="F75" s="374"/>
      <c r="G75" s="374"/>
      <c r="H75" s="237"/>
      <c r="I75" s="158"/>
      <c r="J75" s="158"/>
      <c r="K75" s="158"/>
      <c r="L75" s="158"/>
      <c r="M75" s="158"/>
      <c r="N75" s="158"/>
      <c r="O75" s="186"/>
      <c r="P75" s="200"/>
      <c r="Q75" s="200"/>
      <c r="R75" s="200"/>
      <c r="S75" s="200"/>
      <c r="T75" s="200"/>
      <c r="U75" s="200"/>
      <c r="V75" s="200"/>
      <c r="W75" s="200"/>
      <c r="X75" s="200"/>
      <c r="Y75" s="200"/>
      <c r="Z75" s="200"/>
      <c r="AA75" s="200"/>
      <c r="AB75" s="200"/>
      <c r="AC75" s="200"/>
      <c r="AD75" s="200"/>
      <c r="AE75" s="200"/>
      <c r="AF75" s="200"/>
      <c r="AG75" s="200"/>
      <c r="AH75" s="200"/>
      <c r="AI75" s="200"/>
      <c r="AJ75" s="186"/>
      <c r="AK75" s="200"/>
      <c r="AL75" s="200"/>
      <c r="AM75" s="200"/>
      <c r="AN75" s="200"/>
      <c r="AO75" s="200"/>
      <c r="AP75" s="200"/>
      <c r="AQ75" s="200"/>
      <c r="AR75" s="200"/>
      <c r="AS75" s="200"/>
      <c r="AT75" s="200"/>
      <c r="AU75" s="200"/>
      <c r="AV75" s="200"/>
      <c r="AW75" s="200"/>
      <c r="AX75" s="200"/>
      <c r="AY75" s="200"/>
      <c r="AZ75" s="200"/>
      <c r="BA75" s="200"/>
      <c r="BB75" s="200"/>
      <c r="BC75" s="200"/>
      <c r="BD75" s="200"/>
      <c r="BE75" s="200"/>
      <c r="BF75" s="200"/>
      <c r="BG75" s="200"/>
      <c r="BH75" s="200"/>
      <c r="BI75" s="200"/>
      <c r="BJ75" s="200"/>
      <c r="BK75" s="200"/>
      <c r="BL75" s="200"/>
      <c r="BM75" s="200"/>
      <c r="BN75" s="200"/>
      <c r="BO75" s="200"/>
      <c r="BP75" s="200"/>
      <c r="BQ75" s="200"/>
      <c r="BR75" s="200"/>
      <c r="BS75" s="200"/>
      <c r="BT75" s="200"/>
      <c r="BU75" s="200"/>
      <c r="BV75" s="200"/>
      <c r="BW75" s="200"/>
      <c r="BX75" s="200"/>
      <c r="BY75" s="200"/>
      <c r="BZ75" s="200"/>
      <c r="CA75" s="200"/>
      <c r="CB75" s="200"/>
      <c r="CC75" s="200"/>
      <c r="CD75" s="200"/>
      <c r="CE75" s="200"/>
      <c r="CF75" s="200"/>
      <c r="CG75" s="200"/>
      <c r="CH75" s="200"/>
      <c r="CI75" s="200"/>
      <c r="CJ75" s="200"/>
      <c r="CK75" s="200"/>
      <c r="CL75" s="200"/>
      <c r="CM75" s="200"/>
      <c r="CN75" s="200"/>
      <c r="CO75" s="206"/>
      <c r="CP75" s="200"/>
      <c r="CQ75" s="200"/>
      <c r="CR75" s="200"/>
      <c r="CS75" s="200"/>
      <c r="CT75" s="200"/>
      <c r="CU75" s="200"/>
      <c r="CV75" s="200"/>
      <c r="CW75" s="206"/>
      <c r="CX75" s="200"/>
      <c r="CY75" s="200"/>
      <c r="CZ75" s="200"/>
      <c r="DA75" s="200"/>
      <c r="DB75" s="200"/>
      <c r="DC75" s="200"/>
      <c r="DD75" s="200"/>
      <c r="DE75" s="200"/>
      <c r="DF75" s="200"/>
      <c r="DG75" s="250"/>
      <c r="DH75" s="250"/>
      <c r="DI75" s="251"/>
      <c r="DJ75" s="251"/>
      <c r="DK75" s="159"/>
      <c r="DL75" s="159"/>
      <c r="DM75" s="159"/>
    </row>
    <row r="76" spans="1:117" ht="12" x14ac:dyDescent="0.2">
      <c r="A76" s="310" t="s">
        <v>321</v>
      </c>
      <c r="B76" s="310" t="s">
        <v>166</v>
      </c>
      <c r="C76" s="311" t="s">
        <v>188</v>
      </c>
      <c r="D76" s="311" t="s">
        <v>322</v>
      </c>
      <c r="E76" s="311" t="s">
        <v>323</v>
      </c>
      <c r="F76" s="311" t="s">
        <v>133</v>
      </c>
      <c r="G76" s="312" t="s">
        <v>11</v>
      </c>
      <c r="H76" s="238">
        <v>45000</v>
      </c>
      <c r="I76" s="160">
        <v>30000</v>
      </c>
      <c r="J76" s="161" t="s">
        <v>167</v>
      </c>
      <c r="K76" s="161" t="s">
        <v>147</v>
      </c>
      <c r="L76" s="161" t="s">
        <v>138</v>
      </c>
      <c r="M76" s="161" t="s">
        <v>138</v>
      </c>
      <c r="N76" s="161" t="s">
        <v>147</v>
      </c>
      <c r="O76" s="216" t="s">
        <v>139</v>
      </c>
      <c r="P76" s="210" t="s">
        <v>140</v>
      </c>
      <c r="Q76" s="211" t="s">
        <v>11</v>
      </c>
      <c r="R76" s="212" t="s">
        <v>140</v>
      </c>
      <c r="S76" s="212" t="s">
        <v>140</v>
      </c>
      <c r="T76" s="212" t="s">
        <v>11</v>
      </c>
      <c r="U76" s="211" t="s">
        <v>11</v>
      </c>
      <c r="V76" s="211" t="s">
        <v>140</v>
      </c>
      <c r="W76" s="211" t="s">
        <v>11</v>
      </c>
      <c r="X76" s="211" t="s">
        <v>140</v>
      </c>
      <c r="Y76" s="211" t="s">
        <v>11</v>
      </c>
      <c r="Z76" s="211" t="s">
        <v>140</v>
      </c>
      <c r="AA76" s="211" t="s">
        <v>140</v>
      </c>
      <c r="AB76" s="211" t="s">
        <v>140</v>
      </c>
      <c r="AC76" s="212" t="s">
        <v>11</v>
      </c>
      <c r="AD76" s="212" t="s">
        <v>11</v>
      </c>
      <c r="AE76" s="210" t="s">
        <v>140</v>
      </c>
      <c r="AF76" s="210" t="s">
        <v>11</v>
      </c>
      <c r="AG76" s="210" t="s">
        <v>140</v>
      </c>
      <c r="AH76" s="215">
        <v>11</v>
      </c>
      <c r="AI76" s="212" t="s">
        <v>140</v>
      </c>
      <c r="AJ76" s="208"/>
      <c r="AK76" s="212" t="s">
        <v>140</v>
      </c>
      <c r="AL76" s="212" t="s">
        <v>140</v>
      </c>
      <c r="AM76" s="249"/>
      <c r="AN76" s="190" t="s">
        <v>11</v>
      </c>
      <c r="AO76" s="190" t="s">
        <v>140</v>
      </c>
      <c r="AP76" s="190" t="s">
        <v>140</v>
      </c>
      <c r="AQ76" s="190" t="s">
        <v>140</v>
      </c>
      <c r="AR76" s="190" t="s">
        <v>140</v>
      </c>
      <c r="AS76" s="190" t="s">
        <v>140</v>
      </c>
      <c r="AT76" s="190" t="s">
        <v>11</v>
      </c>
      <c r="AU76" s="190" t="s">
        <v>140</v>
      </c>
      <c r="AV76" s="190" t="s">
        <v>140</v>
      </c>
      <c r="AW76" s="190" t="s">
        <v>11</v>
      </c>
      <c r="AX76" s="190"/>
      <c r="AY76" s="190"/>
      <c r="AZ76" s="190"/>
      <c r="BA76" s="190"/>
      <c r="BB76" s="190" t="s">
        <v>140</v>
      </c>
      <c r="BC76" s="190"/>
      <c r="BD76" s="190"/>
      <c r="BE76" s="190"/>
      <c r="BF76" s="190"/>
      <c r="BG76" s="206"/>
      <c r="BH76" s="190" t="s">
        <v>324</v>
      </c>
      <c r="BI76" s="301" t="s">
        <v>325</v>
      </c>
      <c r="BJ76" s="218">
        <v>1062716</v>
      </c>
      <c r="BK76" s="252" t="s">
        <v>325</v>
      </c>
      <c r="BL76" s="190" t="s">
        <v>140</v>
      </c>
      <c r="BM76" s="190" t="s">
        <v>140</v>
      </c>
      <c r="BN76" s="190">
        <v>102000</v>
      </c>
      <c r="BO76" s="190" t="s">
        <v>140</v>
      </c>
      <c r="BP76" s="190" t="s">
        <v>140</v>
      </c>
      <c r="BQ76" s="206"/>
      <c r="BR76" s="193" t="s">
        <v>141</v>
      </c>
      <c r="BS76" s="193" t="s">
        <v>141</v>
      </c>
      <c r="BT76" s="193" t="s">
        <v>141</v>
      </c>
      <c r="BU76" s="193" t="s">
        <v>141</v>
      </c>
      <c r="BV76" s="193" t="s">
        <v>141</v>
      </c>
      <c r="BW76" s="193" t="s">
        <v>141</v>
      </c>
      <c r="BX76" s="193" t="s">
        <v>141</v>
      </c>
      <c r="BY76" s="193" t="s">
        <v>141</v>
      </c>
      <c r="BZ76" s="193" t="s">
        <v>141</v>
      </c>
      <c r="CA76" s="193" t="s">
        <v>11</v>
      </c>
      <c r="CB76" s="253" t="s">
        <v>141</v>
      </c>
      <c r="CC76" s="174"/>
      <c r="CD76" s="253" t="s">
        <v>141</v>
      </c>
      <c r="CE76" s="253" t="s">
        <v>141</v>
      </c>
      <c r="CF76" s="253" t="s">
        <v>141</v>
      </c>
      <c r="CG76" s="253" t="s">
        <v>141</v>
      </c>
      <c r="CH76" s="253" t="s">
        <v>141</v>
      </c>
      <c r="CI76" s="253" t="s">
        <v>141</v>
      </c>
      <c r="CJ76" s="254" t="s">
        <v>141</v>
      </c>
      <c r="CK76" s="255" t="s">
        <v>11</v>
      </c>
      <c r="CL76" s="256" t="s">
        <v>11</v>
      </c>
      <c r="CM76" s="253" t="s">
        <v>141</v>
      </c>
      <c r="CN76" s="253" t="s">
        <v>141</v>
      </c>
      <c r="CO76" s="206"/>
      <c r="CP76" s="197" t="s">
        <v>140</v>
      </c>
      <c r="CQ76" s="197" t="s">
        <v>140</v>
      </c>
      <c r="CR76" s="197" t="s">
        <v>11</v>
      </c>
      <c r="CS76" s="197" t="s">
        <v>140</v>
      </c>
      <c r="CT76" s="197" t="s">
        <v>11</v>
      </c>
      <c r="CU76" s="197" t="s">
        <v>140</v>
      </c>
      <c r="CV76" s="197" t="s">
        <v>140</v>
      </c>
      <c r="CW76" s="206"/>
      <c r="CX76" s="190" t="s">
        <v>140</v>
      </c>
      <c r="CY76" s="190" t="s">
        <v>140</v>
      </c>
      <c r="CZ76" s="190" t="s">
        <v>148</v>
      </c>
      <c r="DA76" s="190" t="s">
        <v>140</v>
      </c>
      <c r="DB76" s="217" t="s">
        <v>326</v>
      </c>
      <c r="DC76" s="190" t="s">
        <v>148</v>
      </c>
      <c r="DD76" s="190" t="s">
        <v>148</v>
      </c>
      <c r="DE76" s="206"/>
      <c r="DF76" s="190" t="s">
        <v>11</v>
      </c>
      <c r="DG76" s="241"/>
      <c r="DH76" s="241"/>
      <c r="DI76" s="242"/>
      <c r="DJ76" s="242"/>
    </row>
    <row r="77" spans="1:117" ht="12" x14ac:dyDescent="0.2">
      <c r="A77" s="310" t="s">
        <v>327</v>
      </c>
      <c r="B77" s="310"/>
      <c r="C77" s="311" t="s">
        <v>328</v>
      </c>
      <c r="D77" s="311" t="s">
        <v>329</v>
      </c>
      <c r="E77" s="311" t="s">
        <v>323</v>
      </c>
      <c r="F77" s="311" t="s">
        <v>133</v>
      </c>
      <c r="G77" s="312" t="s">
        <v>189</v>
      </c>
      <c r="H77" s="234">
        <v>53185</v>
      </c>
      <c r="I77" s="160">
        <v>0</v>
      </c>
      <c r="J77" s="161" t="s">
        <v>307</v>
      </c>
      <c r="K77" s="161" t="s">
        <v>147</v>
      </c>
      <c r="L77" s="161" t="s">
        <v>138</v>
      </c>
      <c r="M77" s="161" t="s">
        <v>147</v>
      </c>
      <c r="N77" s="161" t="s">
        <v>138</v>
      </c>
      <c r="O77" s="216" t="s">
        <v>139</v>
      </c>
      <c r="P77" s="210" t="s">
        <v>140</v>
      </c>
      <c r="Q77" s="211" t="s">
        <v>11</v>
      </c>
      <c r="R77" s="212" t="s">
        <v>140</v>
      </c>
      <c r="S77" s="212" t="s">
        <v>140</v>
      </c>
      <c r="T77" s="212" t="s">
        <v>140</v>
      </c>
      <c r="U77" s="212" t="s">
        <v>140</v>
      </c>
      <c r="V77" s="211" t="s">
        <v>140</v>
      </c>
      <c r="W77" s="211" t="s">
        <v>11</v>
      </c>
      <c r="X77" s="211" t="s">
        <v>140</v>
      </c>
      <c r="Y77" s="211" t="s">
        <v>140</v>
      </c>
      <c r="Z77" s="211" t="s">
        <v>140</v>
      </c>
      <c r="AA77" s="211" t="s">
        <v>140</v>
      </c>
      <c r="AB77" s="211" t="s">
        <v>140</v>
      </c>
      <c r="AC77" s="212" t="s">
        <v>11</v>
      </c>
      <c r="AD77" s="212" t="s">
        <v>11</v>
      </c>
      <c r="AE77" s="210" t="s">
        <v>140</v>
      </c>
      <c r="AF77" s="210" t="s">
        <v>140</v>
      </c>
      <c r="AG77" s="210" t="s">
        <v>140</v>
      </c>
      <c r="AH77" s="215">
        <v>28</v>
      </c>
      <c r="AI77" s="212" t="s">
        <v>140</v>
      </c>
      <c r="AJ77" s="187"/>
      <c r="AK77" s="212" t="s">
        <v>140</v>
      </c>
      <c r="AL77" s="212" t="s">
        <v>140</v>
      </c>
      <c r="AM77" s="249"/>
      <c r="AN77" s="190" t="s">
        <v>11</v>
      </c>
      <c r="AO77" s="190" t="s">
        <v>140</v>
      </c>
      <c r="AP77" s="190" t="s">
        <v>140</v>
      </c>
      <c r="AQ77" s="190" t="s">
        <v>140</v>
      </c>
      <c r="AR77" s="190" t="s">
        <v>140</v>
      </c>
      <c r="AS77" s="190" t="s">
        <v>140</v>
      </c>
      <c r="AT77" s="190" t="s">
        <v>140</v>
      </c>
      <c r="AU77" s="190" t="s">
        <v>140</v>
      </c>
      <c r="AV77" s="190" t="s">
        <v>140</v>
      </c>
      <c r="AW77" s="190" t="s">
        <v>11</v>
      </c>
      <c r="AX77" s="190"/>
      <c r="AY77" s="190"/>
      <c r="AZ77" s="190"/>
      <c r="BA77" s="190"/>
      <c r="BB77" s="190" t="s">
        <v>140</v>
      </c>
      <c r="BC77" s="190"/>
      <c r="BD77" s="190"/>
      <c r="BE77" s="190"/>
      <c r="BF77" s="190"/>
      <c r="BG77" s="206"/>
      <c r="BH77" s="190" t="s">
        <v>324</v>
      </c>
      <c r="BI77" s="246">
        <v>45900</v>
      </c>
      <c r="BJ77" s="218">
        <v>466802</v>
      </c>
      <c r="BK77" s="246">
        <v>45926</v>
      </c>
      <c r="BL77" s="190" t="s">
        <v>148</v>
      </c>
      <c r="BM77" s="190" t="s">
        <v>148</v>
      </c>
      <c r="BN77" s="190">
        <v>66000</v>
      </c>
      <c r="BO77" s="190" t="s">
        <v>148</v>
      </c>
      <c r="BP77" s="190" t="s">
        <v>148</v>
      </c>
      <c r="BQ77" s="206"/>
      <c r="BR77" s="257" t="s">
        <v>141</v>
      </c>
      <c r="BS77" s="193" t="s">
        <v>141</v>
      </c>
      <c r="BT77" s="193" t="s">
        <v>141</v>
      </c>
      <c r="BU77" s="193" t="s">
        <v>141</v>
      </c>
      <c r="BV77" s="257" t="s">
        <v>141</v>
      </c>
      <c r="BW77" s="193" t="s">
        <v>141</v>
      </c>
      <c r="BX77" s="193" t="s">
        <v>141</v>
      </c>
      <c r="BY77" s="193" t="s">
        <v>141</v>
      </c>
      <c r="BZ77" s="193" t="s">
        <v>141</v>
      </c>
      <c r="CA77" s="193" t="s">
        <v>11</v>
      </c>
      <c r="CB77" s="253" t="s">
        <v>141</v>
      </c>
      <c r="CC77" s="174"/>
      <c r="CD77" s="258" t="s">
        <v>141</v>
      </c>
      <c r="CE77" s="253" t="s">
        <v>141</v>
      </c>
      <c r="CF77" s="253" t="s">
        <v>141</v>
      </c>
      <c r="CG77" s="259" t="s">
        <v>141</v>
      </c>
      <c r="CH77" s="258" t="s">
        <v>141</v>
      </c>
      <c r="CI77" s="259" t="s">
        <v>141</v>
      </c>
      <c r="CJ77" s="193" t="s">
        <v>141</v>
      </c>
      <c r="CK77" s="255" t="s">
        <v>11</v>
      </c>
      <c r="CL77" s="260" t="s">
        <v>141</v>
      </c>
      <c r="CM77" s="253" t="s">
        <v>141</v>
      </c>
      <c r="CN77" s="253" t="s">
        <v>141</v>
      </c>
      <c r="CO77" s="206"/>
      <c r="CP77" s="197" t="s">
        <v>140</v>
      </c>
      <c r="CQ77" s="197" t="s">
        <v>140</v>
      </c>
      <c r="CR77" s="197" t="s">
        <v>11</v>
      </c>
      <c r="CS77" s="197" t="s">
        <v>140</v>
      </c>
      <c r="CT77" s="197" t="s">
        <v>11</v>
      </c>
      <c r="CU77" s="197" t="s">
        <v>140</v>
      </c>
      <c r="CV77" s="197" t="s">
        <v>140</v>
      </c>
      <c r="CW77" s="206"/>
      <c r="CX77" s="190" t="s">
        <v>11</v>
      </c>
      <c r="CY77" s="190" t="s">
        <v>11</v>
      </c>
      <c r="CZ77" s="190" t="s">
        <v>11</v>
      </c>
      <c r="DA77" s="190" t="s">
        <v>11</v>
      </c>
      <c r="DB77" s="174" t="s">
        <v>11</v>
      </c>
      <c r="DC77" s="190" t="s">
        <v>11</v>
      </c>
      <c r="DD77" s="190" t="s">
        <v>11</v>
      </c>
      <c r="DE77" s="206"/>
      <c r="DF77" s="190" t="s">
        <v>11</v>
      </c>
      <c r="DG77" s="241"/>
      <c r="DH77" s="241"/>
      <c r="DI77" s="242"/>
      <c r="DJ77" s="242"/>
    </row>
    <row r="78" spans="1:117" ht="12" x14ac:dyDescent="0.2">
      <c r="A78" s="310" t="s">
        <v>330</v>
      </c>
      <c r="B78" s="310"/>
      <c r="C78" s="311" t="s">
        <v>328</v>
      </c>
      <c r="D78" s="311" t="s">
        <v>329</v>
      </c>
      <c r="E78" s="311" t="s">
        <v>323</v>
      </c>
      <c r="F78" s="311" t="s">
        <v>133</v>
      </c>
      <c r="G78" s="312" t="s">
        <v>222</v>
      </c>
      <c r="H78" s="234">
        <v>67000</v>
      </c>
      <c r="I78" s="160">
        <v>90000</v>
      </c>
      <c r="J78" s="161" t="s">
        <v>307</v>
      </c>
      <c r="K78" s="161" t="s">
        <v>147</v>
      </c>
      <c r="L78" s="161" t="s">
        <v>138</v>
      </c>
      <c r="M78" s="161" t="s">
        <v>147</v>
      </c>
      <c r="N78" s="161" t="s">
        <v>138</v>
      </c>
      <c r="O78" s="216" t="s">
        <v>139</v>
      </c>
      <c r="P78" s="210" t="s">
        <v>140</v>
      </c>
      <c r="Q78" s="211" t="s">
        <v>11</v>
      </c>
      <c r="R78" s="212" t="s">
        <v>140</v>
      </c>
      <c r="S78" s="212" t="s">
        <v>140</v>
      </c>
      <c r="T78" s="212" t="s">
        <v>11</v>
      </c>
      <c r="U78" s="211" t="s">
        <v>11</v>
      </c>
      <c r="V78" s="211" t="s">
        <v>140</v>
      </c>
      <c r="W78" s="211" t="s">
        <v>11</v>
      </c>
      <c r="X78" s="211" t="s">
        <v>11</v>
      </c>
      <c r="Y78" s="211" t="s">
        <v>140</v>
      </c>
      <c r="Z78" s="211" t="s">
        <v>140</v>
      </c>
      <c r="AA78" s="211" t="s">
        <v>140</v>
      </c>
      <c r="AB78" s="211" t="s">
        <v>140</v>
      </c>
      <c r="AC78" s="212" t="s">
        <v>11</v>
      </c>
      <c r="AD78" s="212" t="s">
        <v>11</v>
      </c>
      <c r="AE78" s="210" t="s">
        <v>140</v>
      </c>
      <c r="AF78" s="210" t="s">
        <v>11</v>
      </c>
      <c r="AG78" s="210" t="s">
        <v>140</v>
      </c>
      <c r="AH78" s="215">
        <v>2</v>
      </c>
      <c r="AI78" s="212" t="s">
        <v>140</v>
      </c>
      <c r="AJ78" s="187"/>
      <c r="AK78" s="212" t="s">
        <v>140</v>
      </c>
      <c r="AL78" s="212" t="s">
        <v>140</v>
      </c>
      <c r="AM78" s="249"/>
      <c r="AN78" s="190" t="s">
        <v>11</v>
      </c>
      <c r="AO78" s="190" t="s">
        <v>140</v>
      </c>
      <c r="AP78" s="190" t="s">
        <v>140</v>
      </c>
      <c r="AQ78" s="190" t="s">
        <v>11</v>
      </c>
      <c r="AR78" s="190" t="s">
        <v>140</v>
      </c>
      <c r="AS78" s="190" t="s">
        <v>11</v>
      </c>
      <c r="AT78" s="190" t="s">
        <v>11</v>
      </c>
      <c r="AU78" s="190" t="s">
        <v>140</v>
      </c>
      <c r="AV78" s="190" t="s">
        <v>140</v>
      </c>
      <c r="AW78" s="190" t="s">
        <v>11</v>
      </c>
      <c r="AX78" s="190"/>
      <c r="AY78" s="190"/>
      <c r="AZ78" s="190"/>
      <c r="BA78" s="190"/>
      <c r="BB78" s="190" t="s">
        <v>140</v>
      </c>
      <c r="BC78" s="190"/>
      <c r="BD78" s="190"/>
      <c r="BE78" s="190"/>
      <c r="BF78" s="190"/>
      <c r="BG78" s="206"/>
      <c r="BH78" s="190" t="s">
        <v>324</v>
      </c>
      <c r="BI78" s="246">
        <v>45853</v>
      </c>
      <c r="BJ78" s="218">
        <v>21043247</v>
      </c>
      <c r="BK78" s="288">
        <v>45853</v>
      </c>
      <c r="BL78" s="190" t="s">
        <v>140</v>
      </c>
      <c r="BM78" s="190" t="s">
        <v>140</v>
      </c>
      <c r="BN78" s="190">
        <f>75000*12</f>
        <v>900000</v>
      </c>
      <c r="BO78" s="190" t="s">
        <v>140</v>
      </c>
      <c r="BP78" s="190" t="s">
        <v>140</v>
      </c>
      <c r="BQ78" s="206"/>
      <c r="BR78" s="253" t="s">
        <v>141</v>
      </c>
      <c r="BS78" s="261" t="s">
        <v>141</v>
      </c>
      <c r="BT78" s="193" t="s">
        <v>141</v>
      </c>
      <c r="BU78" s="193" t="s">
        <v>141</v>
      </c>
      <c r="BV78" s="253" t="s">
        <v>141</v>
      </c>
      <c r="BW78" s="261" t="s">
        <v>141</v>
      </c>
      <c r="BX78" s="193" t="s">
        <v>141</v>
      </c>
      <c r="BY78" s="193" t="s">
        <v>141</v>
      </c>
      <c r="BZ78" s="193" t="s">
        <v>141</v>
      </c>
      <c r="CA78" s="193" t="s">
        <v>11</v>
      </c>
      <c r="CB78" s="262" t="s">
        <v>141</v>
      </c>
      <c r="CC78" s="174"/>
      <c r="CD78" s="253" t="s">
        <v>142</v>
      </c>
      <c r="CE78" s="253" t="s">
        <v>142</v>
      </c>
      <c r="CF78" s="253" t="s">
        <v>142</v>
      </c>
      <c r="CG78" s="262" t="s">
        <v>142</v>
      </c>
      <c r="CH78" s="253" t="s">
        <v>142</v>
      </c>
      <c r="CI78" s="253" t="s">
        <v>142</v>
      </c>
      <c r="CJ78" s="263" t="s">
        <v>142</v>
      </c>
      <c r="CK78" s="255" t="s">
        <v>11</v>
      </c>
      <c r="CL78" s="261" t="s">
        <v>11</v>
      </c>
      <c r="CM78" s="264" t="s">
        <v>11</v>
      </c>
      <c r="CN78" s="262" t="s">
        <v>141</v>
      </c>
      <c r="CO78" s="206"/>
      <c r="CP78" s="197" t="s">
        <v>11</v>
      </c>
      <c r="CQ78" s="197" t="s">
        <v>11</v>
      </c>
      <c r="CR78" s="197" t="s">
        <v>11</v>
      </c>
      <c r="CS78" s="197" t="s">
        <v>11</v>
      </c>
      <c r="CT78" s="197" t="s">
        <v>11</v>
      </c>
      <c r="CU78" s="197" t="s">
        <v>11</v>
      </c>
      <c r="CV78" s="197" t="s">
        <v>11</v>
      </c>
      <c r="CW78" s="206"/>
      <c r="CX78" s="190" t="s">
        <v>140</v>
      </c>
      <c r="CY78" s="190" t="s">
        <v>140</v>
      </c>
      <c r="CZ78" s="190" t="s">
        <v>148</v>
      </c>
      <c r="DA78" s="190" t="s">
        <v>148</v>
      </c>
      <c r="DB78" s="195"/>
      <c r="DC78" s="190" t="s">
        <v>148</v>
      </c>
      <c r="DD78" s="190" t="s">
        <v>148</v>
      </c>
      <c r="DE78" s="206"/>
      <c r="DF78" s="190" t="s">
        <v>11</v>
      </c>
      <c r="DG78" s="241"/>
      <c r="DH78" s="241"/>
      <c r="DI78" s="242"/>
      <c r="DJ78" s="242"/>
    </row>
    <row r="79" spans="1:117" ht="12" x14ac:dyDescent="0.2">
      <c r="A79" s="310" t="s">
        <v>331</v>
      </c>
      <c r="B79" s="310" t="s">
        <v>332</v>
      </c>
      <c r="C79" s="311" t="s">
        <v>133</v>
      </c>
      <c r="D79" s="311" t="s">
        <v>333</v>
      </c>
      <c r="E79" s="311" t="s">
        <v>323</v>
      </c>
      <c r="F79" s="311" t="s">
        <v>133</v>
      </c>
      <c r="G79" s="312" t="s">
        <v>136</v>
      </c>
      <c r="H79" s="234">
        <v>25000</v>
      </c>
      <c r="I79" s="160"/>
      <c r="J79" s="161" t="s">
        <v>155</v>
      </c>
      <c r="K79" s="161" t="s">
        <v>147</v>
      </c>
      <c r="L79" s="161" t="s">
        <v>147</v>
      </c>
      <c r="M79" s="161" t="s">
        <v>138</v>
      </c>
      <c r="N79" s="161" t="s">
        <v>138</v>
      </c>
      <c r="O79" s="216" t="s">
        <v>139</v>
      </c>
      <c r="P79" s="210" t="s">
        <v>140</v>
      </c>
      <c r="Q79" s="211" t="s">
        <v>11</v>
      </c>
      <c r="R79" s="212" t="s">
        <v>11</v>
      </c>
      <c r="S79" s="212" t="s">
        <v>11</v>
      </c>
      <c r="T79" s="212" t="s">
        <v>11</v>
      </c>
      <c r="U79" s="211" t="s">
        <v>11</v>
      </c>
      <c r="V79" s="211" t="s">
        <v>140</v>
      </c>
      <c r="W79" s="211" t="s">
        <v>11</v>
      </c>
      <c r="X79" s="211" t="s">
        <v>11</v>
      </c>
      <c r="Y79" s="211" t="s">
        <v>11</v>
      </c>
      <c r="Z79" s="211" t="s">
        <v>140</v>
      </c>
      <c r="AA79" s="211" t="s">
        <v>140</v>
      </c>
      <c r="AB79" s="211" t="s">
        <v>140</v>
      </c>
      <c r="AC79" s="212" t="s">
        <v>11</v>
      </c>
      <c r="AD79" s="212" t="s">
        <v>11</v>
      </c>
      <c r="AE79" s="212" t="s">
        <v>11</v>
      </c>
      <c r="AF79" s="212" t="s">
        <v>11</v>
      </c>
      <c r="AG79" s="212" t="s">
        <v>11</v>
      </c>
      <c r="AH79" s="212" t="s">
        <v>11</v>
      </c>
      <c r="AI79" s="212" t="s">
        <v>11</v>
      </c>
      <c r="AJ79" s="187"/>
      <c r="AK79" s="212" t="s">
        <v>140</v>
      </c>
      <c r="AL79" s="212" t="s">
        <v>140</v>
      </c>
      <c r="AM79" s="249"/>
      <c r="AN79" s="190" t="s">
        <v>11</v>
      </c>
      <c r="AO79" s="190" t="s">
        <v>140</v>
      </c>
      <c r="AP79" s="190" t="s">
        <v>11</v>
      </c>
      <c r="AQ79" s="190" t="s">
        <v>11</v>
      </c>
      <c r="AR79" s="190" t="s">
        <v>140</v>
      </c>
      <c r="AS79" s="190" t="s">
        <v>140</v>
      </c>
      <c r="AT79" s="190" t="s">
        <v>11</v>
      </c>
      <c r="AU79" s="190" t="s">
        <v>11</v>
      </c>
      <c r="AV79" s="190" t="s">
        <v>140</v>
      </c>
      <c r="AW79" s="190" t="s">
        <v>140</v>
      </c>
      <c r="AX79" s="190"/>
      <c r="AY79" s="190"/>
      <c r="AZ79" s="190"/>
      <c r="BA79" s="190"/>
      <c r="BB79" s="190" t="s">
        <v>140</v>
      </c>
      <c r="BC79" s="190"/>
      <c r="BD79" s="190"/>
      <c r="BE79" s="190"/>
      <c r="BF79" s="190"/>
      <c r="BG79" s="206"/>
      <c r="BH79" s="190" t="s">
        <v>334</v>
      </c>
      <c r="BI79" s="246" t="s">
        <v>335</v>
      </c>
      <c r="BJ79" s="218"/>
      <c r="BK79" s="288"/>
      <c r="BL79" s="190"/>
      <c r="BM79" s="190"/>
      <c r="BN79" s="190"/>
      <c r="BO79" s="190"/>
      <c r="BP79" s="190"/>
      <c r="BQ79" s="206"/>
      <c r="BR79" s="253" t="s">
        <v>141</v>
      </c>
      <c r="BS79" s="261" t="s">
        <v>141</v>
      </c>
      <c r="BT79" s="193" t="s">
        <v>141</v>
      </c>
      <c r="BU79" s="193" t="s">
        <v>141</v>
      </c>
      <c r="BV79" s="253" t="s">
        <v>141</v>
      </c>
      <c r="BW79" s="261" t="s">
        <v>141</v>
      </c>
      <c r="BX79" s="193" t="s">
        <v>141</v>
      </c>
      <c r="BY79" s="193" t="s">
        <v>141</v>
      </c>
      <c r="BZ79" s="193" t="s">
        <v>141</v>
      </c>
      <c r="CA79" s="193" t="s">
        <v>141</v>
      </c>
      <c r="CB79" s="262" t="s">
        <v>141</v>
      </c>
      <c r="CC79" s="174"/>
      <c r="CD79" s="253" t="s">
        <v>141</v>
      </c>
      <c r="CE79" s="253" t="s">
        <v>141</v>
      </c>
      <c r="CF79" s="253" t="s">
        <v>141</v>
      </c>
      <c r="CG79" s="262" t="s">
        <v>141</v>
      </c>
      <c r="CH79" s="253" t="s">
        <v>141</v>
      </c>
      <c r="CI79" s="253" t="s">
        <v>141</v>
      </c>
      <c r="CJ79" s="263" t="s">
        <v>141</v>
      </c>
      <c r="CK79" s="255" t="s">
        <v>141</v>
      </c>
      <c r="CL79" s="261" t="s">
        <v>141</v>
      </c>
      <c r="CM79" s="264" t="s">
        <v>141</v>
      </c>
      <c r="CN79" s="262" t="s">
        <v>141</v>
      </c>
      <c r="CO79" s="206"/>
      <c r="CP79" s="197" t="s">
        <v>140</v>
      </c>
      <c r="CQ79" s="197" t="s">
        <v>11</v>
      </c>
      <c r="CR79" s="197" t="s">
        <v>11</v>
      </c>
      <c r="CS79" s="197" t="s">
        <v>11</v>
      </c>
      <c r="CT79" s="197" t="s">
        <v>11</v>
      </c>
      <c r="CU79" s="197" t="s">
        <v>11</v>
      </c>
      <c r="CV79" s="197" t="s">
        <v>11</v>
      </c>
      <c r="CW79" s="206"/>
      <c r="CX79" s="190" t="s">
        <v>140</v>
      </c>
      <c r="CY79" s="190"/>
      <c r="CZ79" s="190"/>
      <c r="DA79" s="190"/>
      <c r="DB79" s="195"/>
      <c r="DC79" s="190"/>
      <c r="DD79" s="190"/>
      <c r="DE79" s="206"/>
      <c r="DF79" s="190" t="s">
        <v>11</v>
      </c>
      <c r="DG79" s="241"/>
      <c r="DH79" s="241"/>
      <c r="DI79" s="242"/>
      <c r="DJ79" s="242"/>
    </row>
    <row r="80" spans="1:117" ht="12" x14ac:dyDescent="0.2">
      <c r="A80" s="310" t="s">
        <v>336</v>
      </c>
      <c r="B80" s="310" t="s">
        <v>332</v>
      </c>
      <c r="C80" s="311" t="s">
        <v>133</v>
      </c>
      <c r="D80" s="311" t="s">
        <v>333</v>
      </c>
      <c r="E80" s="311" t="s">
        <v>323</v>
      </c>
      <c r="F80" s="311" t="s">
        <v>133</v>
      </c>
      <c r="G80" s="312" t="s">
        <v>136</v>
      </c>
      <c r="H80" s="234">
        <v>10800</v>
      </c>
      <c r="I80" s="160"/>
      <c r="J80" s="161" t="s">
        <v>155</v>
      </c>
      <c r="K80" s="161" t="s">
        <v>147</v>
      </c>
      <c r="L80" s="161" t="s">
        <v>147</v>
      </c>
      <c r="M80" s="161" t="s">
        <v>138</v>
      </c>
      <c r="N80" s="161" t="s">
        <v>138</v>
      </c>
      <c r="O80" s="216" t="s">
        <v>139</v>
      </c>
      <c r="P80" s="210" t="s">
        <v>140</v>
      </c>
      <c r="Q80" s="211" t="s">
        <v>11</v>
      </c>
      <c r="R80" s="212" t="s">
        <v>11</v>
      </c>
      <c r="S80" s="212" t="s">
        <v>11</v>
      </c>
      <c r="T80" s="212" t="s">
        <v>11</v>
      </c>
      <c r="U80" s="211" t="s">
        <v>11</v>
      </c>
      <c r="V80" s="211" t="s">
        <v>140</v>
      </c>
      <c r="W80" s="211" t="s">
        <v>11</v>
      </c>
      <c r="X80" s="211" t="s">
        <v>11</v>
      </c>
      <c r="Y80" s="211" t="s">
        <v>11</v>
      </c>
      <c r="Z80" s="211" t="s">
        <v>140</v>
      </c>
      <c r="AA80" s="211" t="s">
        <v>140</v>
      </c>
      <c r="AB80" s="211" t="s">
        <v>140</v>
      </c>
      <c r="AC80" s="212" t="s">
        <v>11</v>
      </c>
      <c r="AD80" s="212" t="s">
        <v>11</v>
      </c>
      <c r="AE80" s="212" t="s">
        <v>11</v>
      </c>
      <c r="AF80" s="212" t="s">
        <v>11</v>
      </c>
      <c r="AG80" s="212" t="s">
        <v>11</v>
      </c>
      <c r="AH80" s="212" t="s">
        <v>11</v>
      </c>
      <c r="AI80" s="212" t="s">
        <v>11</v>
      </c>
      <c r="AJ80" s="187"/>
      <c r="AK80" s="212" t="s">
        <v>11</v>
      </c>
      <c r="AL80" s="212" t="s">
        <v>11</v>
      </c>
      <c r="AM80" s="249"/>
      <c r="AN80" s="190" t="s">
        <v>11</v>
      </c>
      <c r="AO80" s="190" t="s">
        <v>140</v>
      </c>
      <c r="AP80" s="190" t="s">
        <v>11</v>
      </c>
      <c r="AQ80" s="190" t="s">
        <v>11</v>
      </c>
      <c r="AR80" s="190" t="s">
        <v>140</v>
      </c>
      <c r="AS80" s="190" t="s">
        <v>11</v>
      </c>
      <c r="AT80" s="190" t="s">
        <v>11</v>
      </c>
      <c r="AU80" s="190" t="s">
        <v>11</v>
      </c>
      <c r="AV80" s="190" t="s">
        <v>11</v>
      </c>
      <c r="AW80" s="190" t="s">
        <v>11</v>
      </c>
      <c r="AX80" s="190"/>
      <c r="AY80" s="190"/>
      <c r="AZ80" s="190"/>
      <c r="BA80" s="190"/>
      <c r="BB80" s="190" t="s">
        <v>140</v>
      </c>
      <c r="BC80" s="190"/>
      <c r="BD80" s="190"/>
      <c r="BE80" s="190"/>
      <c r="BF80" s="190"/>
      <c r="BG80" s="206"/>
      <c r="BH80" s="190" t="s">
        <v>11</v>
      </c>
      <c r="BI80" s="246" t="s">
        <v>11</v>
      </c>
      <c r="BJ80" s="218" t="s">
        <v>11</v>
      </c>
      <c r="BK80" s="288" t="s">
        <v>11</v>
      </c>
      <c r="BL80" s="190" t="s">
        <v>11</v>
      </c>
      <c r="BM80" s="190" t="s">
        <v>11</v>
      </c>
      <c r="BN80" s="190" t="s">
        <v>11</v>
      </c>
      <c r="BO80" s="190" t="s">
        <v>11</v>
      </c>
      <c r="BP80" s="190" t="s">
        <v>11</v>
      </c>
      <c r="BQ80" s="206"/>
      <c r="BR80" s="253" t="s">
        <v>141</v>
      </c>
      <c r="BS80" s="261" t="s">
        <v>141</v>
      </c>
      <c r="BT80" s="193" t="s">
        <v>141</v>
      </c>
      <c r="BU80" s="193" t="s">
        <v>141</v>
      </c>
      <c r="BV80" s="253" t="s">
        <v>141</v>
      </c>
      <c r="BW80" s="261" t="s">
        <v>141</v>
      </c>
      <c r="BX80" s="193" t="s">
        <v>141</v>
      </c>
      <c r="BY80" s="193" t="s">
        <v>141</v>
      </c>
      <c r="BZ80" s="193" t="s">
        <v>141</v>
      </c>
      <c r="CA80" s="193" t="s">
        <v>141</v>
      </c>
      <c r="CB80" s="262" t="s">
        <v>141</v>
      </c>
      <c r="CC80" s="174"/>
      <c r="CD80" s="253" t="s">
        <v>141</v>
      </c>
      <c r="CE80" s="253" t="s">
        <v>141</v>
      </c>
      <c r="CF80" s="253" t="s">
        <v>141</v>
      </c>
      <c r="CG80" s="262" t="s">
        <v>141</v>
      </c>
      <c r="CH80" s="253" t="s">
        <v>141</v>
      </c>
      <c r="CI80" s="253" t="s">
        <v>141</v>
      </c>
      <c r="CJ80" s="263" t="s">
        <v>141</v>
      </c>
      <c r="CK80" s="255" t="s">
        <v>141</v>
      </c>
      <c r="CL80" s="261" t="s">
        <v>141</v>
      </c>
      <c r="CM80" s="264" t="s">
        <v>141</v>
      </c>
      <c r="CN80" s="262" t="s">
        <v>141</v>
      </c>
      <c r="CO80" s="206"/>
      <c r="CP80" s="197" t="s">
        <v>140</v>
      </c>
      <c r="CQ80" s="197" t="s">
        <v>11</v>
      </c>
      <c r="CR80" s="197" t="s">
        <v>11</v>
      </c>
      <c r="CS80" s="197" t="s">
        <v>11</v>
      </c>
      <c r="CT80" s="197" t="s">
        <v>11</v>
      </c>
      <c r="CU80" s="197" t="s">
        <v>11</v>
      </c>
      <c r="CV80" s="197" t="s">
        <v>11</v>
      </c>
      <c r="CW80" s="206"/>
      <c r="CX80" s="190" t="s">
        <v>140</v>
      </c>
      <c r="CY80" s="190"/>
      <c r="CZ80" s="190"/>
      <c r="DA80" s="190"/>
      <c r="DB80" s="195"/>
      <c r="DC80" s="190"/>
      <c r="DD80" s="190"/>
      <c r="DE80" s="206"/>
      <c r="DF80" s="190" t="s">
        <v>11</v>
      </c>
      <c r="DG80" s="241"/>
      <c r="DH80" s="241"/>
      <c r="DI80" s="242"/>
      <c r="DJ80" s="242"/>
    </row>
    <row r="81" spans="1:117" ht="12" x14ac:dyDescent="0.2">
      <c r="A81" s="310" t="s">
        <v>337</v>
      </c>
      <c r="B81" s="310" t="s">
        <v>338</v>
      </c>
      <c r="C81" s="311" t="s">
        <v>133</v>
      </c>
      <c r="D81" s="311" t="s">
        <v>333</v>
      </c>
      <c r="E81" s="311" t="s">
        <v>323</v>
      </c>
      <c r="F81" s="311" t="s">
        <v>133</v>
      </c>
      <c r="G81" s="312" t="s">
        <v>136</v>
      </c>
      <c r="H81" s="234">
        <v>20000</v>
      </c>
      <c r="I81" s="160"/>
      <c r="J81" s="161" t="s">
        <v>155</v>
      </c>
      <c r="K81" s="161" t="s">
        <v>147</v>
      </c>
      <c r="L81" s="161" t="s">
        <v>138</v>
      </c>
      <c r="M81" s="161" t="s">
        <v>138</v>
      </c>
      <c r="N81" s="161" t="s">
        <v>138</v>
      </c>
      <c r="O81" s="216" t="s">
        <v>139</v>
      </c>
      <c r="P81" s="210" t="s">
        <v>140</v>
      </c>
      <c r="Q81" s="211" t="s">
        <v>11</v>
      </c>
      <c r="R81" s="212" t="s">
        <v>11</v>
      </c>
      <c r="S81" s="212" t="s">
        <v>11</v>
      </c>
      <c r="T81" s="212" t="s">
        <v>11</v>
      </c>
      <c r="U81" s="211" t="s">
        <v>11</v>
      </c>
      <c r="V81" s="211" t="s">
        <v>140</v>
      </c>
      <c r="W81" s="211" t="s">
        <v>11</v>
      </c>
      <c r="X81" s="211" t="s">
        <v>11</v>
      </c>
      <c r="Y81" s="211" t="s">
        <v>11</v>
      </c>
      <c r="Z81" s="211" t="s">
        <v>140</v>
      </c>
      <c r="AA81" s="211" t="s">
        <v>148</v>
      </c>
      <c r="AB81" s="211" t="s">
        <v>148</v>
      </c>
      <c r="AC81" s="212" t="s">
        <v>11</v>
      </c>
      <c r="AD81" s="212" t="s">
        <v>11</v>
      </c>
      <c r="AE81" s="212" t="s">
        <v>11</v>
      </c>
      <c r="AF81" s="212" t="s">
        <v>11</v>
      </c>
      <c r="AG81" s="212" t="s">
        <v>11</v>
      </c>
      <c r="AH81" s="212" t="s">
        <v>11</v>
      </c>
      <c r="AI81" s="212" t="s">
        <v>11</v>
      </c>
      <c r="AJ81" s="187"/>
      <c r="AK81" s="212"/>
      <c r="AL81" s="212"/>
      <c r="AM81" s="249"/>
      <c r="AN81" s="190" t="s">
        <v>11</v>
      </c>
      <c r="AO81" s="190" t="s">
        <v>11</v>
      </c>
      <c r="AP81" s="190" t="s">
        <v>11</v>
      </c>
      <c r="AQ81" s="190" t="s">
        <v>11</v>
      </c>
      <c r="AR81" s="190" t="s">
        <v>140</v>
      </c>
      <c r="AS81" s="190" t="s">
        <v>140</v>
      </c>
      <c r="AT81" s="190" t="s">
        <v>11</v>
      </c>
      <c r="AU81" s="190" t="s">
        <v>11</v>
      </c>
      <c r="AV81" s="190" t="s">
        <v>11</v>
      </c>
      <c r="AW81" s="190" t="s">
        <v>11</v>
      </c>
      <c r="AX81" s="190"/>
      <c r="AY81" s="190"/>
      <c r="AZ81" s="190"/>
      <c r="BA81" s="190"/>
      <c r="BB81" s="190" t="s">
        <v>140</v>
      </c>
      <c r="BC81" s="190"/>
      <c r="BD81" s="190"/>
      <c r="BE81" s="190"/>
      <c r="BF81" s="190"/>
      <c r="BG81" s="206"/>
      <c r="BH81" s="190" t="s">
        <v>11</v>
      </c>
      <c r="BI81" s="246" t="s">
        <v>11</v>
      </c>
      <c r="BJ81" s="218" t="s">
        <v>11</v>
      </c>
      <c r="BK81" s="288" t="s">
        <v>11</v>
      </c>
      <c r="BL81" s="190" t="s">
        <v>11</v>
      </c>
      <c r="BM81" s="190" t="s">
        <v>11</v>
      </c>
      <c r="BN81" s="190" t="s">
        <v>11</v>
      </c>
      <c r="BO81" s="190" t="s">
        <v>11</v>
      </c>
      <c r="BP81" s="190" t="s">
        <v>11</v>
      </c>
      <c r="BQ81" s="206"/>
      <c r="BR81" s="253" t="s">
        <v>141</v>
      </c>
      <c r="BS81" s="261" t="s">
        <v>141</v>
      </c>
      <c r="BT81" s="193" t="s">
        <v>141</v>
      </c>
      <c r="BU81" s="193" t="s">
        <v>141</v>
      </c>
      <c r="BV81" s="253" t="s">
        <v>141</v>
      </c>
      <c r="BW81" s="261" t="s">
        <v>141</v>
      </c>
      <c r="BX81" s="193" t="s">
        <v>141</v>
      </c>
      <c r="BY81" s="193" t="s">
        <v>141</v>
      </c>
      <c r="BZ81" s="193" t="s">
        <v>141</v>
      </c>
      <c r="CA81" s="193" t="s">
        <v>141</v>
      </c>
      <c r="CB81" s="262" t="s">
        <v>141</v>
      </c>
      <c r="CC81" s="174"/>
      <c r="CD81" s="253" t="s">
        <v>141</v>
      </c>
      <c r="CE81" s="253" t="s">
        <v>141</v>
      </c>
      <c r="CF81" s="253" t="s">
        <v>141</v>
      </c>
      <c r="CG81" s="262" t="s">
        <v>141</v>
      </c>
      <c r="CH81" s="253" t="s">
        <v>141</v>
      </c>
      <c r="CI81" s="253" t="s">
        <v>141</v>
      </c>
      <c r="CJ81" s="263" t="s">
        <v>11</v>
      </c>
      <c r="CK81" s="255" t="s">
        <v>11</v>
      </c>
      <c r="CL81" s="261" t="s">
        <v>11</v>
      </c>
      <c r="CM81" s="264" t="s">
        <v>11</v>
      </c>
      <c r="CN81" s="262" t="s">
        <v>141</v>
      </c>
      <c r="CO81" s="206"/>
      <c r="CP81" s="197" t="s">
        <v>140</v>
      </c>
      <c r="CQ81" s="197" t="s">
        <v>11</v>
      </c>
      <c r="CR81" s="197" t="s">
        <v>11</v>
      </c>
      <c r="CS81" s="197" t="s">
        <v>11</v>
      </c>
      <c r="CT81" s="197" t="s">
        <v>11</v>
      </c>
      <c r="CU81" s="197" t="s">
        <v>11</v>
      </c>
      <c r="CV81" s="197" t="s">
        <v>11</v>
      </c>
      <c r="CW81" s="206"/>
      <c r="CX81" s="190" t="s">
        <v>140</v>
      </c>
      <c r="CY81" s="190"/>
      <c r="CZ81" s="190"/>
      <c r="DA81" s="190"/>
      <c r="DB81" s="195"/>
      <c r="DC81" s="190"/>
      <c r="DD81" s="190"/>
      <c r="DE81" s="206"/>
      <c r="DF81" s="190" t="s">
        <v>11</v>
      </c>
      <c r="DG81" s="241"/>
      <c r="DH81" s="241"/>
      <c r="DI81" s="242"/>
      <c r="DJ81" s="242"/>
    </row>
    <row r="82" spans="1:117" ht="12" x14ac:dyDescent="0.2">
      <c r="A82" s="310" t="s">
        <v>339</v>
      </c>
      <c r="B82" s="310" t="s">
        <v>338</v>
      </c>
      <c r="C82" s="311" t="s">
        <v>133</v>
      </c>
      <c r="D82" s="311" t="s">
        <v>333</v>
      </c>
      <c r="E82" s="311" t="s">
        <v>323</v>
      </c>
      <c r="F82" s="311" t="s">
        <v>133</v>
      </c>
      <c r="G82" s="312" t="s">
        <v>189</v>
      </c>
      <c r="H82" s="234">
        <v>127500</v>
      </c>
      <c r="I82" s="160"/>
      <c r="J82" s="161" t="s">
        <v>340</v>
      </c>
      <c r="K82" s="161" t="s">
        <v>138</v>
      </c>
      <c r="L82" s="161" t="s">
        <v>147</v>
      </c>
      <c r="M82" s="161" t="s">
        <v>138</v>
      </c>
      <c r="N82" s="161" t="s">
        <v>138</v>
      </c>
      <c r="O82" s="216" t="s">
        <v>139</v>
      </c>
      <c r="P82" s="210" t="s">
        <v>140</v>
      </c>
      <c r="Q82" s="211" t="s">
        <v>11</v>
      </c>
      <c r="R82" s="212" t="s">
        <v>140</v>
      </c>
      <c r="S82" s="212" t="s">
        <v>140</v>
      </c>
      <c r="T82" s="212" t="s">
        <v>140</v>
      </c>
      <c r="U82" s="212" t="s">
        <v>140</v>
      </c>
      <c r="V82" s="211" t="s">
        <v>140</v>
      </c>
      <c r="W82" s="211" t="s">
        <v>140</v>
      </c>
      <c r="X82" s="211" t="s">
        <v>140</v>
      </c>
      <c r="Y82" s="211" t="s">
        <v>11</v>
      </c>
      <c r="Z82" s="211" t="s">
        <v>140</v>
      </c>
      <c r="AA82" s="211" t="s">
        <v>148</v>
      </c>
      <c r="AB82" s="211" t="s">
        <v>148</v>
      </c>
      <c r="AC82" s="212" t="s">
        <v>11</v>
      </c>
      <c r="AD82" s="212" t="s">
        <v>11</v>
      </c>
      <c r="AE82" s="210" t="s">
        <v>140</v>
      </c>
      <c r="AF82" s="212" t="s">
        <v>11</v>
      </c>
      <c r="AG82" s="210" t="s">
        <v>140</v>
      </c>
      <c r="AH82" s="215">
        <v>3</v>
      </c>
      <c r="AI82" s="212" t="s">
        <v>148</v>
      </c>
      <c r="AJ82" s="187"/>
      <c r="AK82" s="212" t="s">
        <v>11</v>
      </c>
      <c r="AL82" s="212" t="s">
        <v>11</v>
      </c>
      <c r="AM82" s="249"/>
      <c r="AN82" s="190" t="s">
        <v>11</v>
      </c>
      <c r="AO82" s="190" t="s">
        <v>140</v>
      </c>
      <c r="AP82" s="190" t="s">
        <v>140</v>
      </c>
      <c r="AQ82" s="190" t="s">
        <v>140</v>
      </c>
      <c r="AR82" s="190" t="s">
        <v>11</v>
      </c>
      <c r="AS82" s="190" t="s">
        <v>11</v>
      </c>
      <c r="AT82" s="190" t="s">
        <v>11</v>
      </c>
      <c r="AU82" s="190" t="s">
        <v>140</v>
      </c>
      <c r="AV82" s="190" t="s">
        <v>11</v>
      </c>
      <c r="AW82" s="190" t="s">
        <v>140</v>
      </c>
      <c r="AX82" s="190"/>
      <c r="AY82" s="190"/>
      <c r="AZ82" s="190"/>
      <c r="BA82" s="190"/>
      <c r="BB82" s="190" t="s">
        <v>11</v>
      </c>
      <c r="BC82" s="190"/>
      <c r="BD82" s="190"/>
      <c r="BE82" s="190"/>
      <c r="BF82" s="190"/>
      <c r="BG82" s="206"/>
      <c r="BH82" s="190" t="s">
        <v>11</v>
      </c>
      <c r="BI82" s="246" t="s">
        <v>11</v>
      </c>
      <c r="BJ82" s="218" t="s">
        <v>11</v>
      </c>
      <c r="BK82" s="288" t="s">
        <v>11</v>
      </c>
      <c r="BL82" s="190" t="s">
        <v>11</v>
      </c>
      <c r="BM82" s="190" t="s">
        <v>11</v>
      </c>
      <c r="BN82" s="190" t="s">
        <v>11</v>
      </c>
      <c r="BO82" s="190" t="s">
        <v>11</v>
      </c>
      <c r="BP82" s="190" t="s">
        <v>11</v>
      </c>
      <c r="BQ82" s="206"/>
      <c r="BR82" s="253"/>
      <c r="BS82" s="261"/>
      <c r="BT82" s="193"/>
      <c r="BU82" s="193"/>
      <c r="BV82" s="253"/>
      <c r="BW82" s="261"/>
      <c r="BX82" s="193"/>
      <c r="BY82" s="193"/>
      <c r="BZ82" s="193"/>
      <c r="CA82" s="193"/>
      <c r="CB82" s="262"/>
      <c r="CC82" s="174"/>
      <c r="CD82" s="253"/>
      <c r="CE82" s="253"/>
      <c r="CF82" s="253"/>
      <c r="CG82" s="262"/>
      <c r="CH82" s="253"/>
      <c r="CI82" s="253"/>
      <c r="CJ82" s="263"/>
      <c r="CK82" s="255"/>
      <c r="CL82" s="261"/>
      <c r="CM82" s="264"/>
      <c r="CN82" s="262"/>
      <c r="CO82" s="206"/>
      <c r="CP82" s="197"/>
      <c r="CQ82" s="197"/>
      <c r="CR82" s="197"/>
      <c r="CS82" s="197"/>
      <c r="CT82" s="197"/>
      <c r="CU82" s="197"/>
      <c r="CV82" s="197"/>
      <c r="CW82" s="206"/>
      <c r="CX82" s="190"/>
      <c r="CY82" s="190"/>
      <c r="CZ82" s="190"/>
      <c r="DA82" s="190"/>
      <c r="DB82" s="195"/>
      <c r="DC82" s="190"/>
      <c r="DD82" s="190"/>
      <c r="DE82" s="206"/>
      <c r="DF82" s="190" t="s">
        <v>147</v>
      </c>
      <c r="DG82" s="241"/>
      <c r="DH82" s="241"/>
      <c r="DI82" s="242"/>
      <c r="DJ82" s="242"/>
    </row>
    <row r="83" spans="1:117" ht="12" x14ac:dyDescent="0.2">
      <c r="A83" s="310" t="s">
        <v>341</v>
      </c>
      <c r="B83" s="310" t="s">
        <v>342</v>
      </c>
      <c r="C83" s="311" t="s">
        <v>133</v>
      </c>
      <c r="D83" s="311" t="s">
        <v>333</v>
      </c>
      <c r="E83" s="311" t="s">
        <v>323</v>
      </c>
      <c r="F83" s="311" t="s">
        <v>133</v>
      </c>
      <c r="G83" s="312" t="s">
        <v>189</v>
      </c>
      <c r="H83" s="234">
        <v>22000</v>
      </c>
      <c r="I83" s="160"/>
      <c r="J83" s="161" t="s">
        <v>343</v>
      </c>
      <c r="K83" s="161" t="s">
        <v>138</v>
      </c>
      <c r="L83" s="161" t="s">
        <v>147</v>
      </c>
      <c r="M83" s="161" t="s">
        <v>138</v>
      </c>
      <c r="N83" s="161" t="s">
        <v>138</v>
      </c>
      <c r="O83" s="216" t="s">
        <v>139</v>
      </c>
      <c r="P83" s="210" t="s">
        <v>140</v>
      </c>
      <c r="Q83" s="211" t="s">
        <v>11</v>
      </c>
      <c r="R83" s="212" t="s">
        <v>140</v>
      </c>
      <c r="S83" s="212" t="s">
        <v>140</v>
      </c>
      <c r="T83" s="212" t="s">
        <v>11</v>
      </c>
      <c r="U83" s="211" t="s">
        <v>11</v>
      </c>
      <c r="V83" s="211" t="s">
        <v>140</v>
      </c>
      <c r="W83" s="211" t="s">
        <v>11</v>
      </c>
      <c r="X83" s="211" t="s">
        <v>11</v>
      </c>
      <c r="Y83" s="211" t="s">
        <v>11</v>
      </c>
      <c r="Z83" s="211" t="s">
        <v>140</v>
      </c>
      <c r="AA83" s="211" t="s">
        <v>140</v>
      </c>
      <c r="AB83" s="211" t="s">
        <v>140</v>
      </c>
      <c r="AC83" s="212" t="s">
        <v>11</v>
      </c>
      <c r="AD83" s="212" t="s">
        <v>11</v>
      </c>
      <c r="AE83" s="212" t="s">
        <v>11</v>
      </c>
      <c r="AF83" s="212" t="s">
        <v>11</v>
      </c>
      <c r="AG83" s="210" t="s">
        <v>140</v>
      </c>
      <c r="AH83" s="215">
        <v>5</v>
      </c>
      <c r="AI83" s="212" t="s">
        <v>11</v>
      </c>
      <c r="AJ83" s="187"/>
      <c r="AK83" s="212" t="s">
        <v>11</v>
      </c>
      <c r="AL83" s="212" t="s">
        <v>11</v>
      </c>
      <c r="AM83" s="249"/>
      <c r="AN83" s="190" t="s">
        <v>11</v>
      </c>
      <c r="AO83" s="190" t="s">
        <v>140</v>
      </c>
      <c r="AP83" s="190" t="s">
        <v>11</v>
      </c>
      <c r="AQ83" s="190" t="s">
        <v>140</v>
      </c>
      <c r="AR83" s="190" t="s">
        <v>11</v>
      </c>
      <c r="AS83" s="190" t="s">
        <v>148</v>
      </c>
      <c r="AT83" s="190" t="s">
        <v>11</v>
      </c>
      <c r="AU83" s="190" t="s">
        <v>11</v>
      </c>
      <c r="AV83" s="190" t="s">
        <v>11</v>
      </c>
      <c r="AW83" s="190" t="s">
        <v>11</v>
      </c>
      <c r="AX83" s="190"/>
      <c r="AY83" s="190"/>
      <c r="AZ83" s="190"/>
      <c r="BA83" s="190"/>
      <c r="BB83" s="190" t="s">
        <v>11</v>
      </c>
      <c r="BC83" s="190"/>
      <c r="BD83" s="190"/>
      <c r="BE83" s="190"/>
      <c r="BF83" s="190"/>
      <c r="BG83" s="206"/>
      <c r="BH83" s="190" t="s">
        <v>11</v>
      </c>
      <c r="BI83" s="246" t="s">
        <v>11</v>
      </c>
      <c r="BJ83" s="218" t="s">
        <v>11</v>
      </c>
      <c r="BK83" s="288" t="s">
        <v>11</v>
      </c>
      <c r="BL83" s="190" t="s">
        <v>11</v>
      </c>
      <c r="BM83" s="190" t="s">
        <v>11</v>
      </c>
      <c r="BN83" s="190" t="s">
        <v>11</v>
      </c>
      <c r="BO83" s="190" t="s">
        <v>11</v>
      </c>
      <c r="BP83" s="190" t="s">
        <v>11</v>
      </c>
      <c r="BQ83" s="206"/>
      <c r="BR83" s="253" t="s">
        <v>141</v>
      </c>
      <c r="BS83" s="261" t="s">
        <v>141</v>
      </c>
      <c r="BT83" s="193" t="s">
        <v>141</v>
      </c>
      <c r="BU83" s="193" t="s">
        <v>141</v>
      </c>
      <c r="BV83" s="253" t="s">
        <v>141</v>
      </c>
      <c r="BW83" s="261" t="s">
        <v>141</v>
      </c>
      <c r="BX83" s="193" t="s">
        <v>141</v>
      </c>
      <c r="BY83" s="193" t="s">
        <v>141</v>
      </c>
      <c r="BZ83" s="193" t="s">
        <v>141</v>
      </c>
      <c r="CA83" s="193" t="s">
        <v>141</v>
      </c>
      <c r="CB83" s="262" t="s">
        <v>141</v>
      </c>
      <c r="CC83" s="174"/>
      <c r="CD83" s="253" t="s">
        <v>141</v>
      </c>
      <c r="CE83" s="253" t="s">
        <v>141</v>
      </c>
      <c r="CF83" s="253" t="s">
        <v>141</v>
      </c>
      <c r="CG83" s="262" t="s">
        <v>141</v>
      </c>
      <c r="CH83" s="253" t="s">
        <v>141</v>
      </c>
      <c r="CI83" s="253" t="s">
        <v>141</v>
      </c>
      <c r="CJ83" s="263" t="s">
        <v>141</v>
      </c>
      <c r="CK83" s="255" t="s">
        <v>141</v>
      </c>
      <c r="CL83" s="261" t="s">
        <v>11</v>
      </c>
      <c r="CM83" s="264" t="s">
        <v>11</v>
      </c>
      <c r="CN83" s="262" t="s">
        <v>141</v>
      </c>
      <c r="CO83" s="206"/>
      <c r="CP83" s="197" t="s">
        <v>140</v>
      </c>
      <c r="CQ83" s="197" t="s">
        <v>148</v>
      </c>
      <c r="CR83" s="197"/>
      <c r="CS83" s="197"/>
      <c r="CT83" s="197"/>
      <c r="CU83" s="197"/>
      <c r="CV83" s="197"/>
      <c r="CW83" s="206"/>
      <c r="CX83" s="190" t="s">
        <v>11</v>
      </c>
      <c r="CY83" s="190"/>
      <c r="CZ83" s="190"/>
      <c r="DA83" s="190"/>
      <c r="DB83" s="195"/>
      <c r="DC83" s="190"/>
      <c r="DD83" s="190"/>
      <c r="DE83" s="206"/>
      <c r="DF83" s="190" t="s">
        <v>11</v>
      </c>
      <c r="DG83" s="241"/>
      <c r="DH83" s="241"/>
      <c r="DI83" s="242"/>
      <c r="DJ83" s="242"/>
    </row>
    <row r="84" spans="1:117" ht="12" x14ac:dyDescent="0.2">
      <c r="A84" s="142"/>
      <c r="B84" s="142"/>
      <c r="C84" s="151"/>
      <c r="D84" s="151"/>
      <c r="E84" s="151"/>
      <c r="F84" s="151"/>
      <c r="G84" s="151"/>
      <c r="H84" s="236"/>
      <c r="I84" s="151"/>
      <c r="J84" s="151"/>
      <c r="K84" s="151"/>
      <c r="L84" s="151"/>
      <c r="M84" s="151"/>
      <c r="N84" s="151"/>
      <c r="O84" s="228"/>
      <c r="P84" s="174"/>
      <c r="Q84" s="174"/>
      <c r="R84" s="174"/>
      <c r="S84" s="174"/>
      <c r="T84" s="174"/>
      <c r="U84" s="174"/>
      <c r="V84" s="174"/>
      <c r="W84" s="174"/>
      <c r="X84" s="174"/>
      <c r="Y84" s="174"/>
      <c r="Z84" s="174"/>
      <c r="AA84" s="174"/>
      <c r="AB84" s="174"/>
      <c r="AC84" s="174"/>
      <c r="AD84" s="174"/>
      <c r="AE84" s="174"/>
      <c r="AF84" s="174"/>
      <c r="AG84" s="174"/>
      <c r="AH84" s="198"/>
      <c r="AI84" s="174"/>
      <c r="AJ84" s="187"/>
      <c r="AK84" s="174"/>
      <c r="AL84" s="174"/>
      <c r="AM84" s="206"/>
      <c r="AN84" s="206"/>
      <c r="AO84" s="206"/>
      <c r="AP84" s="206"/>
      <c r="AQ84" s="206"/>
      <c r="AR84" s="206"/>
      <c r="AS84" s="206"/>
      <c r="AT84" s="206"/>
      <c r="AU84" s="206"/>
      <c r="AV84" s="206"/>
      <c r="AW84" s="206"/>
      <c r="AX84" s="206"/>
      <c r="AY84" s="206"/>
      <c r="AZ84" s="206"/>
      <c r="BA84" s="206"/>
      <c r="BB84" s="206"/>
      <c r="BC84" s="206"/>
      <c r="BD84" s="206"/>
      <c r="BE84" s="206"/>
      <c r="BF84" s="206"/>
      <c r="BG84" s="206"/>
      <c r="BH84" s="174"/>
      <c r="BI84" s="174"/>
      <c r="BJ84" s="174"/>
      <c r="BK84" s="174"/>
      <c r="BL84" s="174"/>
      <c r="BM84" s="174"/>
      <c r="BN84" s="174"/>
      <c r="BO84" s="174"/>
      <c r="BP84" s="174"/>
      <c r="BQ84" s="206"/>
      <c r="BR84" s="206"/>
      <c r="BS84" s="206"/>
      <c r="BT84" s="206"/>
      <c r="BU84" s="206"/>
      <c r="BV84" s="206"/>
      <c r="BW84" s="206"/>
      <c r="BX84" s="206"/>
      <c r="BY84" s="206"/>
      <c r="BZ84" s="206"/>
      <c r="CA84" s="206"/>
      <c r="CB84" s="206"/>
      <c r="CC84" s="206"/>
      <c r="CD84" s="174"/>
      <c r="CE84" s="174"/>
      <c r="CF84" s="174"/>
      <c r="CG84" s="174"/>
      <c r="CH84" s="174"/>
      <c r="CI84" s="174"/>
      <c r="CJ84" s="174"/>
      <c r="CK84" s="174"/>
      <c r="CL84" s="174"/>
      <c r="CM84" s="174"/>
      <c r="CN84" s="174"/>
      <c r="CO84" s="206"/>
      <c r="CP84" s="174"/>
      <c r="CQ84" s="206"/>
      <c r="CR84" s="206"/>
      <c r="CS84" s="206"/>
      <c r="CT84" s="225"/>
      <c r="CU84" s="206"/>
      <c r="CV84" s="206"/>
      <c r="CW84" s="206"/>
      <c r="CX84" s="174"/>
      <c r="CY84" s="206"/>
      <c r="CZ84" s="206"/>
      <c r="DA84" s="206"/>
      <c r="DB84" s="225"/>
      <c r="DC84" s="206"/>
      <c r="DD84" s="206"/>
      <c r="DE84" s="206"/>
      <c r="DF84" s="206"/>
      <c r="DG84" s="241"/>
      <c r="DH84" s="241"/>
      <c r="DI84" s="242"/>
      <c r="DJ84" s="242"/>
    </row>
    <row r="85" spans="1:117" ht="12" x14ac:dyDescent="0.2">
      <c r="A85" s="360" t="s">
        <v>344</v>
      </c>
      <c r="B85" s="361"/>
      <c r="C85" s="361"/>
      <c r="D85" s="361"/>
      <c r="E85" s="361"/>
      <c r="F85" s="361"/>
      <c r="G85" s="361"/>
      <c r="H85" s="237"/>
      <c r="I85" s="158"/>
      <c r="J85" s="158"/>
      <c r="K85" s="158"/>
      <c r="L85" s="158"/>
      <c r="M85" s="158"/>
      <c r="N85" s="158"/>
      <c r="O85" s="186"/>
      <c r="P85" s="200"/>
      <c r="Q85" s="200"/>
      <c r="R85" s="200"/>
      <c r="S85" s="200"/>
      <c r="T85" s="200"/>
      <c r="U85" s="200"/>
      <c r="V85" s="200"/>
      <c r="W85" s="200"/>
      <c r="X85" s="200"/>
      <c r="Y85" s="200"/>
      <c r="Z85" s="200"/>
      <c r="AA85" s="200"/>
      <c r="AB85" s="200"/>
      <c r="AC85" s="200"/>
      <c r="AD85" s="200"/>
      <c r="AE85" s="200"/>
      <c r="AF85" s="200"/>
      <c r="AG85" s="200"/>
      <c r="AH85" s="200"/>
      <c r="AI85" s="200"/>
      <c r="AJ85" s="186"/>
      <c r="AK85" s="200"/>
      <c r="AL85" s="200"/>
      <c r="AM85" s="200"/>
      <c r="AN85" s="200"/>
      <c r="AO85" s="200"/>
      <c r="AP85" s="200"/>
      <c r="AQ85" s="200"/>
      <c r="AR85" s="200"/>
      <c r="AS85" s="200"/>
      <c r="AT85" s="200"/>
      <c r="AU85" s="200"/>
      <c r="AV85" s="200"/>
      <c r="AW85" s="200"/>
      <c r="AX85" s="200"/>
      <c r="AY85" s="200"/>
      <c r="AZ85" s="200"/>
      <c r="BA85" s="200"/>
      <c r="BB85" s="200"/>
      <c r="BC85" s="200"/>
      <c r="BD85" s="200"/>
      <c r="BE85" s="200"/>
      <c r="BF85" s="200"/>
      <c r="BG85" s="200"/>
      <c r="BH85" s="200"/>
      <c r="BI85" s="200"/>
      <c r="BJ85" s="200"/>
      <c r="BK85" s="200"/>
      <c r="BL85" s="200"/>
      <c r="BM85" s="200"/>
      <c r="BN85" s="200"/>
      <c r="BO85" s="200"/>
      <c r="BP85" s="200"/>
      <c r="BQ85" s="200"/>
      <c r="BR85" s="200"/>
      <c r="BS85" s="200"/>
      <c r="BT85" s="200"/>
      <c r="BU85" s="200"/>
      <c r="BV85" s="200"/>
      <c r="BW85" s="200"/>
      <c r="BX85" s="200"/>
      <c r="BY85" s="200"/>
      <c r="BZ85" s="200"/>
      <c r="CA85" s="200"/>
      <c r="CB85" s="200"/>
      <c r="CC85" s="200"/>
      <c r="CD85" s="200"/>
      <c r="CE85" s="200"/>
      <c r="CF85" s="200"/>
      <c r="CG85" s="200"/>
      <c r="CH85" s="200"/>
      <c r="CI85" s="200"/>
      <c r="CJ85" s="200"/>
      <c r="CK85" s="200"/>
      <c r="CL85" s="200"/>
      <c r="CM85" s="200"/>
      <c r="CN85" s="200"/>
      <c r="CO85" s="206"/>
      <c r="CP85" s="200"/>
      <c r="CQ85" s="200"/>
      <c r="CR85" s="200"/>
      <c r="CS85" s="200"/>
      <c r="CT85" s="200"/>
      <c r="CU85" s="200"/>
      <c r="CV85" s="200"/>
      <c r="CW85" s="206"/>
      <c r="CX85" s="200"/>
      <c r="CY85" s="200"/>
      <c r="CZ85" s="200"/>
      <c r="DA85" s="200"/>
      <c r="DB85" s="200"/>
      <c r="DC85" s="200"/>
      <c r="DD85" s="200"/>
      <c r="DE85" s="200"/>
      <c r="DF85" s="200"/>
      <c r="DG85" s="250"/>
      <c r="DH85" s="250"/>
      <c r="DI85" s="251"/>
      <c r="DJ85" s="251"/>
      <c r="DK85" s="159"/>
      <c r="DL85" s="159"/>
      <c r="DM85" s="159"/>
    </row>
    <row r="86" spans="1:117" ht="12" x14ac:dyDescent="0.2">
      <c r="A86" s="327" t="s">
        <v>345</v>
      </c>
      <c r="B86" s="327" t="s">
        <v>11</v>
      </c>
      <c r="C86" s="328" t="s">
        <v>346</v>
      </c>
      <c r="D86" s="328" t="s">
        <v>347</v>
      </c>
      <c r="E86" s="328" t="s">
        <v>133</v>
      </c>
      <c r="F86" s="328" t="s">
        <v>133</v>
      </c>
      <c r="G86" s="329" t="s">
        <v>189</v>
      </c>
      <c r="H86" s="234">
        <v>50000</v>
      </c>
      <c r="I86" s="160">
        <v>0</v>
      </c>
      <c r="J86" s="161" t="s">
        <v>237</v>
      </c>
      <c r="K86" s="161" t="s">
        <v>147</v>
      </c>
      <c r="L86" s="161" t="s">
        <v>138</v>
      </c>
      <c r="M86" s="161" t="s">
        <v>138</v>
      </c>
      <c r="N86" s="161" t="s">
        <v>138</v>
      </c>
      <c r="O86" s="216" t="s">
        <v>139</v>
      </c>
      <c r="P86" s="210" t="s">
        <v>140</v>
      </c>
      <c r="Q86" s="211" t="s">
        <v>11</v>
      </c>
      <c r="R86" s="212" t="s">
        <v>11</v>
      </c>
      <c r="S86" s="211" t="s">
        <v>11</v>
      </c>
      <c r="T86" s="211" t="s">
        <v>11</v>
      </c>
      <c r="U86" s="211" t="s">
        <v>11</v>
      </c>
      <c r="V86" s="211" t="s">
        <v>140</v>
      </c>
      <c r="W86" s="211" t="s">
        <v>11</v>
      </c>
      <c r="X86" s="211" t="s">
        <v>11</v>
      </c>
      <c r="Y86" s="211" t="s">
        <v>11</v>
      </c>
      <c r="Z86" s="211" t="s">
        <v>140</v>
      </c>
      <c r="AA86" s="211" t="s">
        <v>11</v>
      </c>
      <c r="AB86" s="211" t="s">
        <v>140</v>
      </c>
      <c r="AC86" s="212" t="s">
        <v>11</v>
      </c>
      <c r="AD86" s="212" t="s">
        <v>11</v>
      </c>
      <c r="AE86" s="210" t="s">
        <v>140</v>
      </c>
      <c r="AF86" s="210" t="s">
        <v>11</v>
      </c>
      <c r="AG86" s="212" t="s">
        <v>11</v>
      </c>
      <c r="AH86" s="219">
        <v>0</v>
      </c>
      <c r="AI86" s="212" t="s">
        <v>11</v>
      </c>
      <c r="AJ86" s="187"/>
      <c r="AK86" s="212" t="s">
        <v>11</v>
      </c>
      <c r="AL86" s="212" t="s">
        <v>11</v>
      </c>
      <c r="AM86" s="206"/>
      <c r="AN86" s="190" t="s">
        <v>11</v>
      </c>
      <c r="AO86" s="190" t="s">
        <v>11</v>
      </c>
      <c r="AP86" s="190" t="s">
        <v>11</v>
      </c>
      <c r="AQ86" s="190" t="s">
        <v>11</v>
      </c>
      <c r="AR86" s="190" t="s">
        <v>140</v>
      </c>
      <c r="AS86" s="190" t="s">
        <v>11</v>
      </c>
      <c r="AT86" s="190" t="s">
        <v>11</v>
      </c>
      <c r="AU86" s="190" t="s">
        <v>11</v>
      </c>
      <c r="AV86" s="190" t="s">
        <v>11</v>
      </c>
      <c r="AW86" s="190" t="s">
        <v>11</v>
      </c>
      <c r="AX86" s="190"/>
      <c r="AY86" s="190"/>
      <c r="AZ86" s="190"/>
      <c r="BA86" s="190"/>
      <c r="BB86" s="190" t="s">
        <v>140</v>
      </c>
      <c r="BC86" s="190"/>
      <c r="BD86" s="190"/>
      <c r="BE86" s="190"/>
      <c r="BF86" s="190"/>
      <c r="BG86" s="206"/>
      <c r="BH86" s="190" t="s">
        <v>11</v>
      </c>
      <c r="BI86" s="190"/>
      <c r="BJ86" s="190"/>
      <c r="BK86" s="190" t="s">
        <v>11</v>
      </c>
      <c r="BL86" s="190" t="s">
        <v>11</v>
      </c>
      <c r="BM86" s="190" t="s">
        <v>11</v>
      </c>
      <c r="BN86" s="190" t="s">
        <v>11</v>
      </c>
      <c r="BO86" s="190" t="s">
        <v>11</v>
      </c>
      <c r="BP86" s="190" t="s">
        <v>11</v>
      </c>
      <c r="BQ86" s="206"/>
      <c r="BR86" s="253" t="s">
        <v>141</v>
      </c>
      <c r="BS86" s="261" t="s">
        <v>141</v>
      </c>
      <c r="BT86" s="193" t="s">
        <v>11</v>
      </c>
      <c r="BU86" s="193" t="s">
        <v>141</v>
      </c>
      <c r="BV86" s="253" t="s">
        <v>141</v>
      </c>
      <c r="BW86" s="261" t="s">
        <v>11</v>
      </c>
      <c r="BX86" s="193" t="s">
        <v>11</v>
      </c>
      <c r="BY86" s="193" t="s">
        <v>141</v>
      </c>
      <c r="BZ86" s="193" t="s">
        <v>141</v>
      </c>
      <c r="CA86" s="193" t="s">
        <v>11</v>
      </c>
      <c r="CB86" s="255" t="s">
        <v>11</v>
      </c>
      <c r="CC86" s="174"/>
      <c r="CD86" s="253" t="s">
        <v>141</v>
      </c>
      <c r="CE86" s="253" t="s">
        <v>141</v>
      </c>
      <c r="CF86" s="253" t="s">
        <v>141</v>
      </c>
      <c r="CG86" s="256" t="s">
        <v>11</v>
      </c>
      <c r="CH86" s="253" t="s">
        <v>141</v>
      </c>
      <c r="CI86" s="265" t="s">
        <v>11</v>
      </c>
      <c r="CJ86" s="266" t="s">
        <v>11</v>
      </c>
      <c r="CK86" s="255" t="s">
        <v>11</v>
      </c>
      <c r="CL86" s="261" t="s">
        <v>11</v>
      </c>
      <c r="CM86" s="193" t="s">
        <v>11</v>
      </c>
      <c r="CN86" s="262" t="s">
        <v>141</v>
      </c>
      <c r="CO86" s="206"/>
      <c r="CP86" s="197" t="s">
        <v>11</v>
      </c>
      <c r="CQ86" s="197" t="s">
        <v>11</v>
      </c>
      <c r="CR86" s="197" t="s">
        <v>11</v>
      </c>
      <c r="CS86" s="197" t="s">
        <v>11</v>
      </c>
      <c r="CT86" s="197" t="s">
        <v>11</v>
      </c>
      <c r="CU86" s="197" t="s">
        <v>11</v>
      </c>
      <c r="CV86" s="197" t="s">
        <v>11</v>
      </c>
      <c r="CW86" s="206"/>
      <c r="CX86" s="190" t="s">
        <v>11</v>
      </c>
      <c r="CY86" s="190" t="s">
        <v>11</v>
      </c>
      <c r="CZ86" s="190" t="s">
        <v>11</v>
      </c>
      <c r="DA86" s="190" t="s">
        <v>11</v>
      </c>
      <c r="DB86" s="174" t="s">
        <v>11</v>
      </c>
      <c r="DC86" s="190" t="s">
        <v>11</v>
      </c>
      <c r="DD86" s="190" t="s">
        <v>11</v>
      </c>
      <c r="DE86" s="206"/>
      <c r="DF86" s="190" t="s">
        <v>11</v>
      </c>
      <c r="DG86" s="241"/>
      <c r="DH86" s="241"/>
      <c r="DI86" s="242"/>
      <c r="DJ86" s="242"/>
    </row>
    <row r="87" spans="1:117" ht="12" x14ac:dyDescent="0.2">
      <c r="A87" s="330" t="s">
        <v>348</v>
      </c>
      <c r="B87" s="330" t="s">
        <v>166</v>
      </c>
      <c r="C87" s="328" t="s">
        <v>346</v>
      </c>
      <c r="D87" s="328" t="s">
        <v>322</v>
      </c>
      <c r="E87" s="328" t="s">
        <v>133</v>
      </c>
      <c r="F87" s="331" t="s">
        <v>133</v>
      </c>
      <c r="G87" s="329" t="s">
        <v>189</v>
      </c>
      <c r="H87" s="234">
        <v>53100</v>
      </c>
      <c r="I87" s="147" t="s">
        <v>11</v>
      </c>
      <c r="J87" s="323" t="s">
        <v>161</v>
      </c>
      <c r="K87" s="147" t="s">
        <v>147</v>
      </c>
      <c r="L87" s="147" t="s">
        <v>138</v>
      </c>
      <c r="M87" s="313" t="s">
        <v>11</v>
      </c>
      <c r="N87" s="147" t="s">
        <v>138</v>
      </c>
      <c r="O87" s="227" t="s">
        <v>139</v>
      </c>
      <c r="P87" s="210" t="s">
        <v>140</v>
      </c>
      <c r="Q87" s="211" t="s">
        <v>11</v>
      </c>
      <c r="R87" s="212" t="s">
        <v>140</v>
      </c>
      <c r="S87" s="212" t="s">
        <v>140</v>
      </c>
      <c r="T87" s="211" t="s">
        <v>11</v>
      </c>
      <c r="U87" s="211" t="s">
        <v>11</v>
      </c>
      <c r="V87" s="211" t="s">
        <v>140</v>
      </c>
      <c r="W87" s="211" t="s">
        <v>11</v>
      </c>
      <c r="X87" s="211" t="s">
        <v>140</v>
      </c>
      <c r="Y87" s="211" t="s">
        <v>11</v>
      </c>
      <c r="Z87" s="211" t="s">
        <v>140</v>
      </c>
      <c r="AA87" s="211" t="s">
        <v>140</v>
      </c>
      <c r="AB87" s="211" t="s">
        <v>140</v>
      </c>
      <c r="AC87" s="212" t="s">
        <v>11</v>
      </c>
      <c r="AD87" s="212" t="s">
        <v>11</v>
      </c>
      <c r="AE87" s="210" t="s">
        <v>140</v>
      </c>
      <c r="AF87" s="210" t="s">
        <v>11</v>
      </c>
      <c r="AG87" s="212" t="s">
        <v>148</v>
      </c>
      <c r="AH87" s="221">
        <v>12</v>
      </c>
      <c r="AI87" s="212" t="s">
        <v>140</v>
      </c>
      <c r="AJ87" s="208"/>
      <c r="AK87" s="212" t="s">
        <v>11</v>
      </c>
      <c r="AL87" s="212" t="s">
        <v>11</v>
      </c>
      <c r="AM87" s="249"/>
      <c r="AN87" s="190" t="s">
        <v>11</v>
      </c>
      <c r="AO87" s="190" t="s">
        <v>140</v>
      </c>
      <c r="AP87" s="190" t="s">
        <v>140</v>
      </c>
      <c r="AQ87" s="190" t="s">
        <v>11</v>
      </c>
      <c r="AR87" s="190" t="s">
        <v>140</v>
      </c>
      <c r="AS87" s="190" t="s">
        <v>11</v>
      </c>
      <c r="AT87" s="190" t="s">
        <v>11</v>
      </c>
      <c r="AU87" s="190" t="s">
        <v>140</v>
      </c>
      <c r="AV87" s="190" t="s">
        <v>140</v>
      </c>
      <c r="AW87" s="190" t="s">
        <v>11</v>
      </c>
      <c r="AX87" s="190"/>
      <c r="AY87" s="190"/>
      <c r="AZ87" s="190"/>
      <c r="BA87" s="190"/>
      <c r="BB87" s="190" t="s">
        <v>140</v>
      </c>
      <c r="BC87" s="190"/>
      <c r="BD87" s="190"/>
      <c r="BE87" s="190"/>
      <c r="BF87" s="190"/>
      <c r="BG87" s="243"/>
      <c r="BH87" s="190" t="s">
        <v>349</v>
      </c>
      <c r="BI87" s="246" t="s">
        <v>350</v>
      </c>
      <c r="BJ87" s="190">
        <v>383689</v>
      </c>
      <c r="BK87" s="246" t="s">
        <v>351</v>
      </c>
      <c r="BL87" s="190" t="s">
        <v>148</v>
      </c>
      <c r="BM87" s="190" t="s">
        <v>148</v>
      </c>
      <c r="BN87" s="190">
        <f>35000/2</f>
        <v>17500</v>
      </c>
      <c r="BO87" s="190" t="s">
        <v>148</v>
      </c>
      <c r="BP87" s="190" t="s">
        <v>148</v>
      </c>
      <c r="BQ87" s="243"/>
      <c r="BR87" s="190" t="s">
        <v>141</v>
      </c>
      <c r="BS87" s="190" t="s">
        <v>141</v>
      </c>
      <c r="BT87" s="190" t="s">
        <v>141</v>
      </c>
      <c r="BU87" s="190" t="s">
        <v>141</v>
      </c>
      <c r="BV87" s="190" t="s">
        <v>141</v>
      </c>
      <c r="BW87" s="190" t="s">
        <v>141</v>
      </c>
      <c r="BX87" s="190" t="s">
        <v>141</v>
      </c>
      <c r="BY87" s="190" t="s">
        <v>141</v>
      </c>
      <c r="BZ87" s="190" t="s">
        <v>141</v>
      </c>
      <c r="CA87" s="190" t="s">
        <v>11</v>
      </c>
      <c r="CB87" s="190" t="s">
        <v>141</v>
      </c>
      <c r="CC87" s="243"/>
      <c r="CD87" s="190" t="s">
        <v>141</v>
      </c>
      <c r="CE87" s="190" t="s">
        <v>141</v>
      </c>
      <c r="CF87" s="190" t="s">
        <v>141</v>
      </c>
      <c r="CG87" s="190" t="s">
        <v>141</v>
      </c>
      <c r="CH87" s="190" t="s">
        <v>141</v>
      </c>
      <c r="CI87" s="190" t="s">
        <v>141</v>
      </c>
      <c r="CJ87" s="190" t="s">
        <v>141</v>
      </c>
      <c r="CK87" s="190" t="s">
        <v>11</v>
      </c>
      <c r="CL87" s="190" t="s">
        <v>11</v>
      </c>
      <c r="CM87" s="190" t="s">
        <v>11</v>
      </c>
      <c r="CN87" s="190" t="s">
        <v>141</v>
      </c>
      <c r="CO87" s="222"/>
      <c r="CP87" s="197" t="s">
        <v>11</v>
      </c>
      <c r="CQ87" s="197" t="s">
        <v>11</v>
      </c>
      <c r="CR87" s="197" t="s">
        <v>11</v>
      </c>
      <c r="CS87" s="197" t="s">
        <v>11</v>
      </c>
      <c r="CT87" s="209" t="s">
        <v>11</v>
      </c>
      <c r="CU87" s="197" t="s">
        <v>11</v>
      </c>
      <c r="CV87" s="197" t="s">
        <v>11</v>
      </c>
      <c r="CW87" s="206"/>
      <c r="CX87" s="190" t="s">
        <v>148</v>
      </c>
      <c r="CY87" s="190" t="s">
        <v>148</v>
      </c>
      <c r="CZ87" s="190" t="s">
        <v>148</v>
      </c>
      <c r="DA87" s="190" t="s">
        <v>148</v>
      </c>
      <c r="DB87" s="195" t="s">
        <v>148</v>
      </c>
      <c r="DC87" s="190" t="s">
        <v>148</v>
      </c>
      <c r="DD87" s="190" t="s">
        <v>148</v>
      </c>
      <c r="DE87" s="243"/>
      <c r="DF87" s="190" t="s">
        <v>11</v>
      </c>
      <c r="DG87" s="241"/>
      <c r="DH87" s="241"/>
      <c r="DI87" s="242"/>
      <c r="DJ87" s="242"/>
    </row>
    <row r="88" spans="1:117" ht="24" x14ac:dyDescent="0.2">
      <c r="A88" s="330" t="s">
        <v>352</v>
      </c>
      <c r="B88" s="330" t="s">
        <v>166</v>
      </c>
      <c r="C88" s="331" t="s">
        <v>133</v>
      </c>
      <c r="D88" s="328" t="s">
        <v>347</v>
      </c>
      <c r="E88" s="328" t="s">
        <v>133</v>
      </c>
      <c r="F88" s="331" t="s">
        <v>133</v>
      </c>
      <c r="G88" s="329" t="s">
        <v>133</v>
      </c>
      <c r="H88" s="289" t="s">
        <v>353</v>
      </c>
      <c r="I88" s="147"/>
      <c r="J88" s="147" t="s">
        <v>191</v>
      </c>
      <c r="K88" s="147" t="s">
        <v>11</v>
      </c>
      <c r="L88" s="308"/>
      <c r="M88" s="307" t="s">
        <v>138</v>
      </c>
      <c r="N88" s="309" t="s">
        <v>138</v>
      </c>
      <c r="O88" s="227" t="s">
        <v>139</v>
      </c>
      <c r="P88" s="210" t="s">
        <v>140</v>
      </c>
      <c r="Q88" s="211" t="s">
        <v>11</v>
      </c>
      <c r="R88" s="212" t="s">
        <v>140</v>
      </c>
      <c r="S88" s="212" t="s">
        <v>140</v>
      </c>
      <c r="T88" s="212" t="s">
        <v>11</v>
      </c>
      <c r="U88" s="211" t="s">
        <v>11</v>
      </c>
      <c r="V88" s="211" t="s">
        <v>11</v>
      </c>
      <c r="W88" s="211" t="s">
        <v>11</v>
      </c>
      <c r="X88" s="211" t="s">
        <v>140</v>
      </c>
      <c r="Y88" s="211" t="s">
        <v>140</v>
      </c>
      <c r="Z88" s="211" t="s">
        <v>140</v>
      </c>
      <c r="AA88" s="211" t="s">
        <v>140</v>
      </c>
      <c r="AB88" s="211" t="s">
        <v>140</v>
      </c>
      <c r="AC88" s="210" t="s">
        <v>11</v>
      </c>
      <c r="AD88" s="210" t="s">
        <v>11</v>
      </c>
      <c r="AE88" s="210" t="s">
        <v>11</v>
      </c>
      <c r="AF88" s="210" t="s">
        <v>11</v>
      </c>
      <c r="AG88" s="211" t="s">
        <v>11</v>
      </c>
      <c r="AH88" s="221">
        <v>56</v>
      </c>
      <c r="AI88" s="211" t="s">
        <v>11</v>
      </c>
      <c r="AJ88" s="208"/>
      <c r="AK88" s="212" t="s">
        <v>11</v>
      </c>
      <c r="AL88" s="212" t="s">
        <v>11</v>
      </c>
      <c r="AM88" s="249"/>
      <c r="AN88" s="190" t="s">
        <v>11</v>
      </c>
      <c r="AO88" s="190" t="s">
        <v>11</v>
      </c>
      <c r="AP88" s="190" t="s">
        <v>11</v>
      </c>
      <c r="AQ88" s="190" t="s">
        <v>11</v>
      </c>
      <c r="AR88" s="190" t="s">
        <v>11</v>
      </c>
      <c r="AS88" s="190" t="s">
        <v>11</v>
      </c>
      <c r="AT88" s="190" t="s">
        <v>11</v>
      </c>
      <c r="AU88" s="190" t="s">
        <v>11</v>
      </c>
      <c r="AV88" s="190" t="s">
        <v>11</v>
      </c>
      <c r="AW88" s="190" t="s">
        <v>11</v>
      </c>
      <c r="AX88" s="190"/>
      <c r="AY88" s="190"/>
      <c r="AZ88" s="190"/>
      <c r="BA88" s="190"/>
      <c r="BB88" s="190" t="s">
        <v>140</v>
      </c>
      <c r="BC88" s="190"/>
      <c r="BD88" s="190"/>
      <c r="BE88" s="190"/>
      <c r="BF88" s="190"/>
      <c r="BG88" s="243"/>
      <c r="BH88" s="190" t="s">
        <v>354</v>
      </c>
      <c r="BI88" s="190" t="s">
        <v>148</v>
      </c>
      <c r="BJ88" s="190" t="s">
        <v>148</v>
      </c>
      <c r="BK88" s="190" t="s">
        <v>148</v>
      </c>
      <c r="BL88" s="190" t="s">
        <v>148</v>
      </c>
      <c r="BM88" s="190" t="s">
        <v>148</v>
      </c>
      <c r="BN88" s="190" t="s">
        <v>148</v>
      </c>
      <c r="BO88" s="190" t="s">
        <v>148</v>
      </c>
      <c r="BP88" s="190" t="s">
        <v>148</v>
      </c>
      <c r="BQ88" s="243"/>
      <c r="BR88" s="190" t="s">
        <v>141</v>
      </c>
      <c r="BS88" s="190" t="s">
        <v>141</v>
      </c>
      <c r="BT88" s="190" t="s">
        <v>141</v>
      </c>
      <c r="BU88" s="190" t="s">
        <v>141</v>
      </c>
      <c r="BV88" s="190" t="s">
        <v>141</v>
      </c>
      <c r="BW88" s="190" t="s">
        <v>141</v>
      </c>
      <c r="BX88" s="190" t="s">
        <v>141</v>
      </c>
      <c r="BY88" s="190" t="s">
        <v>141</v>
      </c>
      <c r="BZ88" s="190" t="s">
        <v>141</v>
      </c>
      <c r="CA88" s="190" t="s">
        <v>11</v>
      </c>
      <c r="CB88" s="190" t="s">
        <v>141</v>
      </c>
      <c r="CC88" s="243"/>
      <c r="CD88" s="190" t="s">
        <v>141</v>
      </c>
      <c r="CE88" s="190" t="s">
        <v>141</v>
      </c>
      <c r="CF88" s="190" t="s">
        <v>141</v>
      </c>
      <c r="CG88" s="190" t="s">
        <v>141</v>
      </c>
      <c r="CH88" s="190" t="s">
        <v>141</v>
      </c>
      <c r="CI88" s="190" t="s">
        <v>141</v>
      </c>
      <c r="CJ88" s="190" t="s">
        <v>141</v>
      </c>
      <c r="CK88" s="190" t="s">
        <v>11</v>
      </c>
      <c r="CL88" s="190" t="s">
        <v>11</v>
      </c>
      <c r="CM88" s="190" t="s">
        <v>11</v>
      </c>
      <c r="CN88" s="190" t="s">
        <v>141</v>
      </c>
      <c r="CO88" s="222"/>
      <c r="CP88" s="197" t="s">
        <v>11</v>
      </c>
      <c r="CQ88" s="197" t="s">
        <v>11</v>
      </c>
      <c r="CR88" s="197" t="s">
        <v>11</v>
      </c>
      <c r="CS88" s="197" t="s">
        <v>11</v>
      </c>
      <c r="CT88" s="209" t="s">
        <v>11</v>
      </c>
      <c r="CU88" s="197" t="s">
        <v>11</v>
      </c>
      <c r="CV88" s="197" t="s">
        <v>11</v>
      </c>
      <c r="CW88" s="206"/>
      <c r="CX88" s="197" t="s">
        <v>11</v>
      </c>
      <c r="CY88" s="197" t="s">
        <v>11</v>
      </c>
      <c r="CZ88" s="197" t="s">
        <v>11</v>
      </c>
      <c r="DA88" s="197" t="s">
        <v>11</v>
      </c>
      <c r="DB88" s="197" t="s">
        <v>11</v>
      </c>
      <c r="DC88" s="197" t="s">
        <v>11</v>
      </c>
      <c r="DD88" s="197" t="s">
        <v>11</v>
      </c>
      <c r="DE88" s="243"/>
      <c r="DF88" s="190" t="s">
        <v>11</v>
      </c>
      <c r="DG88" s="241"/>
      <c r="DH88" s="241"/>
      <c r="DI88" s="242"/>
      <c r="DJ88" s="242"/>
    </row>
    <row r="89" spans="1:117" ht="24" x14ac:dyDescent="0.2">
      <c r="A89" s="330" t="s">
        <v>355</v>
      </c>
      <c r="B89" s="330"/>
      <c r="C89" s="331" t="s">
        <v>356</v>
      </c>
      <c r="D89" s="328" t="s">
        <v>347</v>
      </c>
      <c r="E89" s="328"/>
      <c r="F89" s="331"/>
      <c r="G89" s="329" t="s">
        <v>189</v>
      </c>
      <c r="H89" s="289" t="s">
        <v>357</v>
      </c>
      <c r="I89" s="147" t="s">
        <v>11</v>
      </c>
      <c r="J89" s="147" t="s">
        <v>11</v>
      </c>
      <c r="K89" s="147" t="s">
        <v>11</v>
      </c>
      <c r="L89" s="147" t="s">
        <v>138</v>
      </c>
      <c r="M89" s="307" t="s">
        <v>138</v>
      </c>
      <c r="N89" s="309" t="s">
        <v>138</v>
      </c>
      <c r="O89" s="212" t="s">
        <v>11</v>
      </c>
      <c r="P89" s="212" t="s">
        <v>11</v>
      </c>
      <c r="Q89" s="211" t="s">
        <v>11</v>
      </c>
      <c r="R89" s="211" t="s">
        <v>11</v>
      </c>
      <c r="S89" s="211" t="s">
        <v>11</v>
      </c>
      <c r="T89" s="211" t="s">
        <v>11</v>
      </c>
      <c r="U89" s="211" t="s">
        <v>11</v>
      </c>
      <c r="V89" s="211" t="s">
        <v>11</v>
      </c>
      <c r="W89" s="211" t="s">
        <v>11</v>
      </c>
      <c r="X89" s="211" t="s">
        <v>11</v>
      </c>
      <c r="Y89" s="211" t="s">
        <v>11</v>
      </c>
      <c r="Z89" s="211" t="s">
        <v>11</v>
      </c>
      <c r="AA89" s="211" t="s">
        <v>11</v>
      </c>
      <c r="AB89" s="211" t="s">
        <v>11</v>
      </c>
      <c r="AC89" s="211" t="s">
        <v>11</v>
      </c>
      <c r="AD89" s="211" t="s">
        <v>11</v>
      </c>
      <c r="AE89" s="211" t="s">
        <v>140</v>
      </c>
      <c r="AF89" s="210" t="s">
        <v>11</v>
      </c>
      <c r="AG89" s="211" t="s">
        <v>11</v>
      </c>
      <c r="AH89" s="211" t="s">
        <v>11</v>
      </c>
      <c r="AI89" s="211" t="s">
        <v>11</v>
      </c>
      <c r="AJ89" s="208"/>
      <c r="AK89" s="212" t="s">
        <v>11</v>
      </c>
      <c r="AL89" s="212" t="s">
        <v>11</v>
      </c>
      <c r="AM89" s="249"/>
      <c r="AN89" s="190" t="s">
        <v>11</v>
      </c>
      <c r="AO89" s="190" t="s">
        <v>11</v>
      </c>
      <c r="AP89" s="190" t="s">
        <v>11</v>
      </c>
      <c r="AQ89" s="190" t="s">
        <v>11</v>
      </c>
      <c r="AR89" s="190" t="s">
        <v>11</v>
      </c>
      <c r="AS89" s="190" t="s">
        <v>11</v>
      </c>
      <c r="AT89" s="190" t="s">
        <v>11</v>
      </c>
      <c r="AU89" s="190" t="s">
        <v>11</v>
      </c>
      <c r="AV89" s="190"/>
      <c r="AW89" s="190"/>
      <c r="AX89" s="190"/>
      <c r="AY89" s="190"/>
      <c r="AZ89" s="190"/>
      <c r="BA89" s="190"/>
      <c r="BB89" s="190" t="s">
        <v>11</v>
      </c>
      <c r="BC89" s="190"/>
      <c r="BD89" s="190"/>
      <c r="BE89" s="190"/>
      <c r="BF89" s="190"/>
      <c r="BG89" s="243"/>
      <c r="BH89" s="190"/>
      <c r="BI89" s="190"/>
      <c r="BJ89" s="190"/>
      <c r="BK89" s="190"/>
      <c r="BL89" s="190"/>
      <c r="BM89" s="190"/>
      <c r="BN89" s="190"/>
      <c r="BO89" s="190"/>
      <c r="BP89" s="190"/>
      <c r="BQ89" s="243"/>
      <c r="BR89" s="190"/>
      <c r="BS89" s="190"/>
      <c r="BT89" s="190"/>
      <c r="BU89" s="190"/>
      <c r="BV89" s="190"/>
      <c r="BW89" s="190"/>
      <c r="BX89" s="190"/>
      <c r="BY89" s="190"/>
      <c r="BZ89" s="190"/>
      <c r="CA89" s="190"/>
      <c r="CB89" s="190"/>
      <c r="CC89" s="243"/>
      <c r="CD89" s="190"/>
      <c r="CE89" s="190"/>
      <c r="CF89" s="190"/>
      <c r="CG89" s="190"/>
      <c r="CH89" s="190"/>
      <c r="CI89" s="190"/>
      <c r="CJ89" s="190"/>
      <c r="CK89" s="190"/>
      <c r="CL89" s="190"/>
      <c r="CM89" s="190"/>
      <c r="CN89" s="190"/>
      <c r="CO89" s="222"/>
      <c r="CP89" s="197"/>
      <c r="CQ89" s="197"/>
      <c r="CR89" s="197"/>
      <c r="CS89" s="197"/>
      <c r="CT89" s="209"/>
      <c r="CU89" s="197"/>
      <c r="CV89" s="197"/>
      <c r="CW89" s="206"/>
      <c r="CX89" s="197"/>
      <c r="CY89" s="197"/>
      <c r="CZ89" s="197"/>
      <c r="DA89" s="197"/>
      <c r="DB89" s="197"/>
      <c r="DC89" s="197"/>
      <c r="DD89" s="197"/>
      <c r="DE89" s="243"/>
      <c r="DF89" s="190"/>
      <c r="DG89" s="241"/>
      <c r="DH89" s="241"/>
      <c r="DI89" s="242"/>
      <c r="DJ89" s="242"/>
    </row>
    <row r="90" spans="1:117" ht="12" x14ac:dyDescent="0.2">
      <c r="A90" s="142"/>
      <c r="B90" s="142"/>
      <c r="C90" s="151"/>
      <c r="D90" s="151"/>
      <c r="E90" s="151"/>
      <c r="F90" s="151"/>
      <c r="G90" s="151"/>
      <c r="H90" s="236"/>
      <c r="I90" s="151"/>
      <c r="J90" s="151"/>
      <c r="K90" s="151"/>
      <c r="L90" s="151"/>
      <c r="M90" s="151"/>
      <c r="N90" s="151"/>
      <c r="O90" s="228"/>
      <c r="P90" s="174"/>
      <c r="Q90" s="174"/>
      <c r="R90" s="174"/>
      <c r="S90" s="174"/>
      <c r="T90" s="174"/>
      <c r="U90" s="174"/>
      <c r="V90" s="174"/>
      <c r="W90" s="174"/>
      <c r="X90" s="174"/>
      <c r="Y90" s="174"/>
      <c r="Z90" s="174"/>
      <c r="AA90" s="174"/>
      <c r="AB90" s="174"/>
      <c r="AC90" s="174"/>
      <c r="AD90" s="174"/>
      <c r="AE90" s="174"/>
      <c r="AF90" s="174"/>
      <c r="AG90" s="174"/>
      <c r="AH90" s="198"/>
      <c r="AI90" s="174"/>
      <c r="AJ90" s="187"/>
      <c r="AK90" s="174"/>
      <c r="AL90" s="174"/>
      <c r="AM90" s="206"/>
      <c r="AN90" s="206"/>
      <c r="AO90" s="206"/>
      <c r="AP90" s="206"/>
      <c r="AQ90" s="206"/>
      <c r="AR90" s="206"/>
      <c r="AS90" s="206"/>
      <c r="AT90" s="206"/>
      <c r="AU90" s="206"/>
      <c r="AV90" s="206"/>
      <c r="AW90" s="206"/>
      <c r="AX90" s="206"/>
      <c r="AY90" s="206"/>
      <c r="AZ90" s="206"/>
      <c r="BA90" s="206"/>
      <c r="BB90" s="206"/>
      <c r="BC90" s="206"/>
      <c r="BD90" s="206"/>
      <c r="BE90" s="206"/>
      <c r="BF90" s="206"/>
      <c r="BG90" s="206"/>
      <c r="BH90" s="174"/>
      <c r="BI90" s="174"/>
      <c r="BJ90" s="174"/>
      <c r="BK90" s="174"/>
      <c r="BL90" s="174"/>
      <c r="BM90" s="174"/>
      <c r="BN90" s="174"/>
      <c r="BO90" s="174"/>
      <c r="BP90" s="174"/>
      <c r="BQ90" s="206"/>
      <c r="BR90" s="206"/>
      <c r="BS90" s="206"/>
      <c r="BT90" s="206"/>
      <c r="BU90" s="206"/>
      <c r="BV90" s="206"/>
      <c r="BW90" s="206"/>
      <c r="BX90" s="206"/>
      <c r="BY90" s="206"/>
      <c r="BZ90" s="206"/>
      <c r="CA90" s="206"/>
      <c r="CB90" s="206"/>
      <c r="CC90" s="206"/>
      <c r="CD90" s="174"/>
      <c r="CE90" s="174"/>
      <c r="CF90" s="174"/>
      <c r="CG90" s="174"/>
      <c r="CH90" s="174"/>
      <c r="CI90" s="174"/>
      <c r="CJ90" s="174"/>
      <c r="CK90" s="174"/>
      <c r="CL90" s="174"/>
      <c r="CM90" s="174"/>
      <c r="CN90" s="174"/>
      <c r="CO90" s="206"/>
      <c r="CP90" s="174"/>
      <c r="CQ90" s="206"/>
      <c r="CR90" s="206"/>
      <c r="CS90" s="206"/>
      <c r="CT90" s="225"/>
      <c r="CU90" s="206"/>
      <c r="CV90" s="206"/>
      <c r="CW90" s="206"/>
      <c r="CX90" s="174"/>
      <c r="CY90" s="206"/>
      <c r="CZ90" s="206"/>
      <c r="DA90" s="206"/>
      <c r="DB90" s="225"/>
      <c r="DC90" s="206"/>
      <c r="DD90" s="206"/>
      <c r="DE90" s="206"/>
      <c r="DF90" s="206"/>
      <c r="DG90" s="241"/>
      <c r="DH90" s="241"/>
      <c r="DI90" s="242"/>
      <c r="DJ90" s="242"/>
    </row>
    <row r="91" spans="1:117" ht="12" x14ac:dyDescent="0.2">
      <c r="A91" s="142"/>
      <c r="B91" s="142"/>
      <c r="C91" s="151"/>
      <c r="D91" s="151"/>
      <c r="E91" s="151"/>
      <c r="F91" s="151"/>
      <c r="G91" s="151"/>
      <c r="H91" s="236"/>
      <c r="I91" s="151"/>
      <c r="J91" s="151"/>
      <c r="K91" s="151"/>
      <c r="L91" s="151"/>
      <c r="M91" s="151"/>
      <c r="N91" s="151"/>
      <c r="O91" s="199"/>
      <c r="P91" s="206"/>
      <c r="Q91" s="206"/>
      <c r="R91" s="206"/>
      <c r="S91" s="206"/>
      <c r="T91" s="206"/>
      <c r="U91" s="206"/>
      <c r="V91" s="206"/>
      <c r="W91" s="206"/>
      <c r="X91" s="206"/>
      <c r="Y91" s="206"/>
      <c r="Z91" s="206"/>
      <c r="AA91" s="206"/>
      <c r="AB91" s="206"/>
      <c r="AC91" s="206"/>
      <c r="AD91" s="206"/>
      <c r="AE91" s="206"/>
      <c r="AF91" s="206"/>
      <c r="AG91" s="206"/>
      <c r="AH91" s="206"/>
      <c r="AI91" s="174"/>
      <c r="AJ91" s="187"/>
      <c r="AK91" s="206"/>
      <c r="AL91" s="206"/>
      <c r="AM91" s="206"/>
      <c r="AN91" s="206"/>
      <c r="AO91" s="206"/>
      <c r="AP91" s="206"/>
      <c r="AQ91" s="206"/>
      <c r="AR91" s="206"/>
      <c r="AS91" s="206"/>
      <c r="AT91" s="206"/>
      <c r="AU91" s="206"/>
      <c r="AV91" s="206"/>
      <c r="AW91" s="206"/>
      <c r="AX91" s="206"/>
      <c r="AY91" s="206"/>
      <c r="AZ91" s="206"/>
      <c r="BA91" s="206"/>
      <c r="BB91" s="206"/>
      <c r="BC91" s="206"/>
      <c r="BD91" s="206"/>
      <c r="BE91" s="206"/>
      <c r="BF91" s="206"/>
      <c r="BG91" s="206"/>
      <c r="BH91" s="174"/>
      <c r="BI91" s="174"/>
      <c r="BJ91" s="174"/>
      <c r="BK91" s="174"/>
      <c r="BL91" s="174"/>
      <c r="BM91" s="174"/>
      <c r="BN91" s="174"/>
      <c r="BO91" s="174"/>
      <c r="BP91" s="174"/>
      <c r="BQ91" s="206"/>
      <c r="BR91" s="206"/>
      <c r="BS91" s="206"/>
      <c r="BT91" s="206"/>
      <c r="BU91" s="206"/>
      <c r="BV91" s="206"/>
      <c r="BW91" s="206"/>
      <c r="BX91" s="206"/>
      <c r="BY91" s="206"/>
      <c r="BZ91" s="206"/>
      <c r="CA91" s="206"/>
      <c r="CB91" s="206"/>
      <c r="CC91" s="206"/>
      <c r="CD91" s="206"/>
      <c r="CE91" s="206"/>
      <c r="CF91" s="206"/>
      <c r="CG91" s="206"/>
      <c r="CH91" s="206"/>
      <c r="CI91" s="206"/>
      <c r="CJ91" s="206"/>
      <c r="CK91" s="206"/>
      <c r="CL91" s="206"/>
      <c r="CM91" s="206"/>
      <c r="CN91" s="206"/>
      <c r="CO91" s="206"/>
      <c r="CP91" s="206"/>
      <c r="CQ91" s="206"/>
      <c r="CR91" s="206"/>
      <c r="CS91" s="206"/>
      <c r="CT91" s="225"/>
      <c r="CU91" s="206"/>
      <c r="CV91" s="206"/>
      <c r="CW91" s="206"/>
      <c r="CX91" s="206"/>
      <c r="CY91" s="206"/>
      <c r="CZ91" s="206"/>
      <c r="DA91" s="206"/>
      <c r="DB91" s="225"/>
      <c r="DC91" s="206"/>
      <c r="DD91" s="206"/>
      <c r="DE91" s="206"/>
      <c r="DF91" s="206"/>
      <c r="DG91" s="241"/>
      <c r="DH91" s="241"/>
      <c r="DI91" s="242"/>
      <c r="DJ91" s="242"/>
    </row>
    <row r="92" spans="1:117" ht="12" x14ac:dyDescent="0.2">
      <c r="A92" s="178" t="s">
        <v>358</v>
      </c>
      <c r="B92" s="322"/>
      <c r="C92" s="151"/>
      <c r="D92" s="151"/>
      <c r="E92" s="151"/>
      <c r="F92" s="151"/>
      <c r="G92" s="151"/>
      <c r="H92" s="236"/>
      <c r="I92" s="151"/>
      <c r="J92" s="151"/>
      <c r="K92" s="151"/>
      <c r="L92" s="151"/>
      <c r="M92" s="151"/>
      <c r="N92" s="151"/>
      <c r="O92" s="199"/>
      <c r="P92" s="206"/>
      <c r="Q92" s="206"/>
      <c r="R92" s="206"/>
      <c r="S92" s="206"/>
      <c r="T92" s="206"/>
      <c r="U92" s="206"/>
      <c r="V92" s="206"/>
      <c r="W92" s="206"/>
      <c r="X92" s="206"/>
      <c r="Y92" s="206"/>
      <c r="Z92" s="206"/>
      <c r="AA92" s="206"/>
      <c r="AB92" s="206"/>
      <c r="AC92" s="206"/>
      <c r="AD92" s="206"/>
      <c r="AE92" s="206"/>
      <c r="AF92" s="206"/>
      <c r="AG92" s="206"/>
      <c r="AH92" s="206"/>
      <c r="AI92" s="174"/>
      <c r="AJ92" s="187"/>
      <c r="AK92" s="206"/>
      <c r="AL92" s="206"/>
      <c r="AM92" s="206"/>
      <c r="AN92" s="206"/>
      <c r="AO92" s="206"/>
      <c r="AP92" s="206"/>
      <c r="AQ92" s="206"/>
      <c r="AR92" s="206"/>
      <c r="AS92" s="206"/>
      <c r="AT92" s="206"/>
      <c r="AU92" s="206"/>
      <c r="AV92" s="206"/>
      <c r="AW92" s="206"/>
      <c r="AX92" s="206"/>
      <c r="AY92" s="206"/>
      <c r="AZ92" s="206"/>
      <c r="BA92" s="206"/>
      <c r="BB92" s="206"/>
      <c r="BC92" s="206"/>
      <c r="BD92" s="206"/>
      <c r="BE92" s="206"/>
      <c r="BF92" s="206"/>
      <c r="BG92" s="206"/>
      <c r="BH92" s="174"/>
      <c r="BI92" s="174"/>
      <c r="BJ92" s="174"/>
      <c r="BK92" s="174"/>
      <c r="BL92" s="174"/>
      <c r="BM92" s="174"/>
      <c r="BN92" s="174"/>
      <c r="BO92" s="174"/>
      <c r="BP92" s="174"/>
      <c r="BQ92" s="206"/>
      <c r="BR92" s="206"/>
      <c r="BS92" s="206"/>
      <c r="BT92" s="206"/>
      <c r="BU92" s="206"/>
      <c r="BV92" s="206"/>
      <c r="BW92" s="206"/>
      <c r="BX92" s="206"/>
      <c r="BY92" s="206"/>
      <c r="BZ92" s="206"/>
      <c r="CA92" s="206"/>
      <c r="CB92" s="206"/>
      <c r="CC92" s="206"/>
      <c r="CD92" s="206"/>
      <c r="CE92" s="206"/>
      <c r="CF92" s="206"/>
      <c r="CG92" s="206"/>
      <c r="CH92" s="206"/>
      <c r="CI92" s="206"/>
      <c r="CJ92" s="206"/>
      <c r="CK92" s="206"/>
      <c r="CL92" s="206"/>
      <c r="CM92" s="206"/>
      <c r="CN92" s="206"/>
      <c r="CO92" s="206"/>
      <c r="CP92" s="273"/>
      <c r="CQ92" s="206"/>
      <c r="CR92" s="206"/>
      <c r="CS92" s="206"/>
      <c r="CT92" s="226"/>
      <c r="CU92" s="206"/>
      <c r="CV92" s="206"/>
      <c r="CW92" s="206"/>
      <c r="CX92" s="273"/>
      <c r="CY92" s="273"/>
      <c r="CZ92" s="273"/>
      <c r="DA92" s="273"/>
      <c r="DB92" s="226"/>
      <c r="DC92" s="273"/>
      <c r="DD92" s="273"/>
      <c r="DE92" s="206"/>
      <c r="DF92" s="273"/>
      <c r="DG92" s="241"/>
      <c r="DH92" s="241"/>
      <c r="DI92" s="242"/>
      <c r="DJ92" s="242"/>
    </row>
    <row r="93" spans="1:117" ht="12" x14ac:dyDescent="0.2">
      <c r="A93" s="179" t="s">
        <v>359</v>
      </c>
      <c r="B93" s="179"/>
      <c r="C93" s="180" t="s">
        <v>253</v>
      </c>
      <c r="D93" s="180" t="s">
        <v>133</v>
      </c>
      <c r="E93" s="180" t="s">
        <v>254</v>
      </c>
      <c r="F93" s="180" t="s">
        <v>133</v>
      </c>
      <c r="G93" s="181" t="s">
        <v>136</v>
      </c>
      <c r="H93" s="234"/>
      <c r="I93" s="147"/>
      <c r="J93" s="147"/>
      <c r="K93" s="147"/>
      <c r="L93" s="147"/>
      <c r="M93" s="147"/>
      <c r="N93" s="147"/>
      <c r="O93" s="192"/>
      <c r="P93" s="190"/>
      <c r="Q93" s="190"/>
      <c r="R93" s="190"/>
      <c r="S93" s="190"/>
      <c r="T93" s="190"/>
      <c r="U93" s="190"/>
      <c r="V93" s="190"/>
      <c r="W93" s="190"/>
      <c r="X93" s="190"/>
      <c r="Y93" s="190"/>
      <c r="Z93" s="190"/>
      <c r="AA93" s="190"/>
      <c r="AB93" s="190"/>
      <c r="AC93" s="190"/>
      <c r="AD93" s="190"/>
      <c r="AE93" s="190"/>
      <c r="AF93" s="190"/>
      <c r="AG93" s="190"/>
      <c r="AH93" s="191"/>
      <c r="AI93" s="190"/>
      <c r="AJ93" s="187"/>
      <c r="AK93" s="190"/>
      <c r="AL93" s="190"/>
      <c r="AM93" s="249"/>
      <c r="AN93" s="190"/>
      <c r="AO93" s="190"/>
      <c r="AP93" s="190"/>
      <c r="AQ93" s="190"/>
      <c r="AR93" s="190"/>
      <c r="AS93" s="190"/>
      <c r="AT93" s="190"/>
      <c r="AU93" s="190"/>
      <c r="AV93" s="190"/>
      <c r="AW93" s="190"/>
      <c r="AX93" s="190"/>
      <c r="AY93" s="190"/>
      <c r="AZ93" s="190"/>
      <c r="BA93" s="190"/>
      <c r="BB93" s="190"/>
      <c r="BC93" s="190"/>
      <c r="BD93" s="190"/>
      <c r="BE93" s="190"/>
      <c r="BF93" s="190"/>
      <c r="BG93" s="206"/>
      <c r="BH93" s="190"/>
      <c r="BI93" s="190"/>
      <c r="BJ93" s="190"/>
      <c r="BK93" s="190"/>
      <c r="BL93" s="190"/>
      <c r="BM93" s="190"/>
      <c r="BN93" s="190"/>
      <c r="BO93" s="190"/>
      <c r="BP93" s="190"/>
      <c r="BQ93" s="206"/>
      <c r="BR93" s="190"/>
      <c r="BS93" s="190"/>
      <c r="BT93" s="190"/>
      <c r="BU93" s="190"/>
      <c r="BV93" s="190"/>
      <c r="BW93" s="190"/>
      <c r="BX93" s="190"/>
      <c r="BY93" s="190"/>
      <c r="BZ93" s="190"/>
      <c r="CA93" s="190"/>
      <c r="CB93" s="190"/>
      <c r="CC93" s="206"/>
      <c r="CD93" s="190"/>
      <c r="CE93" s="190"/>
      <c r="CF93" s="190"/>
      <c r="CG93" s="190"/>
      <c r="CH93" s="190"/>
      <c r="CI93" s="190"/>
      <c r="CJ93" s="190"/>
      <c r="CK93" s="190"/>
      <c r="CL93" s="190"/>
      <c r="CM93" s="190"/>
      <c r="CN93" s="190"/>
      <c r="CO93" s="206"/>
      <c r="CP93" s="190"/>
      <c r="CQ93" s="190"/>
      <c r="CR93" s="190"/>
      <c r="CS93" s="190"/>
      <c r="CT93" s="195"/>
      <c r="CU93" s="195"/>
      <c r="CV93" s="195"/>
      <c r="CW93" s="206"/>
      <c r="CX93" s="190"/>
      <c r="CY93" s="190"/>
      <c r="CZ93" s="190"/>
      <c r="DA93" s="190"/>
      <c r="DB93" s="195"/>
      <c r="DC93" s="195"/>
      <c r="DD93" s="195"/>
      <c r="DE93" s="206"/>
      <c r="DF93" s="195"/>
      <c r="DG93" s="241"/>
      <c r="DH93" s="241"/>
      <c r="DI93" s="242"/>
      <c r="DJ93" s="242"/>
    </row>
    <row r="94" spans="1:117" ht="12" x14ac:dyDescent="0.2">
      <c r="A94" s="179" t="s">
        <v>360</v>
      </c>
      <c r="B94" s="179"/>
      <c r="C94" s="180" t="s">
        <v>133</v>
      </c>
      <c r="D94" s="180" t="s">
        <v>133</v>
      </c>
      <c r="E94" s="180" t="s">
        <v>323</v>
      </c>
      <c r="F94" s="180"/>
      <c r="G94" s="181" t="s">
        <v>222</v>
      </c>
      <c r="H94" s="234"/>
      <c r="I94" s="147"/>
      <c r="J94" s="147"/>
      <c r="K94" s="147"/>
      <c r="L94" s="147"/>
      <c r="M94" s="147"/>
      <c r="N94" s="147"/>
      <c r="O94" s="192" t="s">
        <v>11</v>
      </c>
      <c r="P94" s="192"/>
      <c r="Q94" s="192"/>
      <c r="R94" s="192"/>
      <c r="S94" s="192"/>
      <c r="T94" s="192"/>
      <c r="U94" s="192"/>
      <c r="V94" s="192"/>
      <c r="W94" s="192"/>
      <c r="X94" s="192"/>
      <c r="Y94" s="192"/>
      <c r="Z94" s="192"/>
      <c r="AA94" s="192"/>
      <c r="AB94" s="192"/>
      <c r="AC94" s="192"/>
      <c r="AD94" s="192"/>
      <c r="AE94" s="192"/>
      <c r="AF94" s="192"/>
      <c r="AG94" s="192"/>
      <c r="AH94" s="192"/>
      <c r="AI94" s="192"/>
      <c r="AJ94" s="187"/>
      <c r="AK94" s="190" t="s">
        <v>11</v>
      </c>
      <c r="AL94" s="190"/>
      <c r="AM94" s="249"/>
      <c r="AN94" s="190"/>
      <c r="AO94" s="190"/>
      <c r="AP94" s="190"/>
      <c r="AQ94" s="190"/>
      <c r="AR94" s="190"/>
      <c r="AS94" s="190"/>
      <c r="AT94" s="190"/>
      <c r="AU94" s="190"/>
      <c r="AV94" s="190"/>
      <c r="AW94" s="190"/>
      <c r="AX94" s="190"/>
      <c r="AY94" s="190"/>
      <c r="AZ94" s="190"/>
      <c r="BA94" s="190"/>
      <c r="BB94" s="190"/>
      <c r="BC94" s="190"/>
      <c r="BD94" s="190"/>
      <c r="BE94" s="190"/>
      <c r="BF94" s="190"/>
      <c r="BG94" s="206"/>
      <c r="BH94" s="190" t="s">
        <v>361</v>
      </c>
      <c r="BI94" s="190" t="s">
        <v>362</v>
      </c>
      <c r="BJ94" s="190">
        <v>28053453</v>
      </c>
      <c r="BK94" s="190" t="s">
        <v>363</v>
      </c>
      <c r="BL94" s="190" t="s">
        <v>148</v>
      </c>
      <c r="BM94" s="190" t="s">
        <v>148</v>
      </c>
      <c r="BN94" s="190" t="s">
        <v>148</v>
      </c>
      <c r="BO94" s="190" t="s">
        <v>148</v>
      </c>
      <c r="BP94" s="190" t="s">
        <v>148</v>
      </c>
      <c r="BQ94" s="206"/>
      <c r="BR94" s="190"/>
      <c r="BS94" s="190"/>
      <c r="BT94" s="190"/>
      <c r="BU94" s="190"/>
      <c r="BV94" s="190"/>
      <c r="BW94" s="190"/>
      <c r="BX94" s="190"/>
      <c r="BY94" s="190"/>
      <c r="BZ94" s="190"/>
      <c r="CA94" s="190"/>
      <c r="CB94" s="190"/>
      <c r="CC94" s="206"/>
      <c r="CD94" s="190"/>
      <c r="CE94" s="190"/>
      <c r="CF94" s="190"/>
      <c r="CG94" s="190"/>
      <c r="CH94" s="190"/>
      <c r="CI94" s="190"/>
      <c r="CJ94" s="190"/>
      <c r="CK94" s="190"/>
      <c r="CL94" s="190"/>
      <c r="CM94" s="190"/>
      <c r="CN94" s="190"/>
      <c r="CO94" s="206"/>
      <c r="CP94" s="190"/>
      <c r="CQ94" s="190"/>
      <c r="CR94" s="190"/>
      <c r="CS94" s="190"/>
      <c r="CT94" s="195"/>
      <c r="CU94" s="195"/>
      <c r="CV94" s="195"/>
      <c r="CW94" s="206"/>
      <c r="CX94" s="190"/>
      <c r="CY94" s="190"/>
      <c r="CZ94" s="190"/>
      <c r="DA94" s="190"/>
      <c r="DB94" s="195"/>
      <c r="DC94" s="195"/>
      <c r="DD94" s="195"/>
      <c r="DE94" s="206"/>
      <c r="DF94" s="195"/>
      <c r="DG94" s="241"/>
      <c r="DH94" s="241"/>
      <c r="DI94" s="242"/>
      <c r="DJ94" s="242"/>
    </row>
    <row r="95" spans="1:117" ht="12" x14ac:dyDescent="0.2">
      <c r="A95" s="179" t="s">
        <v>364</v>
      </c>
      <c r="B95" s="179"/>
      <c r="C95" s="182"/>
      <c r="D95" s="182" t="s">
        <v>347</v>
      </c>
      <c r="E95" s="182" t="s">
        <v>133</v>
      </c>
      <c r="F95" s="182"/>
      <c r="G95" s="182" t="s">
        <v>222</v>
      </c>
      <c r="H95" s="234"/>
      <c r="I95" s="183"/>
      <c r="J95" s="183"/>
      <c r="K95" s="183"/>
      <c r="L95" s="183"/>
      <c r="M95" s="183"/>
      <c r="N95" s="147"/>
      <c r="O95" s="192" t="s">
        <v>11</v>
      </c>
      <c r="P95" s="192"/>
      <c r="Q95" s="192"/>
      <c r="R95" s="192"/>
      <c r="S95" s="192"/>
      <c r="T95" s="192"/>
      <c r="U95" s="192"/>
      <c r="V95" s="192"/>
      <c r="W95" s="192"/>
      <c r="X95" s="192"/>
      <c r="Y95" s="192"/>
      <c r="Z95" s="192"/>
      <c r="AA95" s="192"/>
      <c r="AB95" s="192"/>
      <c r="AC95" s="192"/>
      <c r="AD95" s="192"/>
      <c r="AE95" s="192"/>
      <c r="AF95" s="192"/>
      <c r="AG95" s="192"/>
      <c r="AH95" s="192"/>
      <c r="AI95" s="192"/>
      <c r="AJ95" s="187"/>
      <c r="AK95" s="190" t="s">
        <v>11</v>
      </c>
      <c r="AL95" s="190"/>
      <c r="AM95" s="206"/>
      <c r="AN95" s="190"/>
      <c r="AO95" s="190"/>
      <c r="AP95" s="190"/>
      <c r="AQ95" s="190"/>
      <c r="AR95" s="190"/>
      <c r="AS95" s="190"/>
      <c r="AT95" s="190"/>
      <c r="AU95" s="190"/>
      <c r="AV95" s="190"/>
      <c r="AW95" s="190"/>
      <c r="AX95" s="190"/>
      <c r="AY95" s="190"/>
      <c r="AZ95" s="190"/>
      <c r="BA95" s="190"/>
      <c r="BB95" s="190"/>
      <c r="BC95" s="190"/>
      <c r="BD95" s="190"/>
      <c r="BE95" s="190"/>
      <c r="BF95" s="190"/>
      <c r="BG95" s="206"/>
      <c r="BH95" s="190"/>
      <c r="BI95" s="190"/>
      <c r="BJ95" s="190"/>
      <c r="BK95" s="190"/>
      <c r="BL95" s="190"/>
      <c r="BM95" s="190"/>
      <c r="BN95" s="190"/>
      <c r="BO95" s="190"/>
      <c r="BP95" s="190"/>
      <c r="BQ95" s="206"/>
      <c r="BR95" s="190"/>
      <c r="BS95" s="190"/>
      <c r="BT95" s="190"/>
      <c r="BU95" s="190"/>
      <c r="BV95" s="190"/>
      <c r="BW95" s="190"/>
      <c r="BX95" s="190"/>
      <c r="BY95" s="190"/>
      <c r="BZ95" s="190"/>
      <c r="CA95" s="190"/>
      <c r="CB95" s="190"/>
      <c r="CC95" s="206"/>
      <c r="CD95" s="190"/>
      <c r="CE95" s="190"/>
      <c r="CF95" s="190"/>
      <c r="CG95" s="190"/>
      <c r="CH95" s="190"/>
      <c r="CI95" s="190"/>
      <c r="CJ95" s="190"/>
      <c r="CK95" s="190"/>
      <c r="CL95" s="190"/>
      <c r="CM95" s="190"/>
      <c r="CN95" s="190"/>
      <c r="CO95" s="206"/>
      <c r="CP95" s="190"/>
      <c r="CQ95" s="190"/>
      <c r="CR95" s="190"/>
      <c r="CS95" s="190"/>
      <c r="CT95" s="195"/>
      <c r="CU95" s="195"/>
      <c r="CV95" s="195"/>
      <c r="CW95" s="206"/>
      <c r="CX95" s="190"/>
      <c r="CY95" s="190"/>
      <c r="CZ95" s="190"/>
      <c r="DA95" s="190"/>
      <c r="DB95" s="195"/>
      <c r="DC95" s="195"/>
      <c r="DD95" s="195"/>
      <c r="DE95" s="206"/>
      <c r="DF95" s="195"/>
      <c r="DG95" s="241"/>
      <c r="DH95" s="241"/>
      <c r="DI95" s="242"/>
      <c r="DJ95" s="242"/>
    </row>
    <row r="96" spans="1:117" ht="12" x14ac:dyDescent="0.2">
      <c r="A96" s="179" t="s">
        <v>365</v>
      </c>
      <c r="B96" s="179"/>
      <c r="C96" s="182" t="s">
        <v>133</v>
      </c>
      <c r="D96" s="182" t="s">
        <v>236</v>
      </c>
      <c r="E96" s="182" t="s">
        <v>133</v>
      </c>
      <c r="F96" s="182"/>
      <c r="G96" s="182" t="s">
        <v>11</v>
      </c>
      <c r="H96" s="234"/>
      <c r="I96" s="183"/>
      <c r="J96" s="183"/>
      <c r="K96" s="183"/>
      <c r="L96" s="183"/>
      <c r="M96" s="183"/>
      <c r="N96" s="147"/>
      <c r="O96" s="192" t="s">
        <v>11</v>
      </c>
      <c r="P96" s="192"/>
      <c r="Q96" s="192"/>
      <c r="R96" s="192"/>
      <c r="S96" s="192"/>
      <c r="T96" s="192"/>
      <c r="U96" s="192"/>
      <c r="V96" s="192"/>
      <c r="W96" s="192"/>
      <c r="X96" s="192"/>
      <c r="Y96" s="192"/>
      <c r="Z96" s="192"/>
      <c r="AA96" s="192"/>
      <c r="AB96" s="192"/>
      <c r="AC96" s="192"/>
      <c r="AD96" s="192"/>
      <c r="AE96" s="192"/>
      <c r="AF96" s="192"/>
      <c r="AG96" s="192"/>
      <c r="AH96" s="192"/>
      <c r="AI96" s="192"/>
      <c r="AJ96" s="187"/>
      <c r="AK96" s="190" t="s">
        <v>11</v>
      </c>
      <c r="AL96" s="190"/>
      <c r="AM96" s="206"/>
      <c r="AN96" s="190"/>
      <c r="AO96" s="190"/>
      <c r="AP96" s="190"/>
      <c r="AQ96" s="190"/>
      <c r="AR96" s="190"/>
      <c r="AS96" s="190"/>
      <c r="AT96" s="190"/>
      <c r="AU96" s="190"/>
      <c r="AV96" s="190"/>
      <c r="AW96" s="190"/>
      <c r="AX96" s="190"/>
      <c r="AY96" s="190"/>
      <c r="AZ96" s="190"/>
      <c r="BA96" s="190"/>
      <c r="BB96" s="190"/>
      <c r="BC96" s="190"/>
      <c r="BD96" s="190"/>
      <c r="BE96" s="190"/>
      <c r="BF96" s="190"/>
      <c r="BG96" s="206"/>
      <c r="BH96" s="190"/>
      <c r="BI96" s="190"/>
      <c r="BJ96" s="190"/>
      <c r="BK96" s="190"/>
      <c r="BL96" s="190"/>
      <c r="BM96" s="190"/>
      <c r="BN96" s="190"/>
      <c r="BO96" s="190"/>
      <c r="BP96" s="190"/>
      <c r="BQ96" s="206"/>
      <c r="BR96" s="190"/>
      <c r="BS96" s="190"/>
      <c r="BT96" s="190"/>
      <c r="BU96" s="190"/>
      <c r="BV96" s="190"/>
      <c r="BW96" s="190"/>
      <c r="BX96" s="190"/>
      <c r="BY96" s="190"/>
      <c r="BZ96" s="190"/>
      <c r="CA96" s="190"/>
      <c r="CB96" s="190"/>
      <c r="CC96" s="206"/>
      <c r="CD96" s="190"/>
      <c r="CE96" s="190"/>
      <c r="CF96" s="190"/>
      <c r="CG96" s="190"/>
      <c r="CH96" s="190"/>
      <c r="CI96" s="190"/>
      <c r="CJ96" s="190"/>
      <c r="CK96" s="190"/>
      <c r="CL96" s="190"/>
      <c r="CM96" s="190"/>
      <c r="CN96" s="190"/>
      <c r="CO96" s="206"/>
      <c r="CP96" s="190"/>
      <c r="CQ96" s="190"/>
      <c r="CR96" s="190"/>
      <c r="CS96" s="190"/>
      <c r="CT96" s="195"/>
      <c r="CU96" s="195"/>
      <c r="CV96" s="195"/>
      <c r="CW96" s="206"/>
      <c r="CX96" s="190"/>
      <c r="CY96" s="190"/>
      <c r="CZ96" s="190"/>
      <c r="DA96" s="190"/>
      <c r="DB96" s="195"/>
      <c r="DC96" s="195"/>
      <c r="DD96" s="195"/>
      <c r="DE96" s="206"/>
      <c r="DF96" s="195"/>
      <c r="DG96" s="241"/>
      <c r="DH96" s="241"/>
      <c r="DI96" s="242"/>
      <c r="DJ96" s="242"/>
    </row>
    <row r="97" spans="1:114" ht="12" x14ac:dyDescent="0.2">
      <c r="A97" s="299" t="s">
        <v>366</v>
      </c>
      <c r="B97" s="299"/>
      <c r="C97" s="300" t="s">
        <v>11</v>
      </c>
      <c r="D97" s="300" t="s">
        <v>347</v>
      </c>
      <c r="E97" s="300" t="s">
        <v>133</v>
      </c>
      <c r="F97" s="300" t="s">
        <v>367</v>
      </c>
      <c r="G97" s="300" t="s">
        <v>222</v>
      </c>
      <c r="H97" s="234"/>
      <c r="I97" s="183"/>
      <c r="J97" s="183"/>
      <c r="K97" s="183"/>
      <c r="L97" s="183"/>
      <c r="M97" s="183"/>
      <c r="N97" s="147"/>
      <c r="O97" s="192" t="s">
        <v>11</v>
      </c>
      <c r="P97" s="192"/>
      <c r="Q97" s="192"/>
      <c r="R97" s="192"/>
      <c r="S97" s="192"/>
      <c r="T97" s="192"/>
      <c r="U97" s="192"/>
      <c r="V97" s="192"/>
      <c r="W97" s="192"/>
      <c r="X97" s="192"/>
      <c r="Y97" s="192"/>
      <c r="Z97" s="192"/>
      <c r="AA97" s="192"/>
      <c r="AB97" s="192"/>
      <c r="AC97" s="192"/>
      <c r="AD97" s="192"/>
      <c r="AE97" s="192"/>
      <c r="AF97" s="192"/>
      <c r="AG97" s="192"/>
      <c r="AH97" s="192"/>
      <c r="AI97" s="192"/>
      <c r="AJ97" s="187"/>
      <c r="AK97" s="190" t="s">
        <v>11</v>
      </c>
      <c r="AL97" s="190"/>
      <c r="AM97" s="206"/>
      <c r="AN97" s="190"/>
      <c r="AO97" s="190"/>
      <c r="AP97" s="190"/>
      <c r="AQ97" s="190"/>
      <c r="AR97" s="190"/>
      <c r="AS97" s="190"/>
      <c r="AT97" s="190"/>
      <c r="AU97" s="190"/>
      <c r="AV97" s="190"/>
      <c r="AW97" s="190"/>
      <c r="AX97" s="190"/>
      <c r="AY97" s="190"/>
      <c r="AZ97" s="190"/>
      <c r="BA97" s="190"/>
      <c r="BB97" s="190"/>
      <c r="BC97" s="190"/>
      <c r="BD97" s="190"/>
      <c r="BE97" s="190"/>
      <c r="BF97" s="190"/>
      <c r="BG97" s="206"/>
      <c r="BH97" s="190"/>
      <c r="BI97" s="190"/>
      <c r="BJ97" s="190"/>
      <c r="BK97" s="190"/>
      <c r="BL97" s="190"/>
      <c r="BM97" s="190"/>
      <c r="BN97" s="190"/>
      <c r="BO97" s="190"/>
      <c r="BP97" s="190"/>
      <c r="BQ97" s="206"/>
      <c r="BR97" s="190"/>
      <c r="BS97" s="190"/>
      <c r="BT97" s="190"/>
      <c r="BU97" s="190"/>
      <c r="BV97" s="190"/>
      <c r="BW97" s="190"/>
      <c r="BX97" s="190"/>
      <c r="BY97" s="190"/>
      <c r="BZ97" s="190"/>
      <c r="CA97" s="190"/>
      <c r="CB97" s="190"/>
      <c r="CC97" s="206"/>
      <c r="CD97" s="190"/>
      <c r="CE97" s="190"/>
      <c r="CF97" s="190"/>
      <c r="CG97" s="190"/>
      <c r="CH97" s="190"/>
      <c r="CI97" s="190"/>
      <c r="CJ97" s="190"/>
      <c r="CK97" s="190"/>
      <c r="CL97" s="190"/>
      <c r="CM97" s="190"/>
      <c r="CN97" s="190"/>
      <c r="CO97" s="206"/>
      <c r="CP97" s="190"/>
      <c r="CQ97" s="190"/>
      <c r="CR97" s="190"/>
      <c r="CS97" s="190"/>
      <c r="CT97" s="195"/>
      <c r="CU97" s="195"/>
      <c r="CV97" s="195"/>
      <c r="CW97" s="206"/>
      <c r="CX97" s="190"/>
      <c r="CY97" s="190"/>
      <c r="CZ97" s="190"/>
      <c r="DA97" s="190"/>
      <c r="DB97" s="195"/>
      <c r="DC97" s="195"/>
      <c r="DD97" s="195"/>
      <c r="DE97" s="206"/>
      <c r="DF97" s="195"/>
      <c r="DG97" s="241"/>
      <c r="DH97" s="241"/>
      <c r="DI97" s="242"/>
      <c r="DJ97" s="242"/>
    </row>
    <row r="98" spans="1:114" ht="12" x14ac:dyDescent="0.2">
      <c r="A98" s="179" t="s">
        <v>368</v>
      </c>
      <c r="B98" s="179"/>
      <c r="C98" s="182" t="s">
        <v>369</v>
      </c>
      <c r="D98" s="182">
        <v>0</v>
      </c>
      <c r="E98" s="182">
        <v>0</v>
      </c>
      <c r="F98" s="182" t="s">
        <v>221</v>
      </c>
      <c r="G98" s="182" t="s">
        <v>222</v>
      </c>
      <c r="H98" s="234"/>
      <c r="I98" s="183"/>
      <c r="J98" s="183"/>
      <c r="K98" s="183"/>
      <c r="L98" s="183"/>
      <c r="M98" s="183"/>
      <c r="N98" s="147"/>
      <c r="O98" s="192"/>
      <c r="P98" s="190"/>
      <c r="Q98" s="190"/>
      <c r="R98" s="190"/>
      <c r="S98" s="190"/>
      <c r="T98" s="190"/>
      <c r="U98" s="190"/>
      <c r="V98" s="190"/>
      <c r="W98" s="190"/>
      <c r="X98" s="190"/>
      <c r="Y98" s="190"/>
      <c r="Z98" s="190"/>
      <c r="AA98" s="190"/>
      <c r="AB98" s="190"/>
      <c r="AC98" s="190"/>
      <c r="AD98" s="190"/>
      <c r="AE98" s="190"/>
      <c r="AF98" s="190"/>
      <c r="AG98" s="190"/>
      <c r="AH98" s="191"/>
      <c r="AI98" s="190"/>
      <c r="AJ98" s="187"/>
      <c r="AK98" s="190"/>
      <c r="AL98" s="190"/>
      <c r="AM98" s="206"/>
      <c r="AN98" s="190"/>
      <c r="AO98" s="190"/>
      <c r="AP98" s="190"/>
      <c r="AQ98" s="190"/>
      <c r="AR98" s="190"/>
      <c r="AS98" s="190"/>
      <c r="AT98" s="190"/>
      <c r="AU98" s="190"/>
      <c r="AV98" s="190"/>
      <c r="AW98" s="190"/>
      <c r="AX98" s="190"/>
      <c r="AY98" s="190"/>
      <c r="AZ98" s="190"/>
      <c r="BA98" s="190"/>
      <c r="BB98" s="190"/>
      <c r="BC98" s="190"/>
      <c r="BD98" s="190"/>
      <c r="BE98" s="190"/>
      <c r="BF98" s="190"/>
      <c r="BG98" s="206"/>
      <c r="BH98" s="190"/>
      <c r="BI98" s="190"/>
      <c r="BJ98" s="190"/>
      <c r="BK98" s="190"/>
      <c r="BL98" s="190"/>
      <c r="BM98" s="190"/>
      <c r="BN98" s="190"/>
      <c r="BO98" s="190"/>
      <c r="BP98" s="190"/>
      <c r="BQ98" s="206"/>
      <c r="BR98" s="190"/>
      <c r="BS98" s="190"/>
      <c r="BT98" s="190"/>
      <c r="BU98" s="190"/>
      <c r="BV98" s="190"/>
      <c r="BW98" s="190"/>
      <c r="BX98" s="190"/>
      <c r="BY98" s="190"/>
      <c r="BZ98" s="190"/>
      <c r="CA98" s="190"/>
      <c r="CB98" s="190"/>
      <c r="CC98" s="206"/>
      <c r="CD98" s="190"/>
      <c r="CE98" s="190"/>
      <c r="CF98" s="190"/>
      <c r="CG98" s="190"/>
      <c r="CH98" s="190"/>
      <c r="CI98" s="190"/>
      <c r="CJ98" s="190"/>
      <c r="CK98" s="190"/>
      <c r="CL98" s="190"/>
      <c r="CM98" s="190"/>
      <c r="CN98" s="190"/>
      <c r="CO98" s="206"/>
      <c r="CP98" s="190"/>
      <c r="CQ98" s="190"/>
      <c r="CR98" s="190"/>
      <c r="CS98" s="190"/>
      <c r="CT98" s="195"/>
      <c r="CU98" s="195"/>
      <c r="CV98" s="195"/>
      <c r="CW98" s="206"/>
      <c r="CX98" s="190"/>
      <c r="CY98" s="190"/>
      <c r="CZ98" s="190"/>
      <c r="DA98" s="190"/>
      <c r="DB98" s="195"/>
      <c r="DC98" s="195"/>
      <c r="DD98" s="195"/>
      <c r="DE98" s="206"/>
      <c r="DF98" s="195"/>
      <c r="DG98" s="241"/>
      <c r="DH98" s="241"/>
      <c r="DI98" s="242"/>
      <c r="DJ98" s="242"/>
    </row>
    <row r="99" spans="1:114" ht="12" x14ac:dyDescent="0.2">
      <c r="H99" s="230"/>
      <c r="AK99" s="241"/>
      <c r="AL99" s="241"/>
      <c r="AM99" s="241"/>
      <c r="AN99" s="241"/>
      <c r="AO99" s="241"/>
      <c r="AP99" s="241"/>
      <c r="AQ99" s="241"/>
      <c r="AR99" s="241"/>
      <c r="AS99" s="241"/>
      <c r="AT99" s="241"/>
      <c r="AU99" s="241"/>
      <c r="AV99" s="241"/>
      <c r="AW99" s="241"/>
      <c r="AX99" s="241"/>
      <c r="AY99" s="241"/>
      <c r="AZ99" s="241"/>
      <c r="BA99" s="241"/>
      <c r="BB99" s="241"/>
      <c r="BC99" s="241"/>
      <c r="BD99" s="241"/>
      <c r="BE99" s="241"/>
      <c r="BF99" s="241"/>
      <c r="BG99" s="241"/>
      <c r="BH99" s="274"/>
      <c r="BI99" s="274"/>
      <c r="BJ99" s="274"/>
      <c r="BK99" s="274"/>
      <c r="BL99" s="274"/>
      <c r="BM99" s="274"/>
      <c r="BN99" s="274"/>
      <c r="BO99" s="274"/>
      <c r="BP99" s="274"/>
      <c r="BQ99" s="241"/>
      <c r="BR99" s="241"/>
      <c r="BS99" s="241"/>
      <c r="BT99" s="241"/>
      <c r="BU99" s="241"/>
      <c r="BV99" s="241"/>
      <c r="BW99" s="241"/>
      <c r="BX99" s="241"/>
      <c r="BY99" s="241"/>
      <c r="BZ99" s="241"/>
      <c r="CA99" s="241"/>
      <c r="CB99" s="241"/>
      <c r="CC99" s="241"/>
      <c r="CD99" s="241"/>
      <c r="CE99" s="241"/>
      <c r="CF99" s="241"/>
      <c r="CG99" s="241"/>
      <c r="CH99" s="241"/>
      <c r="CI99" s="241"/>
      <c r="CJ99" s="241"/>
      <c r="CK99" s="241"/>
      <c r="CL99" s="241"/>
      <c r="CM99" s="241"/>
      <c r="CN99" s="241"/>
      <c r="CO99" s="241"/>
      <c r="CP99" s="241"/>
      <c r="CQ99" s="241"/>
      <c r="CR99" s="241"/>
      <c r="CS99" s="241"/>
      <c r="CT99" s="241"/>
      <c r="CU99" s="241"/>
      <c r="CV99" s="241"/>
      <c r="CW99" s="241"/>
      <c r="CX99" s="241"/>
      <c r="CY99" s="241"/>
      <c r="CZ99" s="241"/>
      <c r="DA99" s="241"/>
      <c r="DB99" s="241"/>
      <c r="DC99" s="241"/>
      <c r="DD99" s="241"/>
      <c r="DE99" s="241"/>
      <c r="DF99" s="241"/>
      <c r="DG99" s="241"/>
      <c r="DH99" s="241"/>
      <c r="DI99" s="242"/>
      <c r="DJ99" s="242"/>
    </row>
    <row r="100" spans="1:114" ht="12" x14ac:dyDescent="0.2">
      <c r="H100" s="230"/>
      <c r="AK100" s="241"/>
      <c r="AL100" s="241"/>
      <c r="AM100" s="241"/>
      <c r="AN100" s="241"/>
      <c r="AO100" s="241"/>
      <c r="AP100" s="241"/>
      <c r="AQ100" s="241"/>
      <c r="AR100" s="241"/>
      <c r="AS100" s="241"/>
      <c r="AT100" s="241"/>
      <c r="AU100" s="241"/>
      <c r="AV100" s="241"/>
      <c r="AW100" s="241"/>
      <c r="AX100" s="241"/>
      <c r="AY100" s="241"/>
      <c r="AZ100" s="241"/>
      <c r="BA100" s="241"/>
      <c r="BB100" s="241"/>
      <c r="BC100" s="241"/>
      <c r="BD100" s="241"/>
      <c r="BE100" s="241"/>
      <c r="BF100" s="241"/>
      <c r="BG100" s="241"/>
      <c r="BH100" s="274"/>
      <c r="BI100" s="274"/>
      <c r="BJ100" s="274"/>
      <c r="BK100" s="274"/>
      <c r="BL100" s="274"/>
      <c r="BM100" s="274"/>
      <c r="BN100" s="274"/>
      <c r="BO100" s="274"/>
      <c r="BP100" s="274"/>
      <c r="BQ100" s="241"/>
      <c r="BR100" s="241"/>
      <c r="BS100" s="241"/>
      <c r="BT100" s="241"/>
      <c r="BU100" s="241"/>
      <c r="BV100" s="241"/>
      <c r="BW100" s="241"/>
      <c r="BX100" s="241"/>
      <c r="BY100" s="241"/>
      <c r="BZ100" s="241"/>
      <c r="CA100" s="241"/>
      <c r="CB100" s="241"/>
      <c r="CC100" s="241"/>
      <c r="CD100" s="241"/>
      <c r="CE100" s="241"/>
      <c r="CF100" s="241"/>
      <c r="CG100" s="241"/>
      <c r="CH100" s="241"/>
      <c r="CI100" s="241"/>
      <c r="CJ100" s="241"/>
      <c r="CK100" s="241"/>
      <c r="CL100" s="241"/>
      <c r="CM100" s="241"/>
      <c r="CN100" s="241"/>
      <c r="CO100" s="241"/>
      <c r="CP100" s="241"/>
      <c r="CQ100" s="241"/>
      <c r="CR100" s="241"/>
      <c r="CS100" s="241"/>
      <c r="CT100" s="241"/>
      <c r="CU100" s="241"/>
      <c r="CV100" s="241"/>
      <c r="CW100" s="241"/>
      <c r="CX100" s="241"/>
      <c r="CY100" s="241"/>
      <c r="CZ100" s="241"/>
      <c r="DA100" s="241"/>
      <c r="DB100" s="241"/>
      <c r="DC100" s="241"/>
      <c r="DD100" s="241"/>
      <c r="DE100" s="241"/>
      <c r="DF100" s="241"/>
      <c r="DG100" s="241"/>
      <c r="DH100" s="241"/>
      <c r="DI100" s="242"/>
      <c r="DJ100" s="242"/>
    </row>
    <row r="101" spans="1:114" ht="12" x14ac:dyDescent="0.2">
      <c r="H101" s="230"/>
      <c r="AK101" s="241"/>
      <c r="AL101" s="241"/>
      <c r="AM101" s="241"/>
      <c r="AN101" s="241"/>
      <c r="AO101" s="241"/>
      <c r="AP101" s="241"/>
      <c r="AQ101" s="241"/>
      <c r="AR101" s="241"/>
      <c r="AS101" s="241"/>
      <c r="AT101" s="241"/>
      <c r="AU101" s="241"/>
      <c r="AV101" s="241"/>
      <c r="AW101" s="241"/>
      <c r="AX101" s="241"/>
      <c r="AY101" s="241"/>
      <c r="AZ101" s="241"/>
      <c r="BA101" s="241"/>
      <c r="BB101" s="241"/>
      <c r="BC101" s="241"/>
      <c r="BD101" s="241"/>
      <c r="BE101" s="241"/>
      <c r="BF101" s="241"/>
      <c r="BG101" s="241"/>
      <c r="BH101" s="274"/>
      <c r="BI101" s="274"/>
      <c r="BJ101" s="274"/>
      <c r="BK101" s="274"/>
      <c r="BL101" s="274"/>
      <c r="BM101" s="274"/>
      <c r="BN101" s="274"/>
      <c r="BO101" s="274"/>
      <c r="BP101" s="274"/>
      <c r="BQ101" s="241"/>
      <c r="BR101" s="241"/>
      <c r="BS101" s="241"/>
      <c r="BT101" s="241"/>
      <c r="BU101" s="241"/>
      <c r="BV101" s="241"/>
      <c r="BW101" s="241"/>
      <c r="BX101" s="241"/>
      <c r="BY101" s="241"/>
      <c r="BZ101" s="241"/>
      <c r="CA101" s="241"/>
      <c r="CB101" s="241"/>
      <c r="CC101" s="241"/>
      <c r="CD101" s="241"/>
      <c r="CE101" s="241"/>
      <c r="CF101" s="241"/>
      <c r="CG101" s="241"/>
      <c r="CH101" s="241"/>
      <c r="CI101" s="241"/>
      <c r="CJ101" s="241"/>
      <c r="CK101" s="241"/>
      <c r="CL101" s="241"/>
      <c r="CM101" s="241"/>
      <c r="CN101" s="241"/>
      <c r="CO101" s="241"/>
      <c r="CP101" s="241"/>
      <c r="CQ101" s="241"/>
      <c r="CR101" s="241"/>
      <c r="CS101" s="241"/>
      <c r="CT101" s="241"/>
      <c r="CU101" s="241"/>
      <c r="CV101" s="241"/>
      <c r="CW101" s="241"/>
      <c r="CX101" s="241"/>
      <c r="CY101" s="241"/>
      <c r="CZ101" s="241"/>
      <c r="DA101" s="241"/>
      <c r="DB101" s="241"/>
      <c r="DC101" s="241"/>
      <c r="DD101" s="241"/>
      <c r="DE101" s="241"/>
      <c r="DF101" s="241"/>
      <c r="DG101" s="241"/>
      <c r="DH101" s="241"/>
      <c r="DI101" s="242"/>
      <c r="DJ101" s="242"/>
    </row>
    <row r="102" spans="1:114" ht="12" x14ac:dyDescent="0.2">
      <c r="H102" s="230"/>
    </row>
    <row r="103" spans="1:114" ht="12" x14ac:dyDescent="0.2">
      <c r="H103" s="230"/>
    </row>
    <row r="104" spans="1:114" ht="12" x14ac:dyDescent="0.2">
      <c r="H104" s="230"/>
    </row>
    <row r="105" spans="1:114" ht="12" x14ac:dyDescent="0.2">
      <c r="H105" s="230"/>
    </row>
    <row r="106" spans="1:114" ht="12" x14ac:dyDescent="0.2">
      <c r="H106" s="230"/>
    </row>
    <row r="107" spans="1:114" ht="12" x14ac:dyDescent="0.2">
      <c r="H107" s="230"/>
    </row>
    <row r="108" spans="1:114" ht="12" x14ac:dyDescent="0.2">
      <c r="H108" s="230"/>
    </row>
    <row r="109" spans="1:114" ht="12" x14ac:dyDescent="0.2">
      <c r="H109" s="230"/>
    </row>
    <row r="110" spans="1:114" ht="12" x14ac:dyDescent="0.2">
      <c r="H110" s="230"/>
    </row>
    <row r="111" spans="1:114" ht="12" x14ac:dyDescent="0.2">
      <c r="H111" s="230"/>
    </row>
    <row r="112" spans="1:114" ht="12" x14ac:dyDescent="0.2">
      <c r="H112" s="230"/>
    </row>
    <row r="113" spans="8:8" ht="12" x14ac:dyDescent="0.2">
      <c r="H113" s="230"/>
    </row>
    <row r="114" spans="8:8" ht="12" x14ac:dyDescent="0.2">
      <c r="H114" s="230"/>
    </row>
    <row r="115" spans="8:8" ht="12" x14ac:dyDescent="0.2">
      <c r="H115" s="230"/>
    </row>
    <row r="116" spans="8:8" ht="12" x14ac:dyDescent="0.2">
      <c r="H116" s="230"/>
    </row>
    <row r="117" spans="8:8" ht="12" x14ac:dyDescent="0.2">
      <c r="H117" s="230"/>
    </row>
    <row r="118" spans="8:8" ht="12" x14ac:dyDescent="0.2">
      <c r="H118" s="230"/>
    </row>
    <row r="119" spans="8:8" ht="12" x14ac:dyDescent="0.2">
      <c r="H119" s="230"/>
    </row>
    <row r="120" spans="8:8" ht="12" x14ac:dyDescent="0.2">
      <c r="H120" s="230"/>
    </row>
    <row r="121" spans="8:8" ht="12" x14ac:dyDescent="0.2">
      <c r="H121" s="230"/>
    </row>
    <row r="122" spans="8:8" ht="12" x14ac:dyDescent="0.2">
      <c r="H122" s="230"/>
    </row>
    <row r="123" spans="8:8" ht="12" x14ac:dyDescent="0.2">
      <c r="H123" s="230"/>
    </row>
    <row r="124" spans="8:8" ht="12" x14ac:dyDescent="0.2">
      <c r="H124" s="230"/>
    </row>
    <row r="125" spans="8:8" ht="12" x14ac:dyDescent="0.2">
      <c r="H125" s="230"/>
    </row>
    <row r="126" spans="8:8" ht="12" x14ac:dyDescent="0.2">
      <c r="H126" s="230"/>
    </row>
    <row r="127" spans="8:8" ht="12" x14ac:dyDescent="0.2">
      <c r="H127" s="230"/>
    </row>
    <row r="128" spans="8:8" ht="12" x14ac:dyDescent="0.2">
      <c r="H128" s="230"/>
    </row>
    <row r="129" spans="8:8" ht="12" x14ac:dyDescent="0.2">
      <c r="H129" s="230"/>
    </row>
    <row r="130" spans="8:8" ht="12" x14ac:dyDescent="0.2">
      <c r="H130" s="230"/>
    </row>
    <row r="131" spans="8:8" ht="12" x14ac:dyDescent="0.2">
      <c r="H131" s="230"/>
    </row>
    <row r="132" spans="8:8" ht="12" x14ac:dyDescent="0.2">
      <c r="H132" s="230"/>
    </row>
    <row r="133" spans="8:8" ht="12" x14ac:dyDescent="0.2">
      <c r="H133" s="230"/>
    </row>
    <row r="134" spans="8:8" ht="12" x14ac:dyDescent="0.2">
      <c r="H134" s="230"/>
    </row>
    <row r="135" spans="8:8" ht="12" x14ac:dyDescent="0.2">
      <c r="H135" s="230"/>
    </row>
    <row r="136" spans="8:8" ht="12" x14ac:dyDescent="0.2">
      <c r="H136" s="230"/>
    </row>
    <row r="137" spans="8:8" ht="12" x14ac:dyDescent="0.2">
      <c r="H137" s="230"/>
    </row>
    <row r="138" spans="8:8" ht="12" x14ac:dyDescent="0.2">
      <c r="H138" s="230"/>
    </row>
    <row r="139" spans="8:8" ht="12" x14ac:dyDescent="0.2">
      <c r="H139" s="230"/>
    </row>
    <row r="140" spans="8:8" ht="12" x14ac:dyDescent="0.2">
      <c r="H140" s="230"/>
    </row>
    <row r="141" spans="8:8" ht="12" x14ac:dyDescent="0.2">
      <c r="H141" s="230"/>
    </row>
    <row r="142" spans="8:8" ht="12" x14ac:dyDescent="0.2">
      <c r="H142" s="230"/>
    </row>
    <row r="143" spans="8:8" ht="12" x14ac:dyDescent="0.2">
      <c r="H143" s="230"/>
    </row>
    <row r="144" spans="8:8" ht="12" x14ac:dyDescent="0.2">
      <c r="H144" s="230"/>
    </row>
    <row r="145" spans="8:8" ht="12" x14ac:dyDescent="0.2">
      <c r="H145" s="230"/>
    </row>
    <row r="146" spans="8:8" ht="12" x14ac:dyDescent="0.2">
      <c r="H146" s="230"/>
    </row>
    <row r="147" spans="8:8" ht="12" x14ac:dyDescent="0.2">
      <c r="H147" s="230"/>
    </row>
    <row r="148" spans="8:8" ht="12" x14ac:dyDescent="0.2">
      <c r="H148" s="230"/>
    </row>
    <row r="149" spans="8:8" ht="12" x14ac:dyDescent="0.2">
      <c r="H149" s="230"/>
    </row>
    <row r="150" spans="8:8" ht="12" x14ac:dyDescent="0.2">
      <c r="H150" s="230"/>
    </row>
    <row r="151" spans="8:8" ht="12" x14ac:dyDescent="0.2">
      <c r="H151" s="230"/>
    </row>
    <row r="152" spans="8:8" ht="12" x14ac:dyDescent="0.2">
      <c r="H152" s="230"/>
    </row>
    <row r="153" spans="8:8" ht="12" x14ac:dyDescent="0.2">
      <c r="H153" s="230"/>
    </row>
    <row r="154" spans="8:8" ht="12" x14ac:dyDescent="0.2">
      <c r="H154" s="230"/>
    </row>
    <row r="155" spans="8:8" ht="12" x14ac:dyDescent="0.2">
      <c r="H155" s="230"/>
    </row>
    <row r="156" spans="8:8" ht="12" x14ac:dyDescent="0.2">
      <c r="H156" s="230"/>
    </row>
    <row r="157" spans="8:8" ht="12" x14ac:dyDescent="0.2">
      <c r="H157" s="230"/>
    </row>
    <row r="158" spans="8:8" ht="12" x14ac:dyDescent="0.2">
      <c r="H158" s="230"/>
    </row>
    <row r="159" spans="8:8" ht="12" x14ac:dyDescent="0.2">
      <c r="H159" s="230"/>
    </row>
    <row r="160" spans="8:8" ht="12" x14ac:dyDescent="0.2">
      <c r="H160" s="230"/>
    </row>
    <row r="161" spans="8:8" ht="12" x14ac:dyDescent="0.2">
      <c r="H161" s="230"/>
    </row>
    <row r="162" spans="8:8" ht="12" x14ac:dyDescent="0.2">
      <c r="H162" s="230"/>
    </row>
    <row r="163" spans="8:8" ht="12" x14ac:dyDescent="0.2">
      <c r="H163" s="230"/>
    </row>
    <row r="164" spans="8:8" ht="12" x14ac:dyDescent="0.2">
      <c r="H164" s="230"/>
    </row>
    <row r="165" spans="8:8" ht="12" x14ac:dyDescent="0.2">
      <c r="H165" s="230"/>
    </row>
    <row r="166" spans="8:8" ht="12" x14ac:dyDescent="0.2">
      <c r="H166" s="230"/>
    </row>
    <row r="167" spans="8:8" ht="12" x14ac:dyDescent="0.2">
      <c r="H167" s="230"/>
    </row>
    <row r="168" spans="8:8" ht="12" x14ac:dyDescent="0.2">
      <c r="H168" s="230"/>
    </row>
    <row r="169" spans="8:8" ht="12" x14ac:dyDescent="0.2">
      <c r="H169" s="230"/>
    </row>
    <row r="170" spans="8:8" ht="12" x14ac:dyDescent="0.2">
      <c r="H170" s="230"/>
    </row>
    <row r="171" spans="8:8" ht="12" x14ac:dyDescent="0.2">
      <c r="H171" s="230"/>
    </row>
    <row r="172" spans="8:8" ht="12" x14ac:dyDescent="0.2">
      <c r="H172" s="230"/>
    </row>
    <row r="173" spans="8:8" ht="12" x14ac:dyDescent="0.2">
      <c r="H173" s="230"/>
    </row>
    <row r="174" spans="8:8" ht="12" x14ac:dyDescent="0.2">
      <c r="H174" s="230"/>
    </row>
    <row r="175" spans="8:8" ht="12" x14ac:dyDescent="0.2">
      <c r="H175" s="230"/>
    </row>
    <row r="176" spans="8:8" ht="12" x14ac:dyDescent="0.2">
      <c r="H176" s="230"/>
    </row>
    <row r="177" spans="8:8" ht="15" customHeight="1" x14ac:dyDescent="0.2">
      <c r="H177" s="230"/>
    </row>
    <row r="178" spans="8:8" ht="15" customHeight="1" x14ac:dyDescent="0.2">
      <c r="H178" s="230"/>
    </row>
    <row r="179" spans="8:8" ht="15" customHeight="1" x14ac:dyDescent="0.2">
      <c r="H179" s="230"/>
    </row>
    <row r="180" spans="8:8" ht="15" customHeight="1" x14ac:dyDescent="0.2">
      <c r="H180" s="230"/>
    </row>
    <row r="181" spans="8:8" ht="15" customHeight="1" x14ac:dyDescent="0.2">
      <c r="H181" s="230"/>
    </row>
    <row r="182" spans="8:8" ht="15" customHeight="1" x14ac:dyDescent="0.2">
      <c r="H182" s="230"/>
    </row>
    <row r="183" spans="8:8" ht="15" customHeight="1" x14ac:dyDescent="0.2">
      <c r="H183" s="230"/>
    </row>
    <row r="184" spans="8:8" ht="15" customHeight="1" x14ac:dyDescent="0.2">
      <c r="H184" s="230"/>
    </row>
    <row r="185" spans="8:8" ht="15" customHeight="1" x14ac:dyDescent="0.2">
      <c r="H185" s="230"/>
    </row>
    <row r="186" spans="8:8" ht="15" customHeight="1" x14ac:dyDescent="0.2">
      <c r="H186" s="230"/>
    </row>
    <row r="187" spans="8:8" ht="15" customHeight="1" x14ac:dyDescent="0.2">
      <c r="H187" s="230"/>
    </row>
    <row r="188" spans="8:8" ht="15" customHeight="1" x14ac:dyDescent="0.2">
      <c r="H188" s="230"/>
    </row>
    <row r="189" spans="8:8" ht="15" customHeight="1" x14ac:dyDescent="0.2">
      <c r="H189" s="230"/>
    </row>
    <row r="190" spans="8:8" ht="15" customHeight="1" x14ac:dyDescent="0.2">
      <c r="H190" s="230"/>
    </row>
    <row r="191" spans="8:8" ht="15" customHeight="1" x14ac:dyDescent="0.2">
      <c r="H191" s="230"/>
    </row>
    <row r="192" spans="8:8" ht="15" customHeight="1" x14ac:dyDescent="0.2">
      <c r="H192" s="230"/>
    </row>
    <row r="193" spans="8:8" ht="15" customHeight="1" x14ac:dyDescent="0.2">
      <c r="H193" s="230"/>
    </row>
  </sheetData>
  <autoFilter ref="A4:DF98" xr:uid="{00000000-0001-0000-0000-000000000000}"/>
  <mergeCells count="16">
    <mergeCell ref="A85:G85"/>
    <mergeCell ref="A6:G6"/>
    <mergeCell ref="A17:G17"/>
    <mergeCell ref="A28:G28"/>
    <mergeCell ref="A35:G35"/>
    <mergeCell ref="A65:G65"/>
    <mergeCell ref="A75:G75"/>
    <mergeCell ref="CP3:CV3"/>
    <mergeCell ref="CX3:DD3"/>
    <mergeCell ref="A55:G55"/>
    <mergeCell ref="O3:AI3"/>
    <mergeCell ref="AN3:BF3"/>
    <mergeCell ref="A47:G47"/>
    <mergeCell ref="BH3:BP3"/>
    <mergeCell ref="BR3:CB3"/>
    <mergeCell ref="CD3:CN3"/>
  </mergeCells>
  <conditionalFormatting sqref="N17 Q19:Q26 U39:U44 T41:T44 T44:U44 AI58 N75 N29">
    <cfRule type="containsText" dxfId="9340" priority="148787" operator="containsText" text="NA">
      <formula>NOT(ISERROR(SEARCH("NA",#REF!)))</formula>
    </cfRule>
  </conditionalFormatting>
  <conditionalFormatting sqref="N17 AI58 Q19:Q26 U39:U44 T41:T44 T44:U44 N75">
    <cfRule type="containsText" dxfId="9339" priority="148786" operator="containsText" text="Pending">
      <formula>NOT(ISERROR(SEARCH("Pending",#REF!)))</formula>
    </cfRule>
  </conditionalFormatting>
  <conditionalFormatting sqref="N35 AI52">
    <cfRule type="containsText" dxfId="9338" priority="141425" operator="containsText" text="Pending">
      <formula>NOT(ISERROR(SEARCH("Pending",#REF!)))</formula>
    </cfRule>
  </conditionalFormatting>
  <conditionalFormatting sqref="N47 P23:P25 Q19:Q25 P26:Q26">
    <cfRule type="containsText" dxfId="9337" priority="144754" operator="containsText" text="NA">
      <formula>NOT(ISERROR(SEARCH("NA",#REF!)))</formula>
    </cfRule>
    <cfRule type="containsText" dxfId="9336" priority="144750" operator="containsText" text="Done">
      <formula>NOT(ISERROR(SEARCH("Done",#REF!)))</formula>
    </cfRule>
  </conditionalFormatting>
  <conditionalFormatting sqref="N54:N55 Q19:Q25 X19:X25 AE20:AF25 AG21:AG25 R21:U25 N90 P90:AG93 V18:W25 U36:V40 AA37:AB43 AE26:AG26 Z21:Z26 X46 P46:Q49 P36:Q43 U39:U44 Y41:Y44 T41:T44 W41:W44 AI43:AI44 U21:U26 Q37:Q44 T44:U44 Q26:X26 AA39:AA44 AE40:AG43 Q49:Q53 S21:S26 V19:V26 AB21:AB26 R36:Y37 AB37:AB44 Q40:Y40 AD40:AH40 S41:V43 X41:X43 Z38:AD43 Q43:AI43 Z44:AI44">
    <cfRule type="containsText" dxfId="9335" priority="120168" operator="containsText" text="Done">
      <formula>NOT(ISERROR(SEARCH("Done",#REF!)))</formula>
    </cfRule>
  </conditionalFormatting>
  <conditionalFormatting sqref="N55 R23:R25 Q19:Q25 P46:Q49 N90 P90:AG93 AA37:AB43 Z23:Z26 AF23:AG26 P36:Q43 U36:V43 U41:U44 W41:W44 Y41:Y44 Q37:Q44 T44:U44 Q26:S26 AA39:AA44 AE40:AG43 Q49:Q53 S23:S26 AB23:AB26 R36:Y37 AB37:AB44 Q40:Y40 AD40:AH40 S41:U43 X41:X43 Z38:AD43 Q43:AI43 Z44:AI44">
    <cfRule type="containsText" dxfId="9334" priority="120170" operator="containsText" text="NA">
      <formula>NOT(ISERROR(SEARCH("NA",#REF!)))</formula>
    </cfRule>
  </conditionalFormatting>
  <conditionalFormatting sqref="N65">
    <cfRule type="containsText" dxfId="9333" priority="119606" operator="containsText" text="Pending">
      <formula>NOT(ISERROR(SEARCH("Pending",K75)))</formula>
    </cfRule>
    <cfRule type="containsText" dxfId="9332" priority="119605" operator="containsText" text="NA">
      <formula>NOT(ISERROR(SEARCH("NA",K75)))</formula>
    </cfRule>
    <cfRule type="containsText" dxfId="9331" priority="119607" operator="containsText" text="Done">
      <formula>NOT(ISERROR(SEARCH("Done",K75)))</formula>
    </cfRule>
  </conditionalFormatting>
  <conditionalFormatting sqref="N85">
    <cfRule type="containsText" dxfId="9330" priority="77412" operator="containsText" text="Pending">
      <formula>NOT(ISERROR(SEARCH("Pending",#REF!)))</formula>
    </cfRule>
    <cfRule type="containsText" dxfId="9329" priority="77413" operator="containsText" text="NA">
      <formula>NOT(ISERROR(SEARCH("NA",#REF!)))</formula>
    </cfRule>
  </conditionalFormatting>
  <conditionalFormatting sqref="O7 P2:AD2 AC29:AD32 T7:Z7 V9:W15 X10:Y15 W9:Y9 T8:Y8 Z8:Z15 P1:AL1 AJ3:AL3 P27:AL28 AE7:AL11 AG2:AL2 P4:AL6 AM4:BG4 AM1:DF3 AM5:DF11 AM27:DF30 P98:DF1048576 P7:U15 AA7:AD15 AE12:DF15 U29:W32 P30:AB30 AG29:AG32 R29:S32 P29:Y29 P30:X32 Z29:AL30 AJ94:DF97 P16:DF26 P31:DF93">
    <cfRule type="containsText" dxfId="9328" priority="124189" operator="containsText" text="Done">
      <formula>NOT(ISERROR(SEARCH("Done",O1)))</formula>
    </cfRule>
  </conditionalFormatting>
  <conditionalFormatting sqref="O48">
    <cfRule type="containsText" dxfId="9327" priority="124148" operator="containsText" text="Done">
      <formula>NOT(ISERROR(SEARCH("Done",#REF!)))</formula>
    </cfRule>
    <cfRule type="containsText" dxfId="9326" priority="124147" operator="containsText" text="Pending">
      <formula>NOT(ISERROR(SEARCH("Pending",#REF!)))</formula>
    </cfRule>
    <cfRule type="containsText" dxfId="9325" priority="124146" operator="containsText" text="NA">
      <formula>NOT(ISERROR(SEARCH("NA",#REF!)))</formula>
    </cfRule>
    <cfRule type="containsText" dxfId="9324" priority="124151" operator="containsText" text="NA">
      <formula>NOT(ISERROR(SEARCH("NA",#REF!)))</formula>
    </cfRule>
    <cfRule type="containsText" dxfId="9323" priority="124150" operator="containsText" text="Pending">
      <formula>NOT(ISERROR(SEARCH("Pending",#REF!)))</formula>
    </cfRule>
  </conditionalFormatting>
  <conditionalFormatting sqref="O49:O50">
    <cfRule type="containsText" dxfId="9322" priority="124131" operator="containsText" text="NA">
      <formula>NOT(ISERROR(SEARCH("NA",#REF!)))</formula>
    </cfRule>
    <cfRule type="containsText" dxfId="9321" priority="124130" operator="containsText" text="Pending">
      <formula>NOT(ISERROR(SEARCH("Pending",#REF!)))</formula>
    </cfRule>
    <cfRule type="containsText" dxfId="9320" priority="124128" operator="containsText" text="Done">
      <formula>NOT(ISERROR(SEARCH("Done",#REF!)))</formula>
    </cfRule>
    <cfRule type="containsText" dxfId="9319" priority="124126" operator="containsText" text="NA">
      <formula>NOT(ISERROR(SEARCH("NA",#REF!)))</formula>
    </cfRule>
    <cfRule type="containsText" dxfId="9318" priority="124127" operator="containsText" text="Pending">
      <formula>NOT(ISERROR(SEARCH("Pending",#REF!)))</formula>
    </cfRule>
  </conditionalFormatting>
  <conditionalFormatting sqref="O51">
    <cfRule type="containsText" dxfId="9317" priority="124121" operator="containsText" text="Pending">
      <formula>NOT(ISERROR(SEARCH("Pending",#REF!)))</formula>
    </cfRule>
    <cfRule type="containsText" dxfId="9316" priority="124122" operator="containsText" text="Done">
      <formula>NOT(ISERROR(SEARCH("Done",#REF!)))</formula>
    </cfRule>
    <cfRule type="containsText" dxfId="9315" priority="124120" operator="containsText" text="NA">
      <formula>NOT(ISERROR(SEARCH("NA",#REF!)))</formula>
    </cfRule>
    <cfRule type="containsText" dxfId="9314" priority="124124" operator="containsText" text="Pending">
      <formula>NOT(ISERROR(SEARCH("Pending",#REF!)))</formula>
    </cfRule>
    <cfRule type="containsText" dxfId="9313" priority="124125" operator="containsText" text="NA">
      <formula>NOT(ISERROR(SEARCH("NA",#REF!)))</formula>
    </cfRule>
  </conditionalFormatting>
  <conditionalFormatting sqref="O52">
    <cfRule type="containsText" dxfId="9312" priority="123958" operator="containsText" text="NA">
      <formula>NOT(ISERROR(SEARCH("NA",#REF!)))</formula>
    </cfRule>
    <cfRule type="containsText" dxfId="9311" priority="123959" operator="containsText" text="Pending">
      <formula>NOT(ISERROR(SEARCH("Pending",#REF!)))</formula>
    </cfRule>
    <cfRule type="containsText" dxfId="9310" priority="123960" operator="containsText" text="Done">
      <formula>NOT(ISERROR(SEARCH("Done",#REF!)))</formula>
    </cfRule>
    <cfRule type="containsText" dxfId="9309" priority="123963" operator="containsText" text="NA">
      <formula>NOT(ISERROR(SEARCH("NA",#REF!)))</formula>
    </cfRule>
    <cfRule type="containsText" dxfId="9308" priority="123962" operator="containsText" text="Pending">
      <formula>NOT(ISERROR(SEARCH("Pending",#REF!)))</formula>
    </cfRule>
  </conditionalFormatting>
  <conditionalFormatting sqref="O53">
    <cfRule type="containsText" dxfId="9307" priority="5475" operator="containsText" text="NA">
      <formula>NOT(ISERROR(SEARCH("NA",#REF!)))</formula>
    </cfRule>
    <cfRule type="containsText" dxfId="9306" priority="5474" operator="containsText" text="Pending">
      <formula>NOT(ISERROR(SEARCH("Pending",#REF!)))</formula>
    </cfRule>
    <cfRule type="containsText" dxfId="9305" priority="5473" operator="containsText" text="Done">
      <formula>NOT(ISERROR(SEARCH("Done",#REF!)))</formula>
    </cfRule>
    <cfRule type="containsText" dxfId="9304" priority="5472" operator="containsText" text="Pending">
      <formula>NOT(ISERROR(SEARCH("Pending",#REF!)))</formula>
    </cfRule>
    <cfRule type="containsText" dxfId="9303" priority="5471" operator="containsText" text="NA">
      <formula>NOT(ISERROR(SEARCH("NA",#REF!)))</formula>
    </cfRule>
  </conditionalFormatting>
  <conditionalFormatting sqref="O66">
    <cfRule type="containsText" dxfId="9302" priority="119631" operator="containsText" text="Pending">
      <formula>NOT(ISERROR(SEARCH("Pending",#REF!)))</formula>
    </cfRule>
    <cfRule type="containsText" dxfId="9301" priority="119642" operator="containsText" text="NA">
      <formula>NOT(ISERROR(SEARCH("NA",#REF!)))</formula>
    </cfRule>
  </conditionalFormatting>
  <conditionalFormatting sqref="O66:O67">
    <cfRule type="containsText" dxfId="9300" priority="119620" operator="containsText" text="Done">
      <formula>NOT(ISERROR(SEARCH("Done",#REF!)))</formula>
    </cfRule>
  </conditionalFormatting>
  <conditionalFormatting sqref="O67">
    <cfRule type="containsText" dxfId="9299" priority="119632" operator="containsText" text="Pending">
      <formula>NOT(ISERROR(SEARCH("Pending",#REF!)))</formula>
    </cfRule>
    <cfRule type="containsText" dxfId="9298" priority="119644" operator="containsText" text="NA">
      <formula>NOT(ISERROR(SEARCH("NA",#REF!)))</formula>
    </cfRule>
  </conditionalFormatting>
  <conditionalFormatting sqref="O76:O83">
    <cfRule type="containsText" dxfId="9297" priority="119240" operator="containsText" text="NA">
      <formula>NOT(ISERROR(SEARCH("NA",#REF!)))</formula>
    </cfRule>
    <cfRule type="containsText" dxfId="9296" priority="119242" operator="containsText" text="Done">
      <formula>NOT(ISERROR(SEARCH("Done",#REF!)))</formula>
    </cfRule>
    <cfRule type="containsText" dxfId="9295" priority="119241" operator="containsText" text="Pending">
      <formula>NOT(ISERROR(SEARCH("Pending",#REF!)))</formula>
    </cfRule>
  </conditionalFormatting>
  <conditionalFormatting sqref="O86">
    <cfRule type="containsText" dxfId="9294" priority="77382" operator="containsText" text="Pending">
      <formula>NOT(ISERROR(SEARCH("Pending",#REF!)))</formula>
    </cfRule>
    <cfRule type="containsText" dxfId="9293" priority="77381" operator="containsText" text="NA">
      <formula>NOT(ISERROR(SEARCH("NA",#REF!)))</formula>
    </cfRule>
    <cfRule type="containsText" dxfId="9292" priority="77386" operator="containsText" text="Pending">
      <formula>NOT(ISERROR(SEARCH("Pending",#REF!)))</formula>
    </cfRule>
    <cfRule type="containsText" dxfId="9291" priority="77383" operator="containsText" text="Done">
      <formula>NOT(ISERROR(SEARCH("Done",#REF!)))</formula>
    </cfRule>
    <cfRule type="containsText" dxfId="9290" priority="77387" operator="containsText" text="NA">
      <formula>NOT(ISERROR(SEARCH("NA",#REF!)))</formula>
    </cfRule>
  </conditionalFormatting>
  <conditionalFormatting sqref="O89">
    <cfRule type="containsText" dxfId="9289" priority="4113" operator="containsText" text="Done">
      <formula>NOT(ISERROR(SEARCH("Done",O89)))</formula>
    </cfRule>
    <cfRule type="containsText" dxfId="9288" priority="4112" operator="containsText" text="NA">
      <formula>NOT(ISERROR(SEARCH("NA",O89)))</formula>
    </cfRule>
    <cfRule type="containsText" dxfId="9287" priority="4111" operator="containsText" text="Pending">
      <formula>NOT(ISERROR(SEARCH("Pending",O89)))</formula>
    </cfRule>
    <cfRule type="containsText" dxfId="9286" priority="4101" operator="containsText" text="NA">
      <formula>NOT(ISERROR(SEARCH("NA",O89)))</formula>
    </cfRule>
    <cfRule type="containsText" dxfId="9285" priority="4109" operator="containsText" text="Pending">
      <formula>NOT(ISERROR(SEARCH("Pending",#REF!)))</formula>
    </cfRule>
    <cfRule type="containsText" dxfId="9284" priority="4108" operator="containsText" text="Done">
      <formula>NOT(ISERROR(SEARCH("Done",#REF!)))</formula>
    </cfRule>
    <cfRule type="containsText" dxfId="9283" priority="4107" operator="containsText" text="Done">
      <formula>NOT(ISERROR(SEARCH("Done",O89)))</formula>
    </cfRule>
    <cfRule type="containsText" dxfId="9282" priority="4105" operator="containsText" text="NA">
      <formula>NOT(ISERROR(SEARCH("NA",#REF!)))</formula>
    </cfRule>
    <cfRule type="containsText" dxfId="9281" priority="4106" operator="containsText" text="NA">
      <formula>NOT(ISERROR(SEARCH("NA",O89)))</formula>
    </cfRule>
    <cfRule type="containsText" dxfId="9280" priority="4104" operator="containsText" text="Pending">
      <formula>NOT(ISERROR(SEARCH("Pending",#REF!)))</formula>
    </cfRule>
    <cfRule type="containsText" dxfId="9279" priority="4103" operator="containsText" text="Done">
      <formula>NOT(ISERROR(SEARCH("Done",#REF!)))</formula>
    </cfRule>
    <cfRule type="containsText" dxfId="9278" priority="4102" operator="containsText" text="Done">
      <formula>NOT(ISERROR(SEARCH("Done",O89)))</formula>
    </cfRule>
    <cfRule type="containsText" dxfId="9277" priority="4110" operator="containsText" text="NA">
      <formula>NOT(ISERROR(SEARCH("NA",#REF!)))</formula>
    </cfRule>
  </conditionalFormatting>
  <conditionalFormatting sqref="O93:O98 P94:AI97">
    <cfRule type="containsText" dxfId="9276" priority="128390" operator="containsText" text="Done">
      <formula>NOT(ISERROR(SEARCH("Done",#REF!)))</formula>
    </cfRule>
    <cfRule type="containsText" dxfId="9275" priority="128389" operator="containsText" text="Pending">
      <formula>NOT(ISERROR(SEARCH("Pending",#REF!)))</formula>
    </cfRule>
    <cfRule type="containsText" dxfId="9274" priority="128388" operator="containsText" text="NA">
      <formula>NOT(ISERROR(SEARCH("NA",#REF!)))</formula>
    </cfRule>
  </conditionalFormatting>
  <conditionalFormatting sqref="O98">
    <cfRule type="containsText" dxfId="9273" priority="140260" operator="containsText" text="NA">
      <formula>NOT(ISERROR(SEARCH("NA",#REF!)))</formula>
    </cfRule>
    <cfRule type="containsText" dxfId="9272" priority="140256" operator="containsText" text="Pending">
      <formula>NOT(ISERROR(SEARCH("Pending",#REF!)))</formula>
    </cfRule>
  </conditionalFormatting>
  <conditionalFormatting sqref="P1:P2">
    <cfRule type="containsText" dxfId="9271" priority="124185" operator="containsText" text="NA">
      <formula>NOT(ISERROR(SEARCH("NA",P1)))</formula>
    </cfRule>
    <cfRule type="containsText" dxfId="9270" priority="124187" operator="containsText" text="Done">
      <formula>NOT(ISERROR(SEARCH("Done",P1)))</formula>
    </cfRule>
  </conditionalFormatting>
  <conditionalFormatting sqref="P13 T13:U13 W13 Y13 AB13 AE13:AG13">
    <cfRule type="containsText" dxfId="9269" priority="36615" operator="containsText" text="Done">
      <formula>NOT(ISERROR(SEARCH("Done",#REF!)))</formula>
    </cfRule>
    <cfRule type="containsText" dxfId="9268" priority="36614" operator="containsText" text="NA">
      <formula>NOT(ISERROR(SEARCH("NA",#REF!)))</formula>
    </cfRule>
  </conditionalFormatting>
  <conditionalFormatting sqref="P14 T14:U14 W14 Y14 AB14 AE14:AG14">
    <cfRule type="containsText" dxfId="9267" priority="36606" operator="containsText" text="NA">
      <formula>NOT(ISERROR(SEARCH("NA",#REF!)))</formula>
    </cfRule>
    <cfRule type="containsText" dxfId="9266" priority="36607" operator="containsText" text="Done">
      <formula>NOT(ISERROR(SEARCH("Done",#REF!)))</formula>
    </cfRule>
  </conditionalFormatting>
  <conditionalFormatting sqref="P15 T15:U15 W15 Y15 AB15 AE15:AG15">
    <cfRule type="containsText" dxfId="9265" priority="36598" operator="containsText" text="NA">
      <formula>NOT(ISERROR(SEARCH("NA",#REF!)))</formula>
    </cfRule>
    <cfRule type="containsText" dxfId="9264" priority="36599" operator="containsText" text="Done">
      <formula>NOT(ISERROR(SEARCH("Done",#REF!)))</formula>
    </cfRule>
  </conditionalFormatting>
  <conditionalFormatting sqref="P29:P32">
    <cfRule type="containsText" dxfId="9263" priority="109307" operator="containsText" text="Done">
      <formula>NOT(ISERROR(SEARCH("Done",#REF!)))</formula>
    </cfRule>
    <cfRule type="containsText" dxfId="9262" priority="109308" operator="containsText" text="Pending">
      <formula>NOT(ISERROR(SEARCH("Pending",#REF!)))</formula>
    </cfRule>
    <cfRule type="containsText" dxfId="9261" priority="109309" operator="containsText" text="NA">
      <formula>NOT(ISERROR(SEARCH("NA",#REF!)))</formula>
    </cfRule>
    <cfRule type="containsText" dxfId="9260" priority="109306" operator="containsText" text="NA">
      <formula>NOT(ISERROR(SEARCH("NA",#REF!)))</formula>
    </cfRule>
    <cfRule type="containsText" dxfId="9259" priority="109690" operator="containsText" text="NA">
      <formula>NOT(ISERROR(SEARCH("NA",#REF!)))</formula>
    </cfRule>
    <cfRule type="containsText" dxfId="9258" priority="109691" operator="containsText" text="Done">
      <formula>NOT(ISERROR(SEARCH("Done",#REF!)))</formula>
    </cfRule>
    <cfRule type="containsText" dxfId="9257" priority="109692" operator="containsText" text="Pending">
      <formula>NOT(ISERROR(SEARCH("Pending",#REF!)))</formula>
    </cfRule>
    <cfRule type="containsText" dxfId="9256" priority="123388" operator="containsText" text="NA">
      <formula>NOT(ISERROR(SEARCH("NA",#REF!)))</formula>
    </cfRule>
    <cfRule type="containsText" dxfId="9255" priority="123387" operator="containsText" text="Pending">
      <formula>NOT(ISERROR(SEARCH("Pending",#REF!)))</formula>
    </cfRule>
    <cfRule type="containsText" dxfId="9254" priority="123386" operator="containsText" text="Done">
      <formula>NOT(ISERROR(SEARCH("Done",#REF!)))</formula>
    </cfRule>
    <cfRule type="containsText" dxfId="9253" priority="109693" operator="containsText" text="NA">
      <formula>NOT(ISERROR(SEARCH("NA",#REF!)))</formula>
    </cfRule>
  </conditionalFormatting>
  <conditionalFormatting sqref="P30">
    <cfRule type="containsText" dxfId="9252" priority="77292" operator="containsText" text="NA">
      <formula>NOT(ISERROR(SEARCH("NA",#REF!)))</formula>
    </cfRule>
    <cfRule type="containsText" dxfId="9251" priority="77293" operator="containsText" text="Done">
      <formula>NOT(ISERROR(SEARCH("Done",#REF!)))</formula>
    </cfRule>
    <cfRule type="containsText" dxfId="9250" priority="77295" operator="containsText" text="NA">
      <formula>NOT(ISERROR(SEARCH("NA",#REF!)))</formula>
    </cfRule>
    <cfRule type="containsText" dxfId="9249" priority="77294" operator="containsText" text="Pending">
      <formula>NOT(ISERROR(SEARCH("Pending",#REF!)))</formula>
    </cfRule>
  </conditionalFormatting>
  <conditionalFormatting sqref="P30:P32">
    <cfRule type="containsText" dxfId="9248" priority="5281" operator="containsText" text="Pending">
      <formula>NOT(ISERROR(SEARCH("Pending",#REF!)))</formula>
    </cfRule>
    <cfRule type="containsText" dxfId="9247" priority="5279" operator="containsText" text="NA">
      <formula>NOT(ISERROR(SEARCH("NA",#REF!)))</formula>
    </cfRule>
    <cfRule type="containsText" dxfId="9246" priority="5280" operator="containsText" text="Done">
      <formula>NOT(ISERROR(SEARCH("Done",#REF!)))</formula>
    </cfRule>
    <cfRule type="containsText" dxfId="9245" priority="3382" operator="containsText" text="Pending">
      <formula>NOT(ISERROR(SEARCH("Pending",#REF!)))</formula>
    </cfRule>
    <cfRule type="containsText" dxfId="9244" priority="3383" operator="containsText" text="NA">
      <formula>NOT(ISERROR(SEARCH("NA",#REF!)))</formula>
    </cfRule>
    <cfRule type="containsText" dxfId="9243" priority="3380" operator="containsText" text="NA">
      <formula>NOT(ISERROR(SEARCH("NA",#REF!)))</formula>
    </cfRule>
    <cfRule type="containsText" dxfId="9242" priority="3381" operator="containsText" text="Done">
      <formula>NOT(ISERROR(SEARCH("Done",#REF!)))</formula>
    </cfRule>
    <cfRule type="containsText" dxfId="9241" priority="77288" operator="containsText" text="NA">
      <formula>NOT(ISERROR(SEARCH("NA",#REF!)))</formula>
    </cfRule>
    <cfRule type="containsText" dxfId="9240" priority="77289" operator="containsText" text="Done">
      <formula>NOT(ISERROR(SEARCH("Done",#REF!)))</formula>
    </cfRule>
    <cfRule type="containsText" dxfId="9239" priority="77290" operator="containsText" text="Pending">
      <formula>NOT(ISERROR(SEARCH("Pending",#REF!)))</formula>
    </cfRule>
    <cfRule type="containsText" dxfId="9238" priority="77291" operator="containsText" text="NA">
      <formula>NOT(ISERROR(SEARCH("NA",#REF!)))</formula>
    </cfRule>
    <cfRule type="containsText" dxfId="9237" priority="5282" operator="containsText" text="NA">
      <formula>NOT(ISERROR(SEARCH("NA",#REF!)))</formula>
    </cfRule>
  </conditionalFormatting>
  <conditionalFormatting sqref="P50">
    <cfRule type="containsText" dxfId="9236" priority="123955" operator="containsText" text="Done">
      <formula>NOT(ISERROR(SEARCH("Done",#REF!)))</formula>
    </cfRule>
    <cfRule type="containsText" dxfId="9235" priority="123956" operator="containsText" text="Pending">
      <formula>NOT(ISERROR(SEARCH("Pending",#REF!)))</formula>
    </cfRule>
    <cfRule type="containsText" dxfId="9234" priority="123957" operator="containsText" text="NA">
      <formula>NOT(ISERROR(SEARCH("NA",#REF!)))</formula>
    </cfRule>
    <cfRule type="containsText" dxfId="9233" priority="123953" operator="containsText" text="Pending">
      <formula>NOT(ISERROR(SEARCH("Pending",#REF!)))</formula>
    </cfRule>
    <cfRule type="containsText" dxfId="9232" priority="123954" operator="containsText" text="NA">
      <formula>NOT(ISERROR(SEARCH("NA",#REF!)))</formula>
    </cfRule>
  </conditionalFormatting>
  <conditionalFormatting sqref="P52">
    <cfRule type="containsText" dxfId="9231" priority="123947" operator="containsText" text="Pending">
      <formula>NOT(ISERROR(SEARCH("Pending",#REF!)))</formula>
    </cfRule>
    <cfRule type="containsText" dxfId="9230" priority="123948" operator="containsText" text="NA">
      <formula>NOT(ISERROR(SEARCH("NA",#REF!)))</formula>
    </cfRule>
    <cfRule type="containsText" dxfId="9229" priority="123949" operator="containsText" text="Done">
      <formula>NOT(ISERROR(SEARCH("Done",#REF!)))</formula>
    </cfRule>
    <cfRule type="containsText" dxfId="9228" priority="123950" operator="containsText" text="Pending">
      <formula>NOT(ISERROR(SEARCH("Pending",#REF!)))</formula>
    </cfRule>
    <cfRule type="containsText" dxfId="9227" priority="123951" operator="containsText" text="NA">
      <formula>NOT(ISERROR(SEARCH("NA",#REF!)))</formula>
    </cfRule>
  </conditionalFormatting>
  <conditionalFormatting sqref="P89">
    <cfRule type="containsText" dxfId="9226" priority="4123" operator="containsText" text="NA">
      <formula>NOT(ISERROR(SEARCH("NA",#REF!)))</formula>
    </cfRule>
    <cfRule type="containsText" dxfId="9225" priority="4118" operator="containsText" text="NA">
      <formula>NOT(ISERROR(SEARCH("NA",#REF!)))</formula>
    </cfRule>
    <cfRule type="containsText" dxfId="9224" priority="4117" operator="containsText" text="Pending">
      <formula>NOT(ISERROR(SEARCH("Pending",#REF!)))</formula>
    </cfRule>
    <cfRule type="containsText" dxfId="9223" priority="4116" operator="containsText" text="Done">
      <formula>NOT(ISERROR(SEARCH("Done",#REF!)))</formula>
    </cfRule>
    <cfRule type="containsText" dxfId="9222" priority="4114" operator="containsText" text="NA">
      <formula>NOT(ISERROR(SEARCH("NA",P89)))</formula>
    </cfRule>
    <cfRule type="containsText" dxfId="9221" priority="4115" operator="containsText" text="Done">
      <formula>NOT(ISERROR(SEARCH("Done",P89)))</formula>
    </cfRule>
    <cfRule type="containsText" dxfId="9220" priority="4122" operator="containsText" text="Pending">
      <formula>NOT(ISERROR(SEARCH("Pending",#REF!)))</formula>
    </cfRule>
    <cfRule type="containsText" dxfId="9219" priority="4121" operator="containsText" text="Done">
      <formula>NOT(ISERROR(SEARCH("Done",#REF!)))</formula>
    </cfRule>
    <cfRule type="containsText" dxfId="9218" priority="4120" operator="containsText" text="Done">
      <formula>NOT(ISERROR(SEARCH("Done",P89)))</formula>
    </cfRule>
    <cfRule type="containsText" dxfId="9217" priority="4119" operator="containsText" text="NA">
      <formula>NOT(ISERROR(SEARCH("NA",P89)))</formula>
    </cfRule>
  </conditionalFormatting>
  <conditionalFormatting sqref="P18:Q18 Q19:Q26">
    <cfRule type="containsText" dxfId="9216" priority="135964" operator="containsText" text="NA">
      <formula>NOT(ISERROR(SEARCH("NA",#REF!)))</formula>
    </cfRule>
  </conditionalFormatting>
  <conditionalFormatting sqref="P21:Q21 P22">
    <cfRule type="containsText" dxfId="9215" priority="135966" operator="containsText" text="NA">
      <formula>NOT(ISERROR(SEARCH("NA",#REF!)))</formula>
    </cfRule>
    <cfRule type="containsText" dxfId="9214" priority="135748" operator="containsText" text="Pending">
      <formula>NOT(ISERROR(SEARCH("Pending",#REF!)))</formula>
    </cfRule>
  </conditionalFormatting>
  <conditionalFormatting sqref="P21:Q22">
    <cfRule type="containsText" dxfId="9213" priority="135530" operator="containsText" text="Done">
      <formula>NOT(ISERROR(SEARCH("Done",#REF!)))</formula>
    </cfRule>
  </conditionalFormatting>
  <conditionalFormatting sqref="P22:Q22">
    <cfRule type="containsText" dxfId="9212" priority="135999" operator="containsText" text="NA">
      <formula>NOT(ISERROR(SEARCH("NA",#REF!)))</formula>
    </cfRule>
    <cfRule type="containsText" dxfId="9211" priority="135781" operator="containsText" text="Pending">
      <formula>NOT(ISERROR(SEARCH("Pending",#REF!)))</formula>
    </cfRule>
  </conditionalFormatting>
  <conditionalFormatting sqref="P46:Q46">
    <cfRule type="containsText" dxfId="9210" priority="128397" operator="containsText" text="NA">
      <formula>NOT(ISERROR(SEARCH("NA",#REF!)))</formula>
    </cfRule>
    <cfRule type="containsText" dxfId="9209" priority="128398" operator="containsText" text="Pending">
      <formula>NOT(ISERROR(SEARCH("Pending",#REF!)))</formula>
    </cfRule>
    <cfRule type="containsText" dxfId="9208" priority="128399" operator="containsText" text="Done">
      <formula>NOT(ISERROR(SEARCH("Done",#REF!)))</formula>
    </cfRule>
  </conditionalFormatting>
  <conditionalFormatting sqref="P50:Q50">
    <cfRule type="containsText" dxfId="9207" priority="123934" operator="containsText" text="Done">
      <formula>NOT(ISERROR(SEARCH("Done",#REF!)))</formula>
    </cfRule>
  </conditionalFormatting>
  <conditionalFormatting sqref="P52:Q52">
    <cfRule type="containsText" dxfId="9206" priority="123919" operator="containsText" text="Done">
      <formula>NOT(ISERROR(SEARCH("Done",#REF!)))</formula>
    </cfRule>
  </conditionalFormatting>
  <conditionalFormatting sqref="P55:Q55">
    <cfRule type="containsText" dxfId="9205" priority="120078" operator="containsText" text="Pending">
      <formula>NOT(ISERROR(SEARCH("Pending",#REF!)))</formula>
    </cfRule>
    <cfRule type="containsText" dxfId="9204" priority="120079" operator="containsText" text="NA">
      <formula>NOT(ISERROR(SEARCH("NA",#REF!)))</formula>
    </cfRule>
    <cfRule type="containsText" dxfId="9203" priority="120080" operator="containsText" text="Done">
      <formula>NOT(ISERROR(SEARCH("Done",#REF!)))</formula>
    </cfRule>
  </conditionalFormatting>
  <conditionalFormatting sqref="P57:Q57 S57 U57">
    <cfRule type="containsText" dxfId="9202" priority="119870" operator="containsText" text="NA">
      <formula>NOT(ISERROR(SEARCH("NA",#REF!)))</formula>
    </cfRule>
  </conditionalFormatting>
  <conditionalFormatting sqref="P57:Q57 S57:V57 V58:V63">
    <cfRule type="containsText" dxfId="9201" priority="119871" operator="containsText" text="Done">
      <formula>NOT(ISERROR(SEARCH("Done",#REF!)))</formula>
    </cfRule>
  </conditionalFormatting>
  <conditionalFormatting sqref="P48:R48 S53:AB53 R48:S53 S50:X50">
    <cfRule type="containsText" dxfId="9200" priority="140201" operator="containsText" text="NA">
      <formula>NOT(ISERROR(SEARCH("NA",#REF!)))</formula>
    </cfRule>
    <cfRule type="containsText" dxfId="9199" priority="140202" operator="containsText" text="NA">
      <formula>NOT(ISERROR(SEARCH("NA",#REF!)))</formula>
    </cfRule>
    <cfRule type="containsText" dxfId="9198" priority="140114" operator="containsText" text="Pending">
      <formula>NOT(ISERROR(SEARCH("Pending",#REF!)))</formula>
    </cfRule>
    <cfRule type="containsText" dxfId="9197" priority="140113" operator="containsText" text="Pending">
      <formula>NOT(ISERROR(SEARCH("Pending",#REF!)))</formula>
    </cfRule>
    <cfRule type="containsText" dxfId="9196" priority="140115" operator="containsText" text="Pending">
      <formula>NOT(ISERROR(SEARCH("Pending",#REF!)))</formula>
    </cfRule>
    <cfRule type="containsText" dxfId="9195" priority="140199" operator="containsText" text="NA">
      <formula>NOT(ISERROR(SEARCH("NA",#REF!)))</formula>
    </cfRule>
    <cfRule type="containsText" dxfId="9194" priority="140200" operator="containsText" text="NA">
      <formula>NOT(ISERROR(SEARCH("NA",#REF!)))</formula>
    </cfRule>
  </conditionalFormatting>
  <conditionalFormatting sqref="P48:R49 Q53:AB53 Q49:Q53 R48:S52 S50:X50">
    <cfRule type="containsText" dxfId="9193" priority="140024" operator="containsText" text="Done">
      <formula>NOT(ISERROR(SEARCH("Done",#REF!)))</formula>
    </cfRule>
  </conditionalFormatting>
  <conditionalFormatting sqref="P48:R49">
    <cfRule type="containsText" dxfId="9192" priority="140111" operator="containsText" text="Pending">
      <formula>NOT(ISERROR(SEARCH("Pending",#REF!)))</formula>
    </cfRule>
  </conditionalFormatting>
  <conditionalFormatting sqref="P49:R49">
    <cfRule type="containsText" dxfId="9191" priority="140198" operator="containsText" text="NA">
      <formula>NOT(ISERROR(SEARCH("NA",#REF!)))</formula>
    </cfRule>
  </conditionalFormatting>
  <conditionalFormatting sqref="P30:U32">
    <cfRule type="containsText" dxfId="9190" priority="124396" operator="containsText" text="Done">
      <formula>NOT(ISERROR(SEARCH("Done",#REF!)))</formula>
    </cfRule>
    <cfRule type="containsText" dxfId="9189" priority="124397" operator="containsText" text="Pending">
      <formula>NOT(ISERROR(SEARCH("Pending",#REF!)))</formula>
    </cfRule>
    <cfRule type="containsText" dxfId="9188" priority="124398" operator="containsText" text="NA">
      <formula>NOT(ISERROR(SEARCH("NA",#REF!)))</formula>
    </cfRule>
    <cfRule type="containsText" dxfId="9187" priority="124395" operator="containsText" text="NA">
      <formula>NOT(ISERROR(SEARCH("NA",#REF!)))</formula>
    </cfRule>
  </conditionalFormatting>
  <conditionalFormatting sqref="P58:V58 X58:AG58">
    <cfRule type="containsText" dxfId="9186" priority="119788" operator="containsText" text="Done">
      <formula>NOT(ISERROR(SEARCH("Done",#REF!)))</formula>
    </cfRule>
  </conditionalFormatting>
  <conditionalFormatting sqref="P59:V59 X59:AG59">
    <cfRule type="containsText" dxfId="9185" priority="119012" operator="containsText" text="Done">
      <formula>NOT(ISERROR(SEARCH("Done",#REF!)))</formula>
    </cfRule>
  </conditionalFormatting>
  <conditionalFormatting sqref="P82:X82 X83:Y83">
    <cfRule type="containsText" dxfId="9184" priority="3752" operator="containsText" text="NA">
      <formula>NOT(ISERROR(SEARCH("NA",#REF!)))</formula>
    </cfRule>
    <cfRule type="containsText" dxfId="9183" priority="5494" operator="containsText" text="Pending">
      <formula>NOT(ISERROR(SEARCH("Pending",#REF!)))</formula>
    </cfRule>
    <cfRule type="containsText" dxfId="9182" priority="5495" operator="containsText" text="NA">
      <formula>NOT(ISERROR(SEARCH("NA",#REF!)))</formula>
    </cfRule>
    <cfRule type="containsText" dxfId="9181" priority="5496" operator="containsText" text="Done">
      <formula>NOT(ISERROR(SEARCH("Done",#REF!)))</formula>
    </cfRule>
    <cfRule type="containsText" dxfId="9180" priority="5497" operator="containsText" text="Pending">
      <formula>NOT(ISERROR(SEARCH("Pending",#REF!)))</formula>
    </cfRule>
    <cfRule type="containsText" dxfId="9179" priority="3754" operator="containsText" text="Pending">
      <formula>NOT(ISERROR(SEARCH("Pending",#REF!)))</formula>
    </cfRule>
    <cfRule type="containsText" dxfId="9178" priority="3775" operator="containsText" text="NA">
      <formula>NOT(ISERROR(SEARCH("NA",#REF!)))</formula>
    </cfRule>
    <cfRule type="containsText" dxfId="9177" priority="3734" operator="containsText" text="NA">
      <formula>NOT(ISERROR(SEARCH("NA",#REF!)))</formula>
    </cfRule>
    <cfRule type="containsText" dxfId="9176" priority="3735" operator="containsText" text="Done">
      <formula>NOT(ISERROR(SEARCH("Done",#REF!)))</formula>
    </cfRule>
    <cfRule type="containsText" dxfId="9175" priority="3736" operator="containsText" text="Pending">
      <formula>NOT(ISERROR(SEARCH("Pending",#REF!)))</formula>
    </cfRule>
    <cfRule type="containsText" dxfId="9174" priority="3737" operator="containsText" text="Pending">
      <formula>NOT(ISERROR(SEARCH("Pending",#REF!)))</formula>
    </cfRule>
    <cfRule type="containsText" dxfId="9173" priority="3776" operator="containsText" text="Done">
      <formula>NOT(ISERROR(SEARCH("Done",#REF!)))</formula>
    </cfRule>
    <cfRule type="containsText" dxfId="9172" priority="3738" operator="containsText" text="NA">
      <formula>NOT(ISERROR(SEARCH("NA",#REF!)))</formula>
    </cfRule>
    <cfRule type="containsText" dxfId="9171" priority="3739" operator="containsText" text="NA">
      <formula>NOT(ISERROR(SEARCH("NA",#REF!)))</formula>
    </cfRule>
    <cfRule type="containsText" dxfId="9170" priority="3740" operator="containsText" text="Pending">
      <formula>NOT(ISERROR(SEARCH("Pending",#REF!)))</formula>
    </cfRule>
    <cfRule type="containsText" dxfId="9169" priority="3741" operator="containsText" text="NA">
      <formula>NOT(ISERROR(SEARCH("NA",#REF!)))</formula>
    </cfRule>
    <cfRule type="containsText" dxfId="9168" priority="3742" operator="containsText" text="Done">
      <formula>NOT(ISERROR(SEARCH("Done",#REF!)))</formula>
    </cfRule>
    <cfRule type="containsText" dxfId="9167" priority="3743" operator="containsText" text="Pending">
      <formula>NOT(ISERROR(SEARCH("Pending",#REF!)))</formula>
    </cfRule>
    <cfRule type="containsText" dxfId="9166" priority="3744" operator="containsText" text="Pending">
      <formula>NOT(ISERROR(SEARCH("Pending",#REF!)))</formula>
    </cfRule>
    <cfRule type="containsText" dxfId="9165" priority="3745" operator="containsText" text="NA">
      <formula>NOT(ISERROR(SEARCH("NA",#REF!)))</formula>
    </cfRule>
    <cfRule type="containsText" dxfId="9164" priority="5498" operator="containsText" text="Pending">
      <formula>NOT(ISERROR(SEARCH("Pending",#REF!)))</formula>
    </cfRule>
    <cfRule type="containsText" dxfId="9163" priority="5499" operator="containsText" text="NA">
      <formula>NOT(ISERROR(SEARCH("NA",#REF!)))</formula>
    </cfRule>
    <cfRule type="containsText" dxfId="9162" priority="5500" operator="containsText" text="NA">
      <formula>NOT(ISERROR(SEARCH("NA",#REF!)))</formula>
    </cfRule>
    <cfRule type="containsText" dxfId="9161" priority="3746" operator="containsText" text="NA">
      <formula>NOT(ISERROR(SEARCH("NA",#REF!)))</formula>
    </cfRule>
    <cfRule type="containsText" dxfId="9160" priority="3747" operator="containsText" text="Pending">
      <formula>NOT(ISERROR(SEARCH("Pending",#REF!)))</formula>
    </cfRule>
    <cfRule type="containsText" dxfId="9159" priority="3748" operator="containsText" text="NA">
      <formula>NOT(ISERROR(SEARCH("NA",#REF!)))</formula>
    </cfRule>
    <cfRule type="containsText" dxfId="9158" priority="3749" operator="containsText" text="Done">
      <formula>NOT(ISERROR(SEARCH("Done",#REF!)))</formula>
    </cfRule>
    <cfRule type="containsText" dxfId="9157" priority="3750" operator="containsText" text="Pending">
      <formula>NOT(ISERROR(SEARCH("Pending",#REF!)))</formula>
    </cfRule>
    <cfRule type="containsText" dxfId="9156" priority="3751" operator="containsText" text="Pending">
      <formula>NOT(ISERROR(SEARCH("Pending",#REF!)))</formula>
    </cfRule>
    <cfRule type="containsText" dxfId="9155" priority="3753" operator="containsText" text="NA">
      <formula>NOT(ISERROR(SEARCH("NA",#REF!)))</formula>
    </cfRule>
    <cfRule type="containsText" dxfId="9154" priority="3755" operator="containsText" text="NA">
      <formula>NOT(ISERROR(SEARCH("NA",#REF!)))</formula>
    </cfRule>
    <cfRule type="containsText" dxfId="9153" priority="3756" operator="containsText" text="Done">
      <formula>NOT(ISERROR(SEARCH("Done",#REF!)))</formula>
    </cfRule>
    <cfRule type="containsText" dxfId="9152" priority="3757" operator="containsText" text="Pending">
      <formula>NOT(ISERROR(SEARCH("Pending",#REF!)))</formula>
    </cfRule>
    <cfRule type="containsText" dxfId="9151" priority="3758" operator="containsText" text="Pending">
      <formula>NOT(ISERROR(SEARCH("Pending",#REF!)))</formula>
    </cfRule>
    <cfRule type="containsText" dxfId="9150" priority="3759" operator="containsText" text="NA">
      <formula>NOT(ISERROR(SEARCH("NA",#REF!)))</formula>
    </cfRule>
    <cfRule type="containsText" dxfId="9149" priority="3760" operator="containsText" text="NA">
      <formula>NOT(ISERROR(SEARCH("NA",#REF!)))</formula>
    </cfRule>
    <cfRule type="containsText" dxfId="9148" priority="3761" operator="containsText" text="Done">
      <formula>NOT(ISERROR(SEARCH("Done",#REF!)))</formula>
    </cfRule>
    <cfRule type="containsText" dxfId="9147" priority="3762" operator="containsText" text="Done">
      <formula>NOT(ISERROR(SEARCH("Done",#REF!)))</formula>
    </cfRule>
    <cfRule type="containsText" dxfId="9146" priority="3763" operator="containsText" text="Pending">
      <formula>NOT(ISERROR(SEARCH("Pending",#REF!)))</formula>
    </cfRule>
    <cfRule type="containsText" dxfId="9145" priority="3764" operator="containsText" text="Pending">
      <formula>NOT(ISERROR(SEARCH("Pending",#REF!)))</formula>
    </cfRule>
    <cfRule type="containsText" dxfId="9144" priority="3765" operator="containsText" text="Pending">
      <formula>NOT(ISERROR(SEARCH("Pending",#REF!)))</formula>
    </cfRule>
    <cfRule type="containsText" dxfId="9143" priority="3766" operator="containsText" text="NA">
      <formula>NOT(ISERROR(SEARCH("NA",#REF!)))</formula>
    </cfRule>
    <cfRule type="containsText" dxfId="9142" priority="3767" operator="containsText" text="NA">
      <formula>NOT(ISERROR(SEARCH("NA",#REF!)))</formula>
    </cfRule>
    <cfRule type="containsText" dxfId="9141" priority="3768" operator="containsText" text="NA">
      <formula>NOT(ISERROR(SEARCH("NA",#REF!)))</formula>
    </cfRule>
    <cfRule type="containsText" dxfId="9140" priority="3769" operator="containsText" text="Pending">
      <formula>NOT(ISERROR(SEARCH("Pending",#REF!)))</formula>
    </cfRule>
    <cfRule type="containsText" dxfId="9139" priority="3770" operator="containsText" text="NA">
      <formula>NOT(ISERROR(SEARCH("NA",#REF!)))</formula>
    </cfRule>
    <cfRule type="containsText" dxfId="9138" priority="3771" operator="containsText" text="Done">
      <formula>NOT(ISERROR(SEARCH("Done",#REF!)))</formula>
    </cfRule>
    <cfRule type="containsText" dxfId="9137" priority="3772" operator="containsText" text="Pending">
      <formula>NOT(ISERROR(SEARCH("Pending",#REF!)))</formula>
    </cfRule>
    <cfRule type="containsText" dxfId="9136" priority="3773" operator="containsText" text="Pending">
      <formula>NOT(ISERROR(SEARCH("Pending",#REF!)))</formula>
    </cfRule>
    <cfRule type="containsText" dxfId="9135" priority="3774" operator="containsText" text="NA">
      <formula>NOT(ISERROR(SEARCH("NA",#REF!)))</formula>
    </cfRule>
  </conditionalFormatting>
  <conditionalFormatting sqref="P29:Y29 R29:S32 U29:U32">
    <cfRule type="containsText" dxfId="9134" priority="135772" operator="containsText" text="Pending">
      <formula>NOT(ISERROR(SEARCH("Pending",#REF!)))</formula>
    </cfRule>
  </conditionalFormatting>
  <conditionalFormatting sqref="P88:Y89 R89:AD89">
    <cfRule type="containsText" dxfId="9133" priority="77400" operator="containsText" text="Done">
      <formula>NOT(ISERROR(SEARCH("Done",#REF!)))</formula>
    </cfRule>
    <cfRule type="containsText" dxfId="9132" priority="77401" operator="containsText" text="Pending">
      <formula>NOT(ISERROR(SEARCH("Pending",#REF!)))</formula>
    </cfRule>
    <cfRule type="containsText" dxfId="9131" priority="77402" operator="containsText" text="NA">
      <formula>NOT(ISERROR(SEARCH("NA",#REF!)))</formula>
    </cfRule>
  </conditionalFormatting>
  <conditionalFormatting sqref="P2:AD2 T7:Z7 V9:W15 X10:Y15 W9:Y9 T8:Y8 Z8:Z15 P1:AL1 AJ3:AL3 AE7:AL11 AG2:AL2 P4:AL6 AM4:BG4 AM1:DF3 AM5:DF11 P98:DF1048576 P7:U15 AA7:AD15 AE12:DF15 AJ94:DF97 P16:DF93">
    <cfRule type="containsText" dxfId="9130" priority="124186" operator="containsText" text="Pending">
      <formula>NOT(ISERROR(SEARCH("Pending",P1)))</formula>
    </cfRule>
  </conditionalFormatting>
  <conditionalFormatting sqref="P2:AD2 AC29:AD32 T7:Z7 V9:W15 X10:Y15 W9:Y9 T8:Y8 Z8:Z15 P1:AL1 AJ3:AL3 P27:AL28 AE7:AL11 AG2:AL2 P4:AL6 AM4:BG4 AM1:DF3 AM5:DF11 AM27:DF30 P98:DF1048576 P7:U15 AA7:AD15 AE12:DF15 U29:W32 P30:AB30 AG29:AG32 R29:S32 P29:Y29 P30:X32 Z29:AL30 AJ94:DF97 P16:DF26 P31:DF93">
    <cfRule type="containsText" dxfId="9129" priority="124188" operator="containsText" text="NA">
      <formula>NOT(ISERROR(SEARCH("NA",P1)))</formula>
    </cfRule>
  </conditionalFormatting>
  <conditionalFormatting sqref="P56:AG56 AI56 W57:Y63 AC57:AD63">
    <cfRule type="containsText" dxfId="9128" priority="119878" operator="containsText" text="Done">
      <formula>NOT(ISERROR(SEARCH("Done",#REF!)))</formula>
    </cfRule>
    <cfRule type="containsText" dxfId="9127" priority="119879" operator="containsText" text="Pending">
      <formula>NOT(ISERROR(SEARCH("Pending",#REF!)))</formula>
    </cfRule>
  </conditionalFormatting>
  <conditionalFormatting sqref="P60:AG63 AI60:AI63">
    <cfRule type="containsText" dxfId="9126" priority="58177" operator="containsText" text="Pending">
      <formula>NOT(ISERROR(SEARCH("Pending",#REF!)))</formula>
    </cfRule>
    <cfRule type="containsText" dxfId="9125" priority="58179" operator="containsText" text="Done">
      <formula>NOT(ISERROR(SEARCH("Done",#REF!)))</formula>
    </cfRule>
    <cfRule type="containsText" dxfId="9124" priority="58182" operator="containsText" text="Done">
      <formula>NOT(ISERROR(SEARCH("Done",#REF!)))</formula>
    </cfRule>
  </conditionalFormatting>
  <conditionalFormatting sqref="P65:AG65 R68:S68">
    <cfRule type="containsText" dxfId="9123" priority="119614" operator="containsText" text="Done">
      <formula>NOT(ISERROR(SEARCH("Done",#REF!)))</formula>
    </cfRule>
    <cfRule type="containsText" dxfId="9122" priority="119616" operator="containsText" text="NA">
      <formula>NOT(ISERROR(SEARCH("NA",#REF!)))</formula>
    </cfRule>
    <cfRule type="containsText" dxfId="9121" priority="119615" operator="containsText" text="Pending">
      <formula>NOT(ISERROR(SEARCH("Pending",#REF!)))</formula>
    </cfRule>
  </conditionalFormatting>
  <conditionalFormatting sqref="P75:AG75">
    <cfRule type="containsText" dxfId="9120" priority="119253" operator="containsText" text="Pending">
      <formula>NOT(ISERROR(SEARCH("Pending",#REF!)))</formula>
    </cfRule>
    <cfRule type="containsText" dxfId="9119" priority="119252" operator="containsText" text="Done">
      <formula>NOT(ISERROR(SEARCH("Done",#REF!)))</formula>
    </cfRule>
    <cfRule type="containsText" dxfId="9118" priority="119254" operator="containsText" text="NA">
      <formula>NOT(ISERROR(SEARCH("NA",#REF!)))</formula>
    </cfRule>
  </conditionalFormatting>
  <conditionalFormatting sqref="P85:AG85">
    <cfRule type="containsText" dxfId="9117" priority="77410" operator="containsText" text="NA">
      <formula>NOT(ISERROR(SEARCH("NA",#REF!)))</formula>
    </cfRule>
    <cfRule type="containsText" dxfId="9116" priority="77411" operator="containsText" text="Done">
      <formula>NOT(ISERROR(SEARCH("Done",#REF!)))</formula>
    </cfRule>
    <cfRule type="containsText" dxfId="9115" priority="77409" operator="containsText" text="Pending">
      <formula>NOT(ISERROR(SEARCH("Pending",#REF!)))</formula>
    </cfRule>
  </conditionalFormatting>
  <conditionalFormatting sqref="P98:AG65559 AO102:AU65559 X19 U18:U20 X48 AI36 S36:S40 AG36:AG39 T37:U39 N64 P64:AG64 P74:AG74 N74 O66 N84 P84:AG84 R16:AG17 P16:Q20 Q86:S87 AI86:AI87 P7:R7 AD43:AI43 AF40:AH40 AI66:AI70 Q49:Q53 P8:P12 Q8:R15 T9:U12 W9:Y9 T7:Z7 V9:W15 Y10:Y12 X10:X15 T8:Y8 Z8:Z15 AA7:AA15 AB7:AB12 Q37 T86:U89 V87:V89 W86:W89 Y87:Y89 AF86:AG87 AE7:AG12 T69:AG70 AI76:AI83 AA66:AG68 P44:V44 S18:S20 AC39:AD39 AB66:AB70 S7:S15 AC7:AD15 U48:U52 W49:X52 Z48:AE53 P86:P88 Q87:Q89 S86:Y86 AF87:AF88 Z86:AE88 Q88:Z88 O89:AF89 P76:AG76 T87:Z87 P76:S83 V77:V83 V76:W78 X77:Y77 W78:Y78 P78:W83 X79:Y81 W82:Y82 X83:Y83 Y76:AG83 P66:Q70 Q67:Q73 R66:S67 V67:W73 AE67:AE69 T66:Y68 Z67:Z70 Q71:AD73 AF71:AF72 AA67:AD73 Q19:Q26 P35:AG36 R36:AC37 R37:AG38 AA37:AB44 R41:AB42 Q43:AB43 X44:AI44">
    <cfRule type="containsText" dxfId="9114" priority="130122" operator="containsText" text="NA">
      <formula>NOT(ISERROR(SEARCH("NA",#REF!)))</formula>
    </cfRule>
  </conditionalFormatting>
  <conditionalFormatting sqref="P71:AI73">
    <cfRule type="containsText" dxfId="9113" priority="5324" operator="containsText" text="Pending">
      <formula>NOT(ISERROR(SEARCH("Pending",#REF!)))</formula>
    </cfRule>
    <cfRule type="containsText" dxfId="9112" priority="5325" operator="containsText" text="NA">
      <formula>NOT(ISERROR(SEARCH("NA",#REF!)))</formula>
    </cfRule>
    <cfRule type="containsText" dxfId="9111" priority="5326" operator="containsText" text="Done">
      <formula>NOT(ISERROR(SEARCH("Done",#REF!)))</formula>
    </cfRule>
  </conditionalFormatting>
  <conditionalFormatting sqref="Q1:Q2 Q98:Q101">
    <cfRule type="containsText" dxfId="9110" priority="124153" operator="containsText" text="Pending">
      <formula>NOT(ISERROR(SEARCH("Pending",Q1)))</formula>
    </cfRule>
    <cfRule type="containsText" dxfId="9109" priority="124152" operator="containsText" text="NA">
      <formula>NOT(ISERROR(SEARCH("NA",Q1)))</formula>
    </cfRule>
    <cfRule type="containsText" dxfId="9108" priority="124154" operator="containsText" text="Done">
      <formula>NOT(ISERROR(SEARCH("Done",Q1)))</formula>
    </cfRule>
  </conditionalFormatting>
  <conditionalFormatting sqref="Q19:Q25 P23:P25 P26:Q26 N47">
    <cfRule type="containsText" dxfId="9107" priority="144752" operator="containsText" text="Pending">
      <formula>NOT(ISERROR(SEARCH("Pending",#REF!)))</formula>
    </cfRule>
  </conditionalFormatting>
  <conditionalFormatting sqref="Q19:Q25 R23:R25 S23:S26 Z23:Z26 AB23:AB26 AF23:AG26 Q26:S26 R36:Y37 P36:Q43 U36:V43 AA37:AB43 Q37:Q44 AB37:AB44 Z38:AD43 AA39:AA44 Q40:Y40 AD40:AH40 AE40:AG43 S41:U43 X41:X43 U41:U44 W41:W44 Y41:Y44 Q43:AI43 T44:U44 Z44:AI44 P46:Q49 Q49:Q53 N54:N55 N90 P90:AG93">
    <cfRule type="containsText" dxfId="9106" priority="120169" operator="containsText" text="Pending">
      <formula>NOT(ISERROR(SEARCH("Pending",#REF!)))</formula>
    </cfRule>
  </conditionalFormatting>
  <conditionalFormatting sqref="Q19:Q26 P18:Q18">
    <cfRule type="containsText" dxfId="9105" priority="135746" operator="containsText" text="Pending">
      <formula>NOT(ISERROR(SEARCH("Pending",#REF!)))</formula>
    </cfRule>
  </conditionalFormatting>
  <conditionalFormatting sqref="Q30:Q32 Q31:R32">
    <cfRule type="containsText" dxfId="9104" priority="123431" operator="containsText" text="Done">
      <formula>NOT(ISERROR(SEARCH("Done",#REF!)))</formula>
    </cfRule>
    <cfRule type="containsText" dxfId="9103" priority="109578" operator="containsText" text="NA">
      <formula>NOT(ISERROR(SEARCH("NA",#REF!)))</formula>
    </cfRule>
    <cfRule type="containsText" dxfId="9102" priority="109579" operator="containsText" text="Done">
      <formula>NOT(ISERROR(SEARCH("Done",#REF!)))</formula>
    </cfRule>
    <cfRule type="containsText" dxfId="9101" priority="123433" operator="containsText" text="NA">
      <formula>NOT(ISERROR(SEARCH("NA",#REF!)))</formula>
    </cfRule>
    <cfRule type="containsText" dxfId="9100" priority="109580" operator="containsText" text="Pending">
      <formula>NOT(ISERROR(SEARCH("Pending",#REF!)))</formula>
    </cfRule>
    <cfRule type="containsText" dxfId="9099" priority="109581" operator="containsText" text="NA">
      <formula>NOT(ISERROR(SEARCH("NA",#REF!)))</formula>
    </cfRule>
    <cfRule type="containsText" dxfId="9098" priority="123432" operator="containsText" text="Pending">
      <formula>NOT(ISERROR(SEARCH("Pending",#REF!)))</formula>
    </cfRule>
    <cfRule type="containsText" dxfId="9097" priority="123430" operator="containsText" text="NA">
      <formula>NOT(ISERROR(SEARCH("NA",#REF!)))</formula>
    </cfRule>
  </conditionalFormatting>
  <conditionalFormatting sqref="Q30:Q32">
    <cfRule type="containsText" dxfId="9096" priority="77272" operator="containsText" text="NA">
      <formula>NOT(ISERROR(SEARCH("NA",#REF!)))</formula>
    </cfRule>
    <cfRule type="containsText" dxfId="9095" priority="77271" operator="containsText" text="Pending">
      <formula>NOT(ISERROR(SEARCH("Pending",#REF!)))</formula>
    </cfRule>
    <cfRule type="containsText" dxfId="9094" priority="77270" operator="containsText" text="Done">
      <formula>NOT(ISERROR(SEARCH("Done",#REF!)))</formula>
    </cfRule>
    <cfRule type="containsText" dxfId="9093" priority="2596" operator="containsText" text="Done">
      <formula>NOT(ISERROR(SEARCH("Done",#REF!)))</formula>
    </cfRule>
    <cfRule type="containsText" dxfId="9092" priority="2597" operator="containsText" text="Pending">
      <formula>NOT(ISERROR(SEARCH("Pending",#REF!)))</formula>
    </cfRule>
    <cfRule type="containsText" dxfId="9091" priority="2598" operator="containsText" text="NA">
      <formula>NOT(ISERROR(SEARCH("NA",#REF!)))</formula>
    </cfRule>
    <cfRule type="containsText" dxfId="9090" priority="2595" operator="containsText" text="NA">
      <formula>NOT(ISERROR(SEARCH("NA",#REF!)))</formula>
    </cfRule>
    <cfRule type="containsText" dxfId="9089" priority="5275" operator="containsText" text="NA">
      <formula>NOT(ISERROR(SEARCH("NA",#REF!)))</formula>
    </cfRule>
    <cfRule type="containsText" dxfId="9088" priority="5276" operator="containsText" text="Done">
      <formula>NOT(ISERROR(SEARCH("Done",#REF!)))</formula>
    </cfRule>
    <cfRule type="containsText" dxfId="9087" priority="77269" operator="containsText" text="NA">
      <formula>NOT(ISERROR(SEARCH("NA",#REF!)))</formula>
    </cfRule>
    <cfRule type="containsText" dxfId="9086" priority="5277" operator="containsText" text="Pending">
      <formula>NOT(ISERROR(SEARCH("Pending",#REF!)))</formula>
    </cfRule>
    <cfRule type="containsText" dxfId="9085" priority="5278" operator="containsText" text="NA">
      <formula>NOT(ISERROR(SEARCH("NA",#REF!)))</formula>
    </cfRule>
  </conditionalFormatting>
  <conditionalFormatting sqref="Q49:Q51">
    <cfRule type="containsText" dxfId="9084" priority="75339" operator="containsText" text="NA">
      <formula>NOT(ISERROR(SEARCH("NA",#REF!)))</formula>
    </cfRule>
    <cfRule type="containsText" dxfId="9083" priority="75340" operator="containsText" text="NA">
      <formula>NOT(ISERROR(SEARCH("NA",#REF!)))</formula>
    </cfRule>
    <cfRule type="containsText" dxfId="9082" priority="75333" operator="containsText" text="Pending">
      <formula>NOT(ISERROR(SEARCH("Pending",#REF!)))</formula>
    </cfRule>
    <cfRule type="containsText" dxfId="9081" priority="75335" operator="containsText" text="Pending">
      <formula>NOT(ISERROR(SEARCH("Pending",#REF!)))</formula>
    </cfRule>
    <cfRule type="containsText" dxfId="9080" priority="75337" operator="containsText" text="NA">
      <formula>NOT(ISERROR(SEARCH("NA",#REF!)))</formula>
    </cfRule>
    <cfRule type="containsText" dxfId="9079" priority="75336" operator="containsText" text="Pending">
      <formula>NOT(ISERROR(SEARCH("Pending",#REF!)))</formula>
    </cfRule>
    <cfRule type="containsText" dxfId="9078" priority="75334" operator="containsText" text="Pending">
      <formula>NOT(ISERROR(SEARCH("Pending",#REF!)))</formula>
    </cfRule>
    <cfRule type="containsText" dxfId="9077" priority="75338" operator="containsText" text="NA">
      <formula>NOT(ISERROR(SEARCH("NA",#REF!)))</formula>
    </cfRule>
  </conditionalFormatting>
  <conditionalFormatting sqref="Q49:Q53">
    <cfRule type="containsText" dxfId="9076" priority="2123" operator="containsText" text="NA">
      <formula>NOT(ISERROR(SEARCH("NA",#REF!)))</formula>
    </cfRule>
    <cfRule type="containsText" dxfId="9075" priority="2124" operator="containsText" text="NA">
      <formula>NOT(ISERROR(SEARCH("NA",#REF!)))</formula>
    </cfRule>
    <cfRule type="containsText" dxfId="9074" priority="120760" operator="containsText" text="Done">
      <formula>NOT(ISERROR(SEARCH("Done",#REF!)))</formula>
    </cfRule>
    <cfRule type="containsText" dxfId="9073" priority="120764" operator="containsText" text="Pending">
      <formula>NOT(ISERROR(SEARCH("Pending",#REF!)))</formula>
    </cfRule>
    <cfRule type="containsText" dxfId="9072" priority="120765" operator="containsText" text="Pending">
      <formula>NOT(ISERROR(SEARCH("Pending",#REF!)))</formula>
    </cfRule>
    <cfRule type="containsText" dxfId="9071" priority="4937" operator="containsText" text="Pending">
      <formula>NOT(ISERROR(SEARCH("Pending",#REF!)))</formula>
    </cfRule>
    <cfRule type="containsText" dxfId="9070" priority="4938" operator="containsText" text="Pending">
      <formula>NOT(ISERROR(SEARCH("Pending",#REF!)))</formula>
    </cfRule>
    <cfRule type="containsText" dxfId="9069" priority="4939" operator="containsText" text="Pending">
      <formula>NOT(ISERROR(SEARCH("Pending",#REF!)))</formula>
    </cfRule>
    <cfRule type="containsText" dxfId="9068" priority="4940" operator="containsText" text="Pending">
      <formula>NOT(ISERROR(SEARCH("Pending",#REF!)))</formula>
    </cfRule>
    <cfRule type="containsText" dxfId="9067" priority="4941" operator="containsText" text="NA">
      <formula>NOT(ISERROR(SEARCH("NA",#REF!)))</formula>
    </cfRule>
    <cfRule type="containsText" dxfId="9066" priority="4942" operator="containsText" text="NA">
      <formula>NOT(ISERROR(SEARCH("NA",#REF!)))</formula>
    </cfRule>
    <cfRule type="containsText" dxfId="9065" priority="4943" operator="containsText" text="NA">
      <formula>NOT(ISERROR(SEARCH("NA",#REF!)))</formula>
    </cfRule>
    <cfRule type="containsText" dxfId="9064" priority="4944" operator="containsText" text="NA">
      <formula>NOT(ISERROR(SEARCH("NA",#REF!)))</formula>
    </cfRule>
    <cfRule type="containsText" dxfId="9063" priority="120767" operator="containsText" text="Pending">
      <formula>NOT(ISERROR(SEARCH("Pending",#REF!)))</formula>
    </cfRule>
    <cfRule type="containsText" dxfId="9062" priority="2125" operator="containsText" text="NA">
      <formula>NOT(ISERROR(SEARCH("NA",#REF!)))</formula>
    </cfRule>
    <cfRule type="containsText" dxfId="9061" priority="109453" operator="containsText" text="Pending">
      <formula>NOT(ISERROR(SEARCH("Pending",#REF!)))</formula>
    </cfRule>
    <cfRule type="containsText" dxfId="9060" priority="109454" operator="containsText" text="Pending">
      <formula>NOT(ISERROR(SEARCH("Pending",#REF!)))</formula>
    </cfRule>
    <cfRule type="containsText" dxfId="9059" priority="109455" operator="containsText" text="Pending">
      <formula>NOT(ISERROR(SEARCH("Pending",#REF!)))</formula>
    </cfRule>
    <cfRule type="containsText" dxfId="9058" priority="109456" operator="containsText" text="Pending">
      <formula>NOT(ISERROR(SEARCH("Pending",#REF!)))</formula>
    </cfRule>
    <cfRule type="containsText" dxfId="9057" priority="109457" operator="containsText" text="NA">
      <formula>NOT(ISERROR(SEARCH("NA",#REF!)))</formula>
    </cfRule>
    <cfRule type="containsText" dxfId="9056" priority="109458" operator="containsText" text="NA">
      <formula>NOT(ISERROR(SEARCH("NA",#REF!)))</formula>
    </cfRule>
    <cfRule type="containsText" dxfId="9055" priority="109459" operator="containsText" text="NA">
      <formula>NOT(ISERROR(SEARCH("NA",#REF!)))</formula>
    </cfRule>
    <cfRule type="containsText" dxfId="9054" priority="109460" operator="containsText" text="NA">
      <formula>NOT(ISERROR(SEARCH("NA",#REF!)))</formula>
    </cfRule>
    <cfRule type="containsText" dxfId="9053" priority="120771" operator="containsText" text="NA">
      <formula>NOT(ISERROR(SEARCH("NA",#REF!)))</formula>
    </cfRule>
    <cfRule type="containsText" dxfId="9052" priority="120770" operator="containsText" text="NA">
      <formula>NOT(ISERROR(SEARCH("NA",#REF!)))</formula>
    </cfRule>
    <cfRule type="containsText" dxfId="9051" priority="120769" operator="containsText" text="NA">
      <formula>NOT(ISERROR(SEARCH("NA",#REF!)))</formula>
    </cfRule>
    <cfRule type="containsText" dxfId="9050" priority="120768" operator="containsText" text="NA">
      <formula>NOT(ISERROR(SEARCH("NA",#REF!)))</formula>
    </cfRule>
    <cfRule type="containsText" dxfId="9049" priority="120766" operator="containsText" text="Pending">
      <formula>NOT(ISERROR(SEARCH("Pending",#REF!)))</formula>
    </cfRule>
    <cfRule type="containsText" dxfId="9048" priority="2118" operator="containsText" text="Pending">
      <formula>NOT(ISERROR(SEARCH("Pending",#REF!)))</formula>
    </cfRule>
    <cfRule type="containsText" dxfId="9047" priority="2119" operator="containsText" text="Pending">
      <formula>NOT(ISERROR(SEARCH("Pending",#REF!)))</formula>
    </cfRule>
    <cfRule type="containsText" dxfId="9046" priority="2120" operator="containsText" text="Pending">
      <formula>NOT(ISERROR(SEARCH("Pending",#REF!)))</formula>
    </cfRule>
    <cfRule type="containsText" dxfId="9045" priority="2121" operator="containsText" text="Pending">
      <formula>NOT(ISERROR(SEARCH("Pending",#REF!)))</formula>
    </cfRule>
    <cfRule type="containsText" dxfId="9044" priority="2122" operator="containsText" text="NA">
      <formula>NOT(ISERROR(SEARCH("NA",#REF!)))</formula>
    </cfRule>
  </conditionalFormatting>
  <conditionalFormatting sqref="Q50">
    <cfRule type="containsText" dxfId="9043" priority="123940" operator="containsText" text="Pending">
      <formula>NOT(ISERROR(SEARCH("Pending",#REF!)))</formula>
    </cfRule>
    <cfRule type="containsText" dxfId="9042" priority="123941" operator="containsText" text="Pending">
      <formula>NOT(ISERROR(SEARCH("Pending",#REF!)))</formula>
    </cfRule>
    <cfRule type="containsText" dxfId="9041" priority="123942" operator="containsText" text="NA">
      <formula>NOT(ISERROR(SEARCH("NA",#REF!)))</formula>
    </cfRule>
    <cfRule type="containsText" dxfId="9040" priority="123933" operator="containsText" text="NA">
      <formula>NOT(ISERROR(SEARCH("NA",#REF!)))</formula>
    </cfRule>
    <cfRule type="containsText" dxfId="9039" priority="123943" operator="containsText" text="NA">
      <formula>NOT(ISERROR(SEARCH("NA",#REF!)))</formula>
    </cfRule>
    <cfRule type="containsText" dxfId="9038" priority="123944" operator="containsText" text="NA">
      <formula>NOT(ISERROR(SEARCH("NA",#REF!)))</formula>
    </cfRule>
    <cfRule type="containsText" dxfId="9037" priority="123945" operator="containsText" text="NA">
      <formula>NOT(ISERROR(SEARCH("NA",#REF!)))</formula>
    </cfRule>
    <cfRule type="containsText" dxfId="9036" priority="123939" operator="containsText" text="Pending">
      <formula>NOT(ISERROR(SEARCH("Pending",#REF!)))</formula>
    </cfRule>
    <cfRule type="containsText" dxfId="9035" priority="123938" operator="containsText" text="Pending">
      <formula>NOT(ISERROR(SEARCH("Pending",#REF!)))</formula>
    </cfRule>
    <cfRule type="containsText" dxfId="9034" priority="123932" operator="containsText" text="Pending">
      <formula>NOT(ISERROR(SEARCH("Pending",#REF!)))</formula>
    </cfRule>
    <cfRule type="containsText" dxfId="9033" priority="123931" operator="containsText" text="Done">
      <formula>NOT(ISERROR(SEARCH("Done",#REF!)))</formula>
    </cfRule>
  </conditionalFormatting>
  <conditionalFormatting sqref="Q51">
    <cfRule type="containsText" dxfId="9032" priority="111661" operator="containsText" text="Pending">
      <formula>NOT(ISERROR(SEARCH("Pending",#REF!)))</formula>
    </cfRule>
    <cfRule type="containsText" dxfId="9031" priority="111659" operator="containsText" text="Done">
      <formula>NOT(ISERROR(SEARCH("Done",#REF!)))</formula>
    </cfRule>
    <cfRule type="containsText" dxfId="9030" priority="111662" operator="containsText" text="NA">
      <formula>NOT(ISERROR(SEARCH("NA",#REF!)))</formula>
    </cfRule>
    <cfRule type="containsText" dxfId="9029" priority="111660" operator="containsText" text="Done">
      <formula>NOT(ISERROR(SEARCH("Done",#REF!)))</formula>
    </cfRule>
    <cfRule type="containsText" dxfId="9028" priority="111657" operator="containsText" text="Pending">
      <formula>NOT(ISERROR(SEARCH("Pending",#REF!)))</formula>
    </cfRule>
    <cfRule type="containsText" dxfId="9027" priority="111658" operator="containsText" text="NA">
      <formula>NOT(ISERROR(SEARCH("NA",#REF!)))</formula>
    </cfRule>
  </conditionalFormatting>
  <conditionalFormatting sqref="Q52">
    <cfRule type="containsText" dxfId="9026" priority="123926" operator="containsText" text="Pending">
      <formula>NOT(ISERROR(SEARCH("Pending",#REF!)))</formula>
    </cfRule>
    <cfRule type="containsText" dxfId="9025" priority="123930" operator="containsText" text="NA">
      <formula>NOT(ISERROR(SEARCH("NA",#REF!)))</formula>
    </cfRule>
    <cfRule type="containsText" dxfId="9024" priority="123929" operator="containsText" text="NA">
      <formula>NOT(ISERROR(SEARCH("NA",#REF!)))</formula>
    </cfRule>
    <cfRule type="containsText" dxfId="9023" priority="123928" operator="containsText" text="NA">
      <formula>NOT(ISERROR(SEARCH("NA",#REF!)))</formula>
    </cfRule>
    <cfRule type="containsText" dxfId="9022" priority="123927" operator="containsText" text="NA">
      <formula>NOT(ISERROR(SEARCH("NA",#REF!)))</formula>
    </cfRule>
    <cfRule type="containsText" dxfId="9021" priority="123925" operator="containsText" text="Pending">
      <formula>NOT(ISERROR(SEARCH("Pending",#REF!)))</formula>
    </cfRule>
    <cfRule type="containsText" dxfId="9020" priority="123924" operator="containsText" text="Pending">
      <formula>NOT(ISERROR(SEARCH("Pending",#REF!)))</formula>
    </cfRule>
    <cfRule type="containsText" dxfId="9019" priority="123923" operator="containsText" text="Pending">
      <formula>NOT(ISERROR(SEARCH("Pending",#REF!)))</formula>
    </cfRule>
    <cfRule type="containsText" dxfId="9018" priority="123918" operator="containsText" text="NA">
      <formula>NOT(ISERROR(SEARCH("NA",#REF!)))</formula>
    </cfRule>
    <cfRule type="containsText" dxfId="9017" priority="123917" operator="containsText" text="Pending">
      <formula>NOT(ISERROR(SEARCH("Pending",#REF!)))</formula>
    </cfRule>
    <cfRule type="containsText" dxfId="9016" priority="123916" operator="containsText" text="Done">
      <formula>NOT(ISERROR(SEARCH("Done",#REF!)))</formula>
    </cfRule>
  </conditionalFormatting>
  <conditionalFormatting sqref="Q53">
    <cfRule type="containsText" dxfId="9015" priority="5446" operator="containsText" text="Pending">
      <formula>NOT(ISERROR(SEARCH("Pending",#REF!)))</formula>
    </cfRule>
    <cfRule type="containsText" dxfId="9014" priority="5444" operator="containsText" text="Pending">
      <formula>NOT(ISERROR(SEARCH("Pending",#REF!)))</formula>
    </cfRule>
    <cfRule type="containsText" dxfId="9013" priority="5468" operator="containsText" text="Done">
      <formula>NOT(ISERROR(SEARCH("Done",#REF!)))</formula>
    </cfRule>
    <cfRule type="containsText" dxfId="9012" priority="5469" operator="containsText" text="Pending">
      <formula>NOT(ISERROR(SEARCH("Pending",#REF!)))</formula>
    </cfRule>
    <cfRule type="containsText" dxfId="9011" priority="5449" operator="containsText" text="NA">
      <formula>NOT(ISERROR(SEARCH("NA",#REF!)))</formula>
    </cfRule>
    <cfRule type="containsText" dxfId="9010" priority="5470" operator="containsText" text="NA">
      <formula>NOT(ISERROR(SEARCH("NA",#REF!)))</formula>
    </cfRule>
    <cfRule type="containsText" dxfId="9009" priority="5476" operator="containsText" text="Pending">
      <formula>NOT(ISERROR(SEARCH("Pending",#REF!)))</formula>
    </cfRule>
    <cfRule type="containsText" dxfId="9008" priority="5465" operator="containsText" text="Pending">
      <formula>NOT(ISERROR(SEARCH("Pending",#REF!)))</formula>
    </cfRule>
    <cfRule type="containsText" dxfId="9007" priority="5478" operator="containsText" text="Done">
      <formula>NOT(ISERROR(SEARCH("Done",#REF!)))</formula>
    </cfRule>
    <cfRule type="containsText" dxfId="9006" priority="5445" operator="containsText" text="Pending">
      <formula>NOT(ISERROR(SEARCH("Pending",#REF!)))</formula>
    </cfRule>
    <cfRule type="containsText" dxfId="9005" priority="5448" operator="containsText" text="NA">
      <formula>NOT(ISERROR(SEARCH("NA",#REF!)))</formula>
    </cfRule>
    <cfRule type="containsText" dxfId="9004" priority="5450" operator="containsText" text="NA">
      <formula>NOT(ISERROR(SEARCH("NA",#REF!)))</formula>
    </cfRule>
    <cfRule type="containsText" dxfId="9003" priority="5477" operator="containsText" text="NA">
      <formula>NOT(ISERROR(SEARCH("NA",#REF!)))</formula>
    </cfRule>
    <cfRule type="containsText" dxfId="9002" priority="5451" operator="containsText" text="NA">
      <formula>NOT(ISERROR(SEARCH("NA",#REF!)))</formula>
    </cfRule>
    <cfRule type="containsText" dxfId="9001" priority="5466" operator="containsText" text="NA">
      <formula>NOT(ISERROR(SEARCH("NA",#REF!)))</formula>
    </cfRule>
    <cfRule type="containsText" dxfId="9000" priority="5467" operator="containsText" text="Done">
      <formula>NOT(ISERROR(SEARCH("Done",#REF!)))</formula>
    </cfRule>
    <cfRule type="containsText" dxfId="8999" priority="5447" operator="containsText" text="Pending">
      <formula>NOT(ISERROR(SEARCH("Pending",#REF!)))</formula>
    </cfRule>
  </conditionalFormatting>
  <conditionalFormatting sqref="Q57 T57 Y57:AB57 V57:V63 AB58:AB62 AG57:AH57">
    <cfRule type="containsText" dxfId="8998" priority="119873" operator="containsText" text="Pending">
      <formula>NOT(ISERROR(SEARCH("Pending",#REF!)))</formula>
    </cfRule>
    <cfRule type="containsText" dxfId="8997" priority="119874" operator="containsText" text="NA">
      <formula>NOT(ISERROR(SEARCH("NA",#REF!)))</formula>
    </cfRule>
  </conditionalFormatting>
  <conditionalFormatting sqref="Q89:AD89">
    <cfRule type="containsText" dxfId="8996" priority="4129" operator="containsText" text="NA">
      <formula>NOT(ISERROR(SEARCH("NA",Q89)))</formula>
    </cfRule>
    <cfRule type="containsText" dxfId="8995" priority="4130" operator="containsText" text="Done">
      <formula>NOT(ISERROR(SEARCH("Done",Q89)))</formula>
    </cfRule>
    <cfRule type="containsText" dxfId="8994" priority="4133" operator="containsText" text="NA">
      <formula>NOT(ISERROR(SEARCH("NA",#REF!)))</formula>
    </cfRule>
    <cfRule type="containsText" dxfId="8993" priority="4132" operator="containsText" text="Pending">
      <formula>NOT(ISERROR(SEARCH("Pending",#REF!)))</formula>
    </cfRule>
    <cfRule type="containsText" dxfId="8992" priority="4131" operator="containsText" text="Done">
      <formula>NOT(ISERROR(SEARCH("Done",#REF!)))</formula>
    </cfRule>
    <cfRule type="containsText" dxfId="8991" priority="4124" operator="containsText" text="NA">
      <formula>NOT(ISERROR(SEARCH("NA",Q89)))</formula>
    </cfRule>
    <cfRule type="containsText" dxfId="8990" priority="4125" operator="containsText" text="Done">
      <formula>NOT(ISERROR(SEARCH("Done",Q89)))</formula>
    </cfRule>
    <cfRule type="containsText" dxfId="8989" priority="4126" operator="containsText" text="Done">
      <formula>NOT(ISERROR(SEARCH("Done",#REF!)))</formula>
    </cfRule>
    <cfRule type="containsText" dxfId="8988" priority="4127" operator="containsText" text="Pending">
      <formula>NOT(ISERROR(SEARCH("Pending",#REF!)))</formula>
    </cfRule>
    <cfRule type="containsText" dxfId="8987" priority="4128" operator="containsText" text="NA">
      <formula>NOT(ISERROR(SEARCH("NA",#REF!)))</formula>
    </cfRule>
  </conditionalFormatting>
  <conditionalFormatting sqref="R8:R15">
    <cfRule type="containsText" dxfId="8986" priority="5378" operator="containsText" text="Done">
      <formula>NOT(ISERROR(SEARCH("Done",#REF!)))</formula>
    </cfRule>
    <cfRule type="containsText" dxfId="8985" priority="5379" operator="containsText" text="Pending">
      <formula>NOT(ISERROR(SEARCH("Pending",#REF!)))</formula>
    </cfRule>
    <cfRule type="containsText" dxfId="8984" priority="5380" operator="containsText" text="NA">
      <formula>NOT(ISERROR(SEARCH("NA",#REF!)))</formula>
    </cfRule>
  </conditionalFormatting>
  <conditionalFormatting sqref="R30:R32 R30:S30">
    <cfRule type="containsText" dxfId="8983" priority="77278" operator="containsText" text="Done">
      <formula>NOT(ISERROR(SEARCH("Done",#REF!)))</formula>
    </cfRule>
    <cfRule type="containsText" dxfId="8982" priority="77287" operator="containsText" text="NA">
      <formula>NOT(ISERROR(SEARCH("NA",#REF!)))</formula>
    </cfRule>
    <cfRule type="containsText" dxfId="8981" priority="77277" operator="containsText" text="NA">
      <formula>NOT(ISERROR(SEARCH("NA",#REF!)))</formula>
    </cfRule>
    <cfRule type="containsText" dxfId="8980" priority="77285" operator="containsText" text="Done">
      <formula>NOT(ISERROR(SEARCH("Done",#REF!)))</formula>
    </cfRule>
    <cfRule type="containsText" dxfId="8979" priority="77284" operator="containsText" text="NA">
      <formula>NOT(ISERROR(SEARCH("NA",#REF!)))</formula>
    </cfRule>
    <cfRule type="containsText" dxfId="8978" priority="77273" operator="containsText" text="NA">
      <formula>NOT(ISERROR(SEARCH("NA",#REF!)))</formula>
    </cfRule>
    <cfRule type="containsText" dxfId="8977" priority="77283" operator="containsText" text="NA">
      <formula>NOT(ISERROR(SEARCH("NA",#REF!)))</formula>
    </cfRule>
    <cfRule type="containsText" dxfId="8976" priority="77276" operator="containsText" text="NA">
      <formula>NOT(ISERROR(SEARCH("NA",#REF!)))</formula>
    </cfRule>
    <cfRule type="containsText" dxfId="8975" priority="77281" operator="containsText" text="Done">
      <formula>NOT(ISERROR(SEARCH("Done",#REF!)))</formula>
    </cfRule>
    <cfRule type="containsText" dxfId="8974" priority="77280" operator="containsText" text="NA">
      <formula>NOT(ISERROR(SEARCH("NA",#REF!)))</formula>
    </cfRule>
    <cfRule type="containsText" dxfId="8973" priority="77274" operator="containsText" text="Done">
      <formula>NOT(ISERROR(SEARCH("Done",#REF!)))</formula>
    </cfRule>
  </conditionalFormatting>
  <conditionalFormatting sqref="R49:R52">
    <cfRule type="containsText" dxfId="8972" priority="111656" operator="containsText" text="Done">
      <formula>NOT(ISERROR(SEARCH("Done",#REF!)))</formula>
    </cfRule>
    <cfRule type="containsText" dxfId="8971" priority="111655" operator="containsText" text="NA">
      <formula>NOT(ISERROR(SEARCH("NA",#REF!)))</formula>
    </cfRule>
    <cfRule type="containsText" dxfId="8970" priority="111654" operator="containsText" text="Pending">
      <formula>NOT(ISERROR(SEARCH("Pending",#REF!)))</formula>
    </cfRule>
    <cfRule type="containsText" dxfId="8969" priority="111653" operator="containsText" text="NA">
      <formula>NOT(ISERROR(SEARCH("NA",#REF!)))</formula>
    </cfRule>
    <cfRule type="containsText" dxfId="8968" priority="111652" operator="containsText" text="NA">
      <formula>NOT(ISERROR(SEARCH("NA",#REF!)))</formula>
    </cfRule>
    <cfRule type="containsText" dxfId="8967" priority="111651" operator="containsText" text="NA">
      <formula>NOT(ISERROR(SEARCH("NA",#REF!)))</formula>
    </cfRule>
    <cfRule type="containsText" dxfId="8966" priority="111650" operator="containsText" text="NA">
      <formula>NOT(ISERROR(SEARCH("NA",#REF!)))</formula>
    </cfRule>
    <cfRule type="containsText" dxfId="8965" priority="111649" operator="containsText" text="Pending">
      <formula>NOT(ISERROR(SEARCH("Pending",#REF!)))</formula>
    </cfRule>
    <cfRule type="containsText" dxfId="8964" priority="111648" operator="containsText" text="Pending">
      <formula>NOT(ISERROR(SEARCH("Pending",#REF!)))</formula>
    </cfRule>
    <cfRule type="containsText" dxfId="8963" priority="111647" operator="containsText" text="Pending">
      <formula>NOT(ISERROR(SEARCH("Pending",#REF!)))</formula>
    </cfRule>
    <cfRule type="containsText" dxfId="8962" priority="111646" operator="containsText" text="Pending">
      <formula>NOT(ISERROR(SEARCH("Pending",#REF!)))</formula>
    </cfRule>
    <cfRule type="containsText" dxfId="8961" priority="111645" operator="containsText" text="Done">
      <formula>NOT(ISERROR(SEARCH("Done",#REF!)))</formula>
    </cfRule>
    <cfRule type="containsText" dxfId="8960" priority="111644" operator="containsText" text="Done">
      <formula>NOT(ISERROR(SEARCH("Done",#REF!)))</formula>
    </cfRule>
    <cfRule type="containsText" dxfId="8959" priority="111643" operator="containsText" text="Done">
      <formula>NOT(ISERROR(SEARCH("Done",#REF!)))</formula>
    </cfRule>
    <cfRule type="containsText" dxfId="8958" priority="111642" operator="containsText" text="Done">
      <formula>NOT(ISERROR(SEARCH("Done",#REF!)))</formula>
    </cfRule>
    <cfRule type="containsText" dxfId="8957" priority="4935" operator="containsText" text="NA">
      <formula>NOT(ISERROR(SEARCH("NA",#REF!)))</formula>
    </cfRule>
    <cfRule type="containsText" dxfId="8956" priority="4934" operator="containsText" text="Pending">
      <formula>NOT(ISERROR(SEARCH("Pending",#REF!)))</formula>
    </cfRule>
    <cfRule type="containsText" dxfId="8955" priority="4936" operator="containsText" text="Done">
      <formula>NOT(ISERROR(SEARCH("Done",#REF!)))</formula>
    </cfRule>
  </conditionalFormatting>
  <conditionalFormatting sqref="R50:R52">
    <cfRule type="containsText" dxfId="8954" priority="2117" operator="containsText" text="NA">
      <formula>NOT(ISERROR(SEARCH("NA",#REF!)))</formula>
    </cfRule>
    <cfRule type="containsText" dxfId="8953" priority="2116" operator="containsText" text="Pending">
      <formula>NOT(ISERROR(SEARCH("Pending",#REF!)))</formula>
    </cfRule>
    <cfRule type="containsText" dxfId="8952" priority="2115" operator="containsText" text="Done">
      <formula>NOT(ISERROR(SEARCH("Done",#REF!)))</formula>
    </cfRule>
  </conditionalFormatting>
  <conditionalFormatting sqref="R88:R89 R89:AD89">
    <cfRule type="containsText" dxfId="8951" priority="77356" operator="containsText" text="NA">
      <formula>NOT(ISERROR(SEARCH("NA",R88)))</formula>
    </cfRule>
    <cfRule type="containsText" dxfId="8950" priority="77357" operator="containsText" text="Done">
      <formula>NOT(ISERROR(SEARCH("Done",R88)))</formula>
    </cfRule>
  </conditionalFormatting>
  <conditionalFormatting sqref="R7:S7 T7:U11">
    <cfRule type="containsText" dxfId="8949" priority="135346" operator="containsText" text="Pending">
      <formula>NOT(ISERROR(SEARCH("Pending",#REF!)))</formula>
    </cfRule>
  </conditionalFormatting>
  <conditionalFormatting sqref="R20:S20">
    <cfRule type="containsText" dxfId="8948" priority="135960" operator="containsText" text="NA">
      <formula>NOT(ISERROR(SEARCH("NA",#REF!)))</formula>
    </cfRule>
    <cfRule type="containsText" dxfId="8947" priority="135524" operator="containsText" text="Done">
      <formula>NOT(ISERROR(SEARCH("Done",#REF!)))</formula>
    </cfRule>
    <cfRule type="containsText" dxfId="8946" priority="135742" operator="containsText" text="Pending">
      <formula>NOT(ISERROR(SEARCH("Pending",#REF!)))</formula>
    </cfRule>
  </conditionalFormatting>
  <conditionalFormatting sqref="R21:S21">
    <cfRule type="containsText" dxfId="8945" priority="135389" operator="containsText" text="Pending">
      <formula>NOT(ISERROR(SEARCH("Pending",#REF!)))</formula>
    </cfRule>
    <cfRule type="containsText" dxfId="8944" priority="135490" operator="containsText" text="NA">
      <formula>NOT(ISERROR(SEARCH("NA",#REF!)))</formula>
    </cfRule>
  </conditionalFormatting>
  <conditionalFormatting sqref="R22:S22">
    <cfRule type="containsText" dxfId="8943" priority="145733" operator="containsText" text="NA">
      <formula>NOT(ISERROR(SEARCH("NA",#REF!)))</formula>
    </cfRule>
    <cfRule type="containsText" dxfId="8942" priority="145728" operator="containsText" text="Pending">
      <formula>NOT(ISERROR(SEARCH("Pending",#REF!)))</formula>
    </cfRule>
  </conditionalFormatting>
  <conditionalFormatting sqref="R29:S29">
    <cfRule type="containsText" dxfId="8941" priority="2589" operator="containsText" text="Done">
      <formula>NOT(ISERROR(SEARCH("Done",#REF!)))</formula>
    </cfRule>
    <cfRule type="containsText" dxfId="8940" priority="2587" operator="containsText" text="NA">
      <formula>NOT(ISERROR(SEARCH("NA",#REF!)))</formula>
    </cfRule>
    <cfRule type="containsText" dxfId="8939" priority="2586" operator="containsText" text="Pending">
      <formula>NOT(ISERROR(SEARCH("Pending",#REF!)))</formula>
    </cfRule>
    <cfRule type="containsText" dxfId="8938" priority="2585" operator="containsText" text="Done">
      <formula>NOT(ISERROR(SEARCH("Done",#REF!)))</formula>
    </cfRule>
    <cfRule type="containsText" dxfId="8937" priority="2588" operator="containsText" text="NA">
      <formula>NOT(ISERROR(SEARCH("NA",#REF!)))</formula>
    </cfRule>
    <cfRule type="containsText" dxfId="8936" priority="2594" operator="containsText" text="NA">
      <formula>NOT(ISERROR(SEARCH("NA",#REF!)))</formula>
    </cfRule>
    <cfRule type="containsText" dxfId="8935" priority="2584" operator="containsText" text="NA">
      <formula>NOT(ISERROR(SEARCH("NA",#REF!)))</formula>
    </cfRule>
    <cfRule type="containsText" dxfId="8934" priority="2593" operator="containsText" text="Pending">
      <formula>NOT(ISERROR(SEARCH("Pending",#REF!)))</formula>
    </cfRule>
    <cfRule type="containsText" dxfId="8933" priority="2592" operator="containsText" text="Done">
      <formula>NOT(ISERROR(SEARCH("Done",#REF!)))</formula>
    </cfRule>
    <cfRule type="containsText" dxfId="8932" priority="2591" operator="containsText" text="NA">
      <formula>NOT(ISERROR(SEARCH("NA",#REF!)))</formula>
    </cfRule>
    <cfRule type="containsText" dxfId="8931" priority="2590" operator="containsText" text="Pending">
      <formula>NOT(ISERROR(SEARCH("Pending",#REF!)))</formula>
    </cfRule>
  </conditionalFormatting>
  <conditionalFormatting sqref="R29:S32">
    <cfRule type="containsText" dxfId="8930" priority="109300" operator="containsText" text="Pending">
      <formula>NOT(ISERROR(SEARCH("Pending",#REF!)))</formula>
    </cfRule>
    <cfRule type="containsText" dxfId="8929" priority="109301" operator="containsText" text="NA">
      <formula>NOT(ISERROR(SEARCH("NA",#REF!)))</formula>
    </cfRule>
    <cfRule type="containsText" dxfId="8928" priority="109302" operator="containsText" text="NA">
      <formula>NOT(ISERROR(SEARCH("NA",#REF!)))</formula>
    </cfRule>
    <cfRule type="containsText" dxfId="8927" priority="109303" operator="containsText" text="Done">
      <formula>NOT(ISERROR(SEARCH("Done",#REF!)))</formula>
    </cfRule>
    <cfRule type="containsText" dxfId="8926" priority="109304" operator="containsText" text="Pending">
      <formula>NOT(ISERROR(SEARCH("Pending",#REF!)))</formula>
    </cfRule>
    <cfRule type="containsText" dxfId="8925" priority="109305" operator="containsText" text="NA">
      <formula>NOT(ISERROR(SEARCH("NA",#REF!)))</formula>
    </cfRule>
    <cfRule type="containsText" dxfId="8924" priority="123407" operator="containsText" text="NA">
      <formula>NOT(ISERROR(SEARCH("NA",R29)))</formula>
    </cfRule>
    <cfRule type="containsText" dxfId="8923" priority="75021" operator="containsText" text="Pending">
      <formula>NOT(ISERROR(SEARCH("Pending",#REF!)))</formula>
    </cfRule>
    <cfRule type="containsText" dxfId="8922" priority="123408" operator="containsText" text="Done">
      <formula>NOT(ISERROR(SEARCH("Done",R29)))</formula>
    </cfRule>
    <cfRule type="containsText" dxfId="8921" priority="75026" operator="containsText" text="NA">
      <formula>NOT(ISERROR(SEARCH("NA",#REF!)))</formula>
    </cfRule>
    <cfRule type="containsText" dxfId="8920" priority="124394" operator="containsText" text="NA">
      <formula>NOT(ISERROR(SEARCH("NA",#REF!)))</formula>
    </cfRule>
    <cfRule type="containsText" dxfId="8919" priority="124393" operator="containsText" text="Pending">
      <formula>NOT(ISERROR(SEARCH("Pending",#REF!)))</formula>
    </cfRule>
    <cfRule type="containsText" dxfId="8918" priority="109295" operator="containsText" text="NA">
      <formula>NOT(ISERROR(SEARCH("NA",#REF!)))</formula>
    </cfRule>
    <cfRule type="containsText" dxfId="8917" priority="109296" operator="containsText" text="Done">
      <formula>NOT(ISERROR(SEARCH("Done",#REF!)))</formula>
    </cfRule>
    <cfRule type="containsText" dxfId="8916" priority="75022" operator="containsText" text="NA">
      <formula>NOT(ISERROR(SEARCH("NA",#REF!)))</formula>
    </cfRule>
    <cfRule type="containsText" dxfId="8915" priority="75025" operator="containsText" text="Pending">
      <formula>NOT(ISERROR(SEARCH("Pending",#REF!)))</formula>
    </cfRule>
    <cfRule type="containsText" dxfId="8914" priority="75027" operator="containsText" text="Done">
      <formula>NOT(ISERROR(SEARCH("Done",#REF!)))</formula>
    </cfRule>
    <cfRule type="containsText" dxfId="8913" priority="124392" operator="containsText" text="Done">
      <formula>NOT(ISERROR(SEARCH("Done",#REF!)))</formula>
    </cfRule>
    <cfRule type="containsText" dxfId="8912" priority="75028" operator="containsText" text="Pending">
      <formula>NOT(ISERROR(SEARCH("Pending",#REF!)))</formula>
    </cfRule>
    <cfRule type="containsText" dxfId="8911" priority="75029" operator="containsText" text="NA">
      <formula>NOT(ISERROR(SEARCH("NA",#REF!)))</formula>
    </cfRule>
    <cfRule type="containsText" dxfId="8910" priority="109297" operator="containsText" text="Pending">
      <formula>NOT(ISERROR(SEARCH("Pending",#REF!)))</formula>
    </cfRule>
    <cfRule type="containsText" dxfId="8909" priority="75024" operator="containsText" text="Done">
      <formula>NOT(ISERROR(SEARCH("Done",#REF!)))</formula>
    </cfRule>
    <cfRule type="containsText" dxfId="8908" priority="124391" operator="containsText" text="NA">
      <formula>NOT(ISERROR(SEARCH("NA",#REF!)))</formula>
    </cfRule>
    <cfRule type="containsText" dxfId="8907" priority="75023" operator="containsText" text="NA">
      <formula>NOT(ISERROR(SEARCH("NA",#REF!)))</formula>
    </cfRule>
    <cfRule type="containsText" dxfId="8906" priority="75019" operator="containsText" text="NA">
      <formula>NOT(ISERROR(SEARCH("NA",#REF!)))</formula>
    </cfRule>
    <cfRule type="containsText" dxfId="8905" priority="75020" operator="containsText" text="Done">
      <formula>NOT(ISERROR(SEARCH("Done",#REF!)))</formula>
    </cfRule>
    <cfRule type="containsText" dxfId="8904" priority="109298" operator="containsText" text="NA">
      <formula>NOT(ISERROR(SEARCH("NA",#REF!)))</formula>
    </cfRule>
    <cfRule type="containsText" dxfId="8903" priority="109299" operator="containsText" text="Done">
      <formula>NOT(ISERROR(SEARCH("Done",#REF!)))</formula>
    </cfRule>
  </conditionalFormatting>
  <conditionalFormatting sqref="R30:S30 R30:R32">
    <cfRule type="containsText" dxfId="8902" priority="77286" operator="containsText" text="Pending">
      <formula>NOT(ISERROR(SEARCH("Pending",#REF!)))</formula>
    </cfRule>
    <cfRule type="containsText" dxfId="8901" priority="77275" operator="containsText" text="Pending">
      <formula>NOT(ISERROR(SEARCH("Pending",#REF!)))</formula>
    </cfRule>
    <cfRule type="containsText" dxfId="8900" priority="77282" operator="containsText" text="Pending">
      <formula>NOT(ISERROR(SEARCH("Pending",#REF!)))</formula>
    </cfRule>
    <cfRule type="containsText" dxfId="8899" priority="77279" operator="containsText" text="Pending">
      <formula>NOT(ISERROR(SEARCH("Pending",#REF!)))</formula>
    </cfRule>
  </conditionalFormatting>
  <conditionalFormatting sqref="R30:S30">
    <cfRule type="containsText" dxfId="8898" priority="3507" operator="containsText" text="NA">
      <formula>NOT(ISERROR(SEARCH("NA",#REF!)))</formula>
    </cfRule>
    <cfRule type="containsText" dxfId="8897" priority="3508" operator="containsText" text="NA">
      <formula>NOT(ISERROR(SEARCH("NA",#REF!)))</formula>
    </cfRule>
    <cfRule type="containsText" dxfId="8896" priority="3509" operator="containsText" text="Done">
      <formula>NOT(ISERROR(SEARCH("Done",#REF!)))</formula>
    </cfRule>
    <cfRule type="containsText" dxfId="8895" priority="3510" operator="containsText" text="Pending">
      <formula>NOT(ISERROR(SEARCH("Pending",#REF!)))</formula>
    </cfRule>
    <cfRule type="containsText" dxfId="8894" priority="3511" operator="containsText" text="NA">
      <formula>NOT(ISERROR(SEARCH("NA",#REF!)))</formula>
    </cfRule>
    <cfRule type="containsText" dxfId="8893" priority="3513" operator="containsText" text="Done">
      <formula>NOT(ISERROR(SEARCH("Done",#REF!)))</formula>
    </cfRule>
    <cfRule type="containsText" dxfId="8892" priority="3514" operator="containsText" text="Pending">
      <formula>NOT(ISERROR(SEARCH("Pending",#REF!)))</formula>
    </cfRule>
    <cfRule type="containsText" dxfId="8891" priority="3515" operator="containsText" text="NA">
      <formula>NOT(ISERROR(SEARCH("NA",#REF!)))</formula>
    </cfRule>
    <cfRule type="containsText" dxfId="8890" priority="3516" operator="containsText" text="Done">
      <formula>NOT(ISERROR(SEARCH("Done",#REF!)))</formula>
    </cfRule>
    <cfRule type="containsText" dxfId="8889" priority="3517" operator="containsText" text="Pending">
      <formula>NOT(ISERROR(SEARCH("Pending",#REF!)))</formula>
    </cfRule>
    <cfRule type="containsText" dxfId="8888" priority="3518" operator="containsText" text="NA">
      <formula>NOT(ISERROR(SEARCH("NA",#REF!)))</formula>
    </cfRule>
    <cfRule type="containsText" dxfId="8887" priority="3519" operator="containsText" text="NA">
      <formula>NOT(ISERROR(SEARCH("NA",#REF!)))</formula>
    </cfRule>
    <cfRule type="containsText" dxfId="8886" priority="3520" operator="containsText" text="Done">
      <formula>NOT(ISERROR(SEARCH("Done",#REF!)))</formula>
    </cfRule>
    <cfRule type="containsText" dxfId="8885" priority="3521" operator="containsText" text="Pending">
      <formula>NOT(ISERROR(SEARCH("Pending",#REF!)))</formula>
    </cfRule>
    <cfRule type="containsText" dxfId="8884" priority="3522" operator="containsText" text="NA">
      <formula>NOT(ISERROR(SEARCH("NA",#REF!)))</formula>
    </cfRule>
    <cfRule type="containsText" dxfId="8883" priority="3523" operator="containsText" text="NA">
      <formula>NOT(ISERROR(SEARCH("NA",#REF!)))</formula>
    </cfRule>
    <cfRule type="containsText" dxfId="8882" priority="3524" operator="containsText" text="Done">
      <formula>NOT(ISERROR(SEARCH("Done",#REF!)))</formula>
    </cfRule>
    <cfRule type="containsText" dxfId="8881" priority="3525" operator="containsText" text="Pending">
      <formula>NOT(ISERROR(SEARCH("Pending",#REF!)))</formula>
    </cfRule>
    <cfRule type="containsText" dxfId="8880" priority="3526" operator="containsText" text="NA">
      <formula>NOT(ISERROR(SEARCH("NA",#REF!)))</formula>
    </cfRule>
    <cfRule type="containsText" dxfId="8879" priority="3512" operator="containsText" text="NA">
      <formula>NOT(ISERROR(SEARCH("NA",#REF!)))</formula>
    </cfRule>
    <cfRule type="containsText" dxfId="8878" priority="3500" operator="containsText" text="NA">
      <formula>NOT(ISERROR(SEARCH("NA",#REF!)))</formula>
    </cfRule>
    <cfRule type="containsText" dxfId="8877" priority="3501" operator="containsText" text="Done">
      <formula>NOT(ISERROR(SEARCH("Done",#REF!)))</formula>
    </cfRule>
    <cfRule type="containsText" dxfId="8876" priority="3502" operator="containsText" text="Pending">
      <formula>NOT(ISERROR(SEARCH("Pending",#REF!)))</formula>
    </cfRule>
    <cfRule type="containsText" dxfId="8875" priority="3503" operator="containsText" text="NA">
      <formula>NOT(ISERROR(SEARCH("NA",#REF!)))</formula>
    </cfRule>
    <cfRule type="containsText" dxfId="8874" priority="3504" operator="containsText" text="NA">
      <formula>NOT(ISERROR(SEARCH("NA",#REF!)))</formula>
    </cfRule>
    <cfRule type="containsText" dxfId="8873" priority="3505" operator="containsText" text="Done">
      <formula>NOT(ISERROR(SEARCH("Done",#REF!)))</formula>
    </cfRule>
    <cfRule type="containsText" dxfId="8872" priority="3506" operator="containsText" text="Pending">
      <formula>NOT(ISERROR(SEARCH("Pending",#REF!)))</formula>
    </cfRule>
  </conditionalFormatting>
  <conditionalFormatting sqref="R31:S31">
    <cfRule type="containsText" dxfId="8871" priority="5003" operator="containsText" text="Pending">
      <formula>NOT(ISERROR(SEARCH("Pending",#REF!)))</formula>
    </cfRule>
    <cfRule type="containsText" dxfId="8870" priority="5004" operator="containsText" text="NA">
      <formula>NOT(ISERROR(SEARCH("NA",#REF!)))</formula>
    </cfRule>
    <cfRule type="containsText" dxfId="8869" priority="5005" operator="containsText" text="NA">
      <formula>NOT(ISERROR(SEARCH("NA",#REF!)))</formula>
    </cfRule>
    <cfRule type="containsText" dxfId="8868" priority="5006" operator="containsText" text="Done">
      <formula>NOT(ISERROR(SEARCH("Done",#REF!)))</formula>
    </cfRule>
    <cfRule type="containsText" dxfId="8867" priority="5007" operator="containsText" text="Pending">
      <formula>NOT(ISERROR(SEARCH("Pending",#REF!)))</formula>
    </cfRule>
    <cfRule type="containsText" dxfId="8866" priority="5008" operator="containsText" text="NA">
      <formula>NOT(ISERROR(SEARCH("NA",#REF!)))</formula>
    </cfRule>
    <cfRule type="containsText" dxfId="8865" priority="4996" operator="containsText" text="NA">
      <formula>NOT(ISERROR(SEARCH("NA",#REF!)))</formula>
    </cfRule>
    <cfRule type="containsText" dxfId="8864" priority="5009" operator="containsText" text="Done">
      <formula>NOT(ISERROR(SEARCH("Done",#REF!)))</formula>
    </cfRule>
    <cfRule type="containsText" dxfId="8863" priority="5010" operator="containsText" text="Pending">
      <formula>NOT(ISERROR(SEARCH("Pending",#REF!)))</formula>
    </cfRule>
    <cfRule type="containsText" dxfId="8862" priority="5011" operator="containsText" text="NA">
      <formula>NOT(ISERROR(SEARCH("NA",#REF!)))</formula>
    </cfRule>
    <cfRule type="containsText" dxfId="8861" priority="5002" operator="containsText" text="Done">
      <formula>NOT(ISERROR(SEARCH("Done",#REF!)))</formula>
    </cfRule>
    <cfRule type="containsText" dxfId="8860" priority="4993" operator="containsText" text="NA">
      <formula>NOT(ISERROR(SEARCH("NA",#REF!)))</formula>
    </cfRule>
    <cfRule type="containsText" dxfId="8859" priority="5001" operator="containsText" text="NA">
      <formula>NOT(ISERROR(SEARCH("NA",#REF!)))</formula>
    </cfRule>
    <cfRule type="containsText" dxfId="8858" priority="4994" operator="containsText" text="Done">
      <formula>NOT(ISERROR(SEARCH("Done",#REF!)))</formula>
    </cfRule>
    <cfRule type="containsText" dxfId="8857" priority="4995" operator="containsText" text="Pending">
      <formula>NOT(ISERROR(SEARCH("Pending",#REF!)))</formula>
    </cfRule>
    <cfRule type="containsText" dxfId="8856" priority="5000" operator="containsText" text="NA">
      <formula>NOT(ISERROR(SEARCH("NA",#REF!)))</formula>
    </cfRule>
    <cfRule type="containsText" dxfId="8855" priority="4999" operator="containsText" text="Pending">
      <formula>NOT(ISERROR(SEARCH("Pending",#REF!)))</formula>
    </cfRule>
    <cfRule type="containsText" dxfId="8854" priority="4998" operator="containsText" text="Done">
      <formula>NOT(ISERROR(SEARCH("Done",#REF!)))</formula>
    </cfRule>
    <cfRule type="containsText" dxfId="8853" priority="4997" operator="containsText" text="NA">
      <formula>NOT(ISERROR(SEARCH("NA",#REF!)))</formula>
    </cfRule>
  </conditionalFormatting>
  <conditionalFormatting sqref="R31:S32">
    <cfRule type="containsText" dxfId="8852" priority="2582" operator="containsText" text="Pending">
      <formula>NOT(ISERROR(SEARCH("Pending",#REF!)))</formula>
    </cfRule>
    <cfRule type="containsText" dxfId="8851" priority="2583" operator="containsText" text="NA">
      <formula>NOT(ISERROR(SEARCH("NA",#REF!)))</formula>
    </cfRule>
    <cfRule type="containsText" dxfId="8850" priority="2581" operator="containsText" text="Done">
      <formula>NOT(ISERROR(SEARCH("Done",#REF!)))</formula>
    </cfRule>
    <cfRule type="containsText" dxfId="8849" priority="2574" operator="containsText" text="Done">
      <formula>NOT(ISERROR(SEARCH("Done",#REF!)))</formula>
    </cfRule>
    <cfRule type="containsText" dxfId="8848" priority="2575" operator="containsText" text="Pending">
      <formula>NOT(ISERROR(SEARCH("Pending",#REF!)))</formula>
    </cfRule>
    <cfRule type="containsText" dxfId="8847" priority="2579" operator="containsText" text="Pending">
      <formula>NOT(ISERROR(SEARCH("Pending",#REF!)))</formula>
    </cfRule>
    <cfRule type="containsText" dxfId="8846" priority="2580" operator="containsText" text="NA">
      <formula>NOT(ISERROR(SEARCH("NA",#REF!)))</formula>
    </cfRule>
    <cfRule type="containsText" dxfId="8845" priority="2576" operator="containsText" text="NA">
      <formula>NOT(ISERROR(SEARCH("NA",#REF!)))</formula>
    </cfRule>
    <cfRule type="containsText" dxfId="8844" priority="2577" operator="containsText" text="NA">
      <formula>NOT(ISERROR(SEARCH("NA",#REF!)))</formula>
    </cfRule>
    <cfRule type="containsText" dxfId="8843" priority="2573" operator="containsText" text="NA">
      <formula>NOT(ISERROR(SEARCH("NA",#REF!)))</formula>
    </cfRule>
    <cfRule type="containsText" dxfId="8842" priority="2578" operator="containsText" text="Done">
      <formula>NOT(ISERROR(SEARCH("Done",#REF!)))</formula>
    </cfRule>
  </conditionalFormatting>
  <conditionalFormatting sqref="R32:S32">
    <cfRule type="containsText" dxfId="8841" priority="5012" operator="containsText" text="NA">
      <formula>NOT(ISERROR(SEARCH("NA",#REF!)))</formula>
    </cfRule>
    <cfRule type="containsText" dxfId="8840" priority="5013" operator="containsText" text="Done">
      <formula>NOT(ISERROR(SEARCH("Done",#REF!)))</formula>
    </cfRule>
    <cfRule type="containsText" dxfId="8839" priority="5028" operator="containsText" text="Done">
      <formula>NOT(ISERROR(SEARCH("Done",#REF!)))</formula>
    </cfRule>
    <cfRule type="containsText" dxfId="8838" priority="5026" operator="containsText" text="Pending">
      <formula>NOT(ISERROR(SEARCH("Pending",#REF!)))</formula>
    </cfRule>
    <cfRule type="containsText" dxfId="8837" priority="5014" operator="containsText" text="Pending">
      <formula>NOT(ISERROR(SEARCH("Pending",#REF!)))</formula>
    </cfRule>
    <cfRule type="containsText" dxfId="8836" priority="5015" operator="containsText" text="NA">
      <formula>NOT(ISERROR(SEARCH("NA",#REF!)))</formula>
    </cfRule>
    <cfRule type="containsText" dxfId="8835" priority="5016" operator="containsText" text="NA">
      <formula>NOT(ISERROR(SEARCH("NA",#REF!)))</formula>
    </cfRule>
    <cfRule type="containsText" dxfId="8834" priority="5017" operator="containsText" text="Done">
      <formula>NOT(ISERROR(SEARCH("Done",#REF!)))</formula>
    </cfRule>
    <cfRule type="containsText" dxfId="8833" priority="5018" operator="containsText" text="Pending">
      <formula>NOT(ISERROR(SEARCH("Pending",#REF!)))</formula>
    </cfRule>
    <cfRule type="containsText" dxfId="8832" priority="5019" operator="containsText" text="NA">
      <formula>NOT(ISERROR(SEARCH("NA",#REF!)))</formula>
    </cfRule>
    <cfRule type="containsText" dxfId="8831" priority="5020" operator="containsText" text="NA">
      <formula>NOT(ISERROR(SEARCH("NA",#REF!)))</formula>
    </cfRule>
    <cfRule type="containsText" dxfId="8830" priority="5021" operator="containsText" text="Done">
      <formula>NOT(ISERROR(SEARCH("Done",#REF!)))</formula>
    </cfRule>
    <cfRule type="containsText" dxfId="8829" priority="5027" operator="containsText" text="NA">
      <formula>NOT(ISERROR(SEARCH("NA",#REF!)))</formula>
    </cfRule>
    <cfRule type="containsText" dxfId="8828" priority="5022" operator="containsText" text="Pending">
      <formula>NOT(ISERROR(SEARCH("Pending",#REF!)))</formula>
    </cfRule>
    <cfRule type="containsText" dxfId="8827" priority="5023" operator="containsText" text="NA">
      <formula>NOT(ISERROR(SEARCH("NA",#REF!)))</formula>
    </cfRule>
    <cfRule type="containsText" dxfId="8826" priority="5024" operator="containsText" text="NA">
      <formula>NOT(ISERROR(SEARCH("NA",#REF!)))</formula>
    </cfRule>
    <cfRule type="containsText" dxfId="8825" priority="5025" operator="containsText" text="Done">
      <formula>NOT(ISERROR(SEARCH("Done",#REF!)))</formula>
    </cfRule>
    <cfRule type="containsText" dxfId="8824" priority="5030" operator="containsText" text="NA">
      <formula>NOT(ISERROR(SEARCH("NA",#REF!)))</formula>
    </cfRule>
    <cfRule type="containsText" dxfId="8823" priority="5029" operator="containsText" text="Pending">
      <formula>NOT(ISERROR(SEARCH("Pending",#REF!)))</formula>
    </cfRule>
  </conditionalFormatting>
  <conditionalFormatting sqref="R40:S40 AE19:AE25 AC26:AE26 Y18:Y26 AC18:AD26">
    <cfRule type="containsText" dxfId="8822" priority="137514" operator="containsText" text="Done">
      <formula>NOT(ISERROR(SEARCH("Done",#REF!)))</formula>
    </cfRule>
    <cfRule type="containsText" dxfId="8821" priority="138358" operator="containsText" text="Pending">
      <formula>NOT(ISERROR(SEARCH("Pending",#REF!)))</formula>
    </cfRule>
    <cfRule type="containsText" dxfId="8820" priority="139201" operator="containsText" text="NA">
      <formula>NOT(ISERROR(SEARCH("NA",#REF!)))</formula>
    </cfRule>
    <cfRule type="containsText" dxfId="8819" priority="139200" operator="containsText" text="NA">
      <formula>NOT(ISERROR(SEARCH("NA",#REF!)))</formula>
    </cfRule>
  </conditionalFormatting>
  <conditionalFormatting sqref="R48:S53 S50:X50 S53:AB53">
    <cfRule type="containsText" dxfId="8818" priority="140112" operator="containsText" text="Pending">
      <formula>NOT(ISERROR(SEARCH("Pending",#REF!)))</formula>
    </cfRule>
  </conditionalFormatting>
  <conditionalFormatting sqref="R51:S51">
    <cfRule type="containsText" dxfId="8817" priority="120182" operator="containsText" text="NA">
      <formula>NOT(ISERROR(SEARCH("NA",#REF!)))</formula>
    </cfRule>
    <cfRule type="containsText" dxfId="8816" priority="120183" operator="containsText" text="Done">
      <formula>NOT(ISERROR(SEARCH("Done",O115)))</formula>
    </cfRule>
    <cfRule type="containsText" dxfId="8815" priority="120181" operator="containsText" text="NA">
      <formula>NOT(ISERROR(SEARCH("NA",#REF!)))</formula>
    </cfRule>
    <cfRule type="containsText" dxfId="8814" priority="120184" operator="containsText" text="Pending">
      <formula>NOT(ISERROR(SEARCH("Pending",O115)))</formula>
    </cfRule>
    <cfRule type="containsText" dxfId="8813" priority="120185" operator="containsText" text="NA">
      <formula>NOT(ISERROR(SEARCH("NA",O115)))</formula>
    </cfRule>
    <cfRule type="containsText" dxfId="8812" priority="120180" operator="containsText" text="NA">
      <formula>NOT(ISERROR(SEARCH("NA",#REF!)))</formula>
    </cfRule>
    <cfRule type="containsText" dxfId="8811" priority="120179" operator="containsText" text="Pending">
      <formula>NOT(ISERROR(SEARCH("Pending",#REF!)))</formula>
    </cfRule>
    <cfRule type="containsText" dxfId="8810" priority="120178" operator="containsText" text="Pending">
      <formula>NOT(ISERROR(SEARCH("Pending",#REF!)))</formula>
    </cfRule>
    <cfRule type="containsText" dxfId="8809" priority="120177" operator="containsText" text="Pending">
      <formula>NOT(ISERROR(SEARCH("Pending",#REF!)))</formula>
    </cfRule>
    <cfRule type="containsText" dxfId="8808" priority="120174" operator="containsText" text="Done">
      <formula>NOT(ISERROR(SEARCH("Done",#REF!)))</formula>
    </cfRule>
  </conditionalFormatting>
  <conditionalFormatting sqref="R66:S67">
    <cfRule type="containsText" dxfId="8807" priority="119395" operator="containsText" text="Done">
      <formula>NOT(ISERROR(SEARCH("Done",O153)))</formula>
    </cfRule>
    <cfRule type="containsText" dxfId="8806" priority="119394" operator="containsText" text="Pending">
      <formula>NOT(ISERROR(SEARCH("Pending",O153)))</formula>
    </cfRule>
    <cfRule type="containsText" dxfId="8805" priority="119393" operator="containsText" text="NA">
      <formula>NOT(ISERROR(SEARCH("NA",O153)))</formula>
    </cfRule>
  </conditionalFormatting>
  <conditionalFormatting sqref="R69:S69">
    <cfRule type="containsText" dxfId="8804" priority="58133" operator="containsText" text="Pending">
      <formula>NOT(ISERROR(SEARCH("Pending",#REF!)))</formula>
    </cfRule>
    <cfRule type="containsText" dxfId="8803" priority="58132" operator="containsText" text="Done">
      <formula>NOT(ISERROR(SEARCH("Done",#REF!)))</formula>
    </cfRule>
    <cfRule type="containsText" dxfId="8802" priority="58134" operator="containsText" text="NA">
      <formula>NOT(ISERROR(SEARCH("NA",#REF!)))</formula>
    </cfRule>
  </conditionalFormatting>
  <conditionalFormatting sqref="R70:S70 S71:S73">
    <cfRule type="containsText" dxfId="8801" priority="58108" operator="containsText" text="Done">
      <formula>NOT(ISERROR(SEARCH("Done",#REF!)))</formula>
    </cfRule>
    <cfRule type="containsText" dxfId="8800" priority="58109" operator="containsText" text="Pending">
      <formula>NOT(ISERROR(SEARCH("Pending",#REF!)))</formula>
    </cfRule>
    <cfRule type="containsText" dxfId="8799" priority="58110" operator="containsText" text="NA">
      <formula>NOT(ISERROR(SEARCH("NA",#REF!)))</formula>
    </cfRule>
  </conditionalFormatting>
  <conditionalFormatting sqref="R76:S76">
    <cfRule type="containsText" dxfId="8798" priority="4824" operator="containsText" text="NA">
      <formula>NOT(ISERROR(SEARCH("NA",O154)))</formula>
    </cfRule>
    <cfRule type="containsText" dxfId="8797" priority="1108" operator="containsText" text="Done">
      <formula>NOT(ISERROR(SEARCH("Done",O154)))</formula>
    </cfRule>
    <cfRule type="containsText" dxfId="8796" priority="1107" operator="containsText" text="Pending">
      <formula>NOT(ISERROR(SEARCH("Pending",O154)))</formula>
    </cfRule>
    <cfRule type="containsText" dxfId="8795" priority="4826" operator="containsText" text="Done">
      <formula>NOT(ISERROR(SEARCH("Done",O154)))</formula>
    </cfRule>
    <cfRule type="containsText" dxfId="8794" priority="4825" operator="containsText" text="Pending">
      <formula>NOT(ISERROR(SEARCH("Pending",O154)))</formula>
    </cfRule>
    <cfRule type="containsText" dxfId="8793" priority="1106" operator="containsText" text="NA">
      <formula>NOT(ISERROR(SEARCH("NA",O154)))</formula>
    </cfRule>
  </conditionalFormatting>
  <conditionalFormatting sqref="R77:S83">
    <cfRule type="containsText" dxfId="8792" priority="949" operator="containsText" text="Pending">
      <formula>NOT(ISERROR(SEARCH("Pending",O155)))</formula>
    </cfRule>
    <cfRule type="containsText" dxfId="8791" priority="947" operator="containsText" text="Done">
      <formula>NOT(ISERROR(SEARCH("Done",O155)))</formula>
    </cfRule>
    <cfRule type="containsText" dxfId="8790" priority="946" operator="containsText" text="Pending">
      <formula>NOT(ISERROR(SEARCH("Pending",O155)))</formula>
    </cfRule>
    <cfRule type="containsText" dxfId="8789" priority="945" operator="containsText" text="NA">
      <formula>NOT(ISERROR(SEARCH("NA",O155)))</formula>
    </cfRule>
    <cfRule type="containsText" dxfId="8788" priority="950" operator="containsText" text="Done">
      <formula>NOT(ISERROR(SEARCH("Done",O155)))</formula>
    </cfRule>
    <cfRule type="containsText" dxfId="8787" priority="948" operator="containsText" text="NA">
      <formula>NOT(ISERROR(SEARCH("NA",O155)))</formula>
    </cfRule>
  </conditionalFormatting>
  <conditionalFormatting sqref="R79:S81">
    <cfRule type="containsText" dxfId="8786" priority="691" operator="containsText" text="NA">
      <formula>NOT(ISERROR(SEARCH("NA",#REF!)))</formula>
    </cfRule>
    <cfRule type="containsText" dxfId="8785" priority="690" operator="containsText" text="NA">
      <formula>NOT(ISERROR(SEARCH("NA",#REF!)))</formula>
    </cfRule>
    <cfRule type="containsText" dxfId="8784" priority="689" operator="containsText" text="Pending">
      <formula>NOT(ISERROR(SEARCH("Pending",#REF!)))</formula>
    </cfRule>
    <cfRule type="containsText" dxfId="8783" priority="682" operator="containsText" text="Pending">
      <formula>NOT(ISERROR(SEARCH("Pending",#REF!)))</formula>
    </cfRule>
    <cfRule type="containsText" dxfId="8782" priority="681" operator="containsText" text="Done">
      <formula>NOT(ISERROR(SEARCH("Done",#REF!)))</formula>
    </cfRule>
    <cfRule type="containsText" dxfId="8781" priority="692" operator="containsText" text="Done">
      <formula>NOT(ISERROR(SEARCH("Done",#REF!)))</formula>
    </cfRule>
    <cfRule type="containsText" dxfId="8780" priority="696" operator="containsText" text="NA">
      <formula>NOT(ISERROR(SEARCH("NA",#REF!)))</formula>
    </cfRule>
    <cfRule type="containsText" dxfId="8779" priority="695" operator="containsText" text="NA">
      <formula>NOT(ISERROR(SEARCH("NA",#REF!)))</formula>
    </cfRule>
    <cfRule type="containsText" dxfId="8778" priority="694" operator="containsText" text="Pending">
      <formula>NOT(ISERROR(SEARCH("Pending",#REF!)))</formula>
    </cfRule>
    <cfRule type="containsText" dxfId="8777" priority="693" operator="containsText" text="Pending">
      <formula>NOT(ISERROR(SEARCH("Pending",#REF!)))</formula>
    </cfRule>
    <cfRule type="containsText" dxfId="8776" priority="667" operator="containsText" text="NA">
      <formula>NOT(ISERROR(SEARCH("NA",O157)))</formula>
    </cfRule>
    <cfRule type="containsText" dxfId="8775" priority="668" operator="containsText" text="Pending">
      <formula>NOT(ISERROR(SEARCH("Pending",O157)))</formula>
    </cfRule>
    <cfRule type="containsText" dxfId="8774" priority="669" operator="containsText" text="Done">
      <formula>NOT(ISERROR(SEARCH("Done",O157)))</formula>
    </cfRule>
    <cfRule type="containsText" dxfId="8773" priority="670" operator="containsText" text="Pending">
      <formula>NOT(ISERROR(SEARCH("Pending",#REF!)))</formula>
    </cfRule>
    <cfRule type="containsText" dxfId="8772" priority="671" operator="containsText" text="NA">
      <formula>NOT(ISERROR(SEARCH("NA",#REF!)))</formula>
    </cfRule>
    <cfRule type="containsText" dxfId="8771" priority="672" operator="containsText" text="Done">
      <formula>NOT(ISERROR(SEARCH("Done",#REF!)))</formula>
    </cfRule>
    <cfRule type="containsText" dxfId="8770" priority="673" operator="containsText" text="NA">
      <formula>NOT(ISERROR(SEARCH("NA",O157)))</formula>
    </cfRule>
    <cfRule type="containsText" dxfId="8769" priority="674" operator="containsText" text="Pending">
      <formula>NOT(ISERROR(SEARCH("Pending",O157)))</formula>
    </cfRule>
    <cfRule type="containsText" dxfId="8768" priority="675" operator="containsText" text="Done">
      <formula>NOT(ISERROR(SEARCH("Done",O157)))</formula>
    </cfRule>
    <cfRule type="containsText" dxfId="8767" priority="676" operator="containsText" text="Pending">
      <formula>NOT(ISERROR(SEARCH("Pending",#REF!)))</formula>
    </cfRule>
    <cfRule type="containsText" dxfId="8766" priority="677" operator="containsText" text="NA">
      <formula>NOT(ISERROR(SEARCH("NA",#REF!)))</formula>
    </cfRule>
    <cfRule type="containsText" dxfId="8765" priority="679" operator="containsText" text="Pending">
      <formula>NOT(ISERROR(SEARCH("Pending",#REF!)))</formula>
    </cfRule>
    <cfRule type="containsText" dxfId="8764" priority="680" operator="containsText" text="NA">
      <formula>NOT(ISERROR(SEARCH("NA",#REF!)))</formula>
    </cfRule>
    <cfRule type="containsText" dxfId="8763" priority="684" operator="containsText" text="Done">
      <formula>NOT(ISERROR(SEARCH("Done",#REF!)))</formula>
    </cfRule>
    <cfRule type="containsText" dxfId="8762" priority="685" operator="containsText" text="Pending">
      <formula>NOT(ISERROR(SEARCH("Pending",#REF!)))</formula>
    </cfRule>
    <cfRule type="containsText" dxfId="8761" priority="686" operator="containsText" text="NA">
      <formula>NOT(ISERROR(SEARCH("NA",#REF!)))</formula>
    </cfRule>
    <cfRule type="containsText" dxfId="8760" priority="687" operator="containsText" text="Done">
      <formula>NOT(ISERROR(SEARCH("Done",#REF!)))</formula>
    </cfRule>
    <cfRule type="containsText" dxfId="8759" priority="688" operator="containsText" text="Pending">
      <formula>NOT(ISERROR(SEARCH("Pending",#REF!)))</formula>
    </cfRule>
    <cfRule type="containsText" dxfId="8758" priority="683" operator="containsText" text="NA">
      <formula>NOT(ISERROR(SEARCH("NA",#REF!)))</formula>
    </cfRule>
    <cfRule type="containsText" dxfId="8757" priority="678" operator="containsText" text="Done">
      <formula>NOT(ISERROR(SEARCH("Done",#REF!)))</formula>
    </cfRule>
  </conditionalFormatting>
  <conditionalFormatting sqref="R83:S83">
    <cfRule type="containsText" dxfId="8756" priority="5491" operator="containsText" text="Pending">
      <formula>NOT(ISERROR(SEARCH("Pending",O161)))</formula>
    </cfRule>
    <cfRule type="containsText" dxfId="8755" priority="3967" operator="containsText" text="Done">
      <formula>NOT(ISERROR(SEARCH("Done",O161)))</formula>
    </cfRule>
    <cfRule type="containsText" dxfId="8754" priority="3970" operator="containsText" text="Done">
      <formula>NOT(ISERROR(SEARCH("Done",O161)))</formula>
    </cfRule>
    <cfRule type="containsText" dxfId="8753" priority="3969" operator="containsText" text="Pending">
      <formula>NOT(ISERROR(SEARCH("Pending",O161)))</formula>
    </cfRule>
    <cfRule type="containsText" dxfId="8752" priority="3968" operator="containsText" text="NA">
      <formula>NOT(ISERROR(SEARCH("NA",O161)))</formula>
    </cfRule>
    <cfRule type="containsText" dxfId="8751" priority="5490" operator="containsText" text="NA">
      <formula>NOT(ISERROR(SEARCH("NA",O161)))</formula>
    </cfRule>
    <cfRule type="containsText" dxfId="8750" priority="3965" operator="containsText" text="NA">
      <formula>NOT(ISERROR(SEARCH("NA",O161)))</formula>
    </cfRule>
    <cfRule type="containsText" dxfId="8749" priority="3966" operator="containsText" text="Pending">
      <formula>NOT(ISERROR(SEARCH("Pending",O161)))</formula>
    </cfRule>
    <cfRule type="containsText" dxfId="8748" priority="5492" operator="containsText" text="Done">
      <formula>NOT(ISERROR(SEARCH("Done",O161)))</formula>
    </cfRule>
  </conditionalFormatting>
  <conditionalFormatting sqref="R87:S88">
    <cfRule type="containsText" dxfId="8747" priority="77306" operator="containsText" text="Done">
      <formula>NOT(ISERROR(SEARCH("Done",O165)))</formula>
    </cfRule>
    <cfRule type="containsText" dxfId="8746" priority="77305" operator="containsText" text="Pending">
      <formula>NOT(ISERROR(SEARCH("Pending",O165)))</formula>
    </cfRule>
    <cfRule type="containsText" dxfId="8745" priority="77304" operator="containsText" text="NA">
      <formula>NOT(ISERROR(SEARCH("NA",O165)))</formula>
    </cfRule>
  </conditionalFormatting>
  <conditionalFormatting sqref="R7:U7">
    <cfRule type="containsText" dxfId="8744" priority="135245" operator="containsText" text="Done">
      <formula>NOT(ISERROR(SEARCH("Done",#REF!)))</formula>
    </cfRule>
  </conditionalFormatting>
  <conditionalFormatting sqref="R18:U18 X18 Z18:AB18 AE18:AG18 S18:S20">
    <cfRule type="containsText" dxfId="8743" priority="148129" operator="containsText" text="NA">
      <formula>NOT(ISERROR(SEARCH("NA",O52)))</formula>
    </cfRule>
    <cfRule type="containsText" dxfId="8742" priority="148114" operator="containsText" text="Pending">
      <formula>NOT(ISERROR(SEARCH("Pending",O52)))</formula>
    </cfRule>
  </conditionalFormatting>
  <conditionalFormatting sqref="R30:U32">
    <cfRule type="containsText" dxfId="8741" priority="109686" operator="containsText" text="NA">
      <formula>NOT(ISERROR(SEARCH("NA",#REF!)))</formula>
    </cfRule>
    <cfRule type="containsText" dxfId="8740" priority="109685" operator="containsText" text="Pending">
      <formula>NOT(ISERROR(SEARCH("Pending",#REF!)))</formula>
    </cfRule>
    <cfRule type="containsText" dxfId="8739" priority="109684" operator="containsText" text="Done">
      <formula>NOT(ISERROR(SEARCH("Done",#REF!)))</formula>
    </cfRule>
    <cfRule type="containsText" dxfId="8738" priority="109688" operator="containsText" text="Pending">
      <formula>NOT(ISERROR(SEARCH("Pending",#REF!)))</formula>
    </cfRule>
    <cfRule type="containsText" dxfId="8737" priority="109687" operator="containsText" text="Done">
      <formula>NOT(ISERROR(SEARCH("Done",#REF!)))</formula>
    </cfRule>
    <cfRule type="containsText" dxfId="8736" priority="109683" operator="containsText" text="NA">
      <formula>NOT(ISERROR(SEARCH("NA",#REF!)))</formula>
    </cfRule>
    <cfRule type="containsText" dxfId="8735" priority="109689" operator="containsText" text="NA">
      <formula>NOT(ISERROR(SEARCH("NA",#REF!)))</formula>
    </cfRule>
  </conditionalFormatting>
  <conditionalFormatting sqref="R58:U58">
    <cfRule type="containsText" dxfId="8734" priority="119790" operator="containsText" text="Pending">
      <formula>NOT(ISERROR(SEARCH("Pending",#REF!)))</formula>
    </cfRule>
    <cfRule type="containsText" dxfId="8733" priority="119791" operator="containsText" text="NA">
      <formula>NOT(ISERROR(SEARCH("NA",#REF!)))</formula>
    </cfRule>
  </conditionalFormatting>
  <conditionalFormatting sqref="R59:U59">
    <cfRule type="containsText" dxfId="8732" priority="119015" operator="containsText" text="NA">
      <formula>NOT(ISERROR(SEARCH("NA",#REF!)))</formula>
    </cfRule>
    <cfRule type="containsText" dxfId="8731" priority="119014" operator="containsText" text="Pending">
      <formula>NOT(ISERROR(SEARCH("Pending",#REF!)))</formula>
    </cfRule>
  </conditionalFormatting>
  <conditionalFormatting sqref="R79:U79">
    <cfRule type="containsText" dxfId="8730" priority="10557" operator="containsText" text="Done">
      <formula>NOT(ISERROR(SEARCH("Done",O157)))</formula>
    </cfRule>
    <cfRule type="containsText" dxfId="8729" priority="10556" operator="containsText" text="Pending">
      <formula>NOT(ISERROR(SEARCH("Pending",O157)))</formula>
    </cfRule>
    <cfRule type="containsText" dxfId="8728" priority="10555" operator="containsText" text="NA">
      <formula>NOT(ISERROR(SEARCH("NA",O157)))</formula>
    </cfRule>
  </conditionalFormatting>
  <conditionalFormatting sqref="R80:U80">
    <cfRule type="containsText" dxfId="8727" priority="10541" operator="containsText" text="Pending">
      <formula>NOT(ISERROR(SEARCH("Pending",O158)))</formula>
    </cfRule>
    <cfRule type="containsText" dxfId="8726" priority="10542" operator="containsText" text="Done">
      <formula>NOT(ISERROR(SEARCH("Done",O158)))</formula>
    </cfRule>
    <cfRule type="containsText" dxfId="8725" priority="10540" operator="containsText" text="NA">
      <formula>NOT(ISERROR(SEARCH("NA",O158)))</formula>
    </cfRule>
  </conditionalFormatting>
  <conditionalFormatting sqref="R81:U81">
    <cfRule type="containsText" dxfId="8724" priority="5522" operator="containsText" text="Done">
      <formula>NOT(ISERROR(SEARCH("Done",O159)))</formula>
    </cfRule>
    <cfRule type="containsText" dxfId="8723" priority="5521" operator="containsText" text="Pending">
      <formula>NOT(ISERROR(SEARCH("Pending",O159)))</formula>
    </cfRule>
    <cfRule type="containsText" dxfId="8722" priority="5520" operator="containsText" text="NA">
      <formula>NOT(ISERROR(SEARCH("NA",O159)))</formula>
    </cfRule>
  </conditionalFormatting>
  <conditionalFormatting sqref="R82:U82">
    <cfRule type="containsText" dxfId="8721" priority="3973" operator="containsText" text="Pending">
      <formula>NOT(ISERROR(SEARCH("Pending",O160)))</formula>
    </cfRule>
    <cfRule type="containsText" dxfId="8720" priority="5507" operator="containsText" text="Done">
      <formula>NOT(ISERROR(SEARCH("Done",O160)))</formula>
    </cfRule>
    <cfRule type="containsText" dxfId="8719" priority="5506" operator="containsText" text="Pending">
      <formula>NOT(ISERROR(SEARCH("Pending",O160)))</formula>
    </cfRule>
    <cfRule type="containsText" dxfId="8718" priority="5505" operator="containsText" text="NA">
      <formula>NOT(ISERROR(SEARCH("NA",O160)))</formula>
    </cfRule>
    <cfRule type="containsText" dxfId="8717" priority="3972" operator="containsText" text="NA">
      <formula>NOT(ISERROR(SEARCH("NA",O160)))</formula>
    </cfRule>
    <cfRule type="containsText" dxfId="8716" priority="3974" operator="containsText" text="Done">
      <formula>NOT(ISERROR(SEARCH("Done",O160)))</formula>
    </cfRule>
  </conditionalFormatting>
  <conditionalFormatting sqref="R53:Y53">
    <cfRule type="containsText" dxfId="8715" priority="2063" operator="containsText" text="Pending">
      <formula>NOT(ISERROR(SEARCH("Pending",#REF!)))</formula>
    </cfRule>
    <cfRule type="containsText" dxfId="8714" priority="2062" operator="containsText" text="Pending">
      <formula>NOT(ISERROR(SEARCH("Pending",#REF!)))</formula>
    </cfRule>
    <cfRule type="containsText" dxfId="8713" priority="2071" operator="containsText" text="Pending">
      <formula>NOT(ISERROR(SEARCH("Pending",O116)))</formula>
    </cfRule>
    <cfRule type="containsText" dxfId="8712" priority="2065" operator="containsText" text="Pending">
      <formula>NOT(ISERROR(SEARCH("Pending",#REF!)))</formula>
    </cfRule>
    <cfRule type="containsText" dxfId="8711" priority="2070" operator="containsText" text="Done">
      <formula>NOT(ISERROR(SEARCH("Done",O116)))</formula>
    </cfRule>
    <cfRule type="containsText" dxfId="8710" priority="2061" operator="containsText" text="Done">
      <formula>NOT(ISERROR(SEARCH("Done",#REF!)))</formula>
    </cfRule>
    <cfRule type="containsText" dxfId="8709" priority="2074" operator="containsText" text="NA">
      <formula>NOT(ISERROR(SEARCH("NA",#REF!)))</formula>
    </cfRule>
    <cfRule type="containsText" dxfId="8708" priority="2060" operator="containsText" text="Done">
      <formula>NOT(ISERROR(SEARCH("Done",R53)))</formula>
    </cfRule>
    <cfRule type="containsText" dxfId="8707" priority="2075" operator="containsText" text="Pending">
      <formula>NOT(ISERROR(SEARCH("Pending",#REF!)))</formula>
    </cfRule>
    <cfRule type="containsText" dxfId="8706" priority="2073" operator="containsText" text="Pending">
      <formula>NOT(ISERROR(SEARCH("Pending",#REF!)))</formula>
    </cfRule>
    <cfRule type="containsText" dxfId="8705" priority="2072" operator="containsText" text="NA">
      <formula>NOT(ISERROR(SEARCH("NA",O116)))</formula>
    </cfRule>
    <cfRule type="containsText" dxfId="8704" priority="2069" operator="containsText" text="NA">
      <formula>NOT(ISERROR(SEARCH("NA",#REF!)))</formula>
    </cfRule>
    <cfRule type="containsText" dxfId="8703" priority="2068" operator="containsText" text="NA">
      <formula>NOT(ISERROR(SEARCH("NA",#REF!)))</formula>
    </cfRule>
    <cfRule type="containsText" dxfId="8702" priority="2067" operator="containsText" text="NA">
      <formula>NOT(ISERROR(SEARCH("NA",#REF!)))</formula>
    </cfRule>
    <cfRule type="containsText" dxfId="8701" priority="2077" operator="containsText" text="Done">
      <formula>NOT(ISERROR(SEARCH("Done",#REF!)))</formula>
    </cfRule>
    <cfRule type="containsText" dxfId="8700" priority="2076" operator="containsText" text="NA">
      <formula>NOT(ISERROR(SEARCH("NA",#REF!)))</formula>
    </cfRule>
    <cfRule type="containsText" dxfId="8699" priority="2064" operator="containsText" text="Pending">
      <formula>NOT(ISERROR(SEARCH("Pending",#REF!)))</formula>
    </cfRule>
    <cfRule type="containsText" dxfId="8698" priority="2059" operator="containsText" text="Pending">
      <formula>NOT(ISERROR(SEARCH("Pending",R53)))</formula>
    </cfRule>
    <cfRule type="containsText" dxfId="8697" priority="2058" operator="containsText" text="NA">
      <formula>NOT(ISERROR(SEARCH("NA",R53)))</formula>
    </cfRule>
    <cfRule type="containsText" dxfId="8696" priority="2057" operator="containsText" text="NA">
      <formula>NOT(ISERROR(SEARCH("NA",#REF!)))</formula>
    </cfRule>
    <cfRule type="containsText" dxfId="8695" priority="2056" operator="containsText" text="Pending">
      <formula>NOT(ISERROR(SEARCH("Pending",#REF!)))</formula>
    </cfRule>
    <cfRule type="containsText" dxfId="8694" priority="127367" operator="containsText" text="Pending">
      <formula>NOT(ISERROR(SEARCH("Pending",#REF!)))</formula>
    </cfRule>
    <cfRule type="containsText" dxfId="8693" priority="2066" operator="containsText" text="NA">
      <formula>NOT(ISERROR(SEARCH("NA",#REF!)))</formula>
    </cfRule>
  </conditionalFormatting>
  <conditionalFormatting sqref="R39:AB40 R47:AG47 R48:S52 X48:X52 R49:Y49 Q49:Q52 T49:W52 S50:X50 W51:X53 Q53:AB53 P54:AG54 R55:AG55 P56:AG56 AI56 Q57:V57 Y57:AB57 AG57:AH57 W57:Y63 AC57:AD63 AB58:AB62 V58:V63 T36:T37 U37 R48:Z48 Z48:AB53">
    <cfRule type="containsText" dxfId="8692" priority="133149" operator="containsText" text="Pending">
      <formula>NOT(ISERROR(SEARCH("Pending",#REF!)))</formula>
    </cfRule>
  </conditionalFormatting>
  <conditionalFormatting sqref="R53:AB53">
    <cfRule type="containsText" dxfId="8691" priority="5462" operator="containsText" text="Done">
      <formula>NOT(ISERROR(SEARCH("Done",O117)))</formula>
    </cfRule>
    <cfRule type="containsText" dxfId="8690" priority="5455" operator="containsText" text="Done">
      <formula>NOT(ISERROR(SEARCH("Done",#REF!)))</formula>
    </cfRule>
    <cfRule type="containsText" dxfId="8689" priority="5459" operator="containsText" text="NA">
      <formula>NOT(ISERROR(SEARCH("NA",#REF!)))</formula>
    </cfRule>
    <cfRule type="containsText" dxfId="8688" priority="5457" operator="containsText" text="Pending">
      <formula>NOT(ISERROR(SEARCH("Pending",#REF!)))</formula>
    </cfRule>
    <cfRule type="containsText" dxfId="8687" priority="5460" operator="containsText" text="NA">
      <formula>NOT(ISERROR(SEARCH("NA",#REF!)))</formula>
    </cfRule>
    <cfRule type="containsText" dxfId="8686" priority="5461" operator="containsText" text="NA">
      <formula>NOT(ISERROR(SEARCH("NA",#REF!)))</formula>
    </cfRule>
    <cfRule type="containsText" dxfId="8685" priority="5463" operator="containsText" text="Pending">
      <formula>NOT(ISERROR(SEARCH("Pending",O117)))</formula>
    </cfRule>
    <cfRule type="containsText" dxfId="8684" priority="5464" operator="containsText" text="NA">
      <formula>NOT(ISERROR(SEARCH("NA",O117)))</formula>
    </cfRule>
    <cfRule type="containsText" dxfId="8683" priority="5456" operator="containsText" text="Pending">
      <formula>NOT(ISERROR(SEARCH("Pending",#REF!)))</formula>
    </cfRule>
    <cfRule type="containsText" dxfId="8682" priority="5458" operator="containsText" text="Pending">
      <formula>NOT(ISERROR(SEARCH("Pending",#REF!)))</formula>
    </cfRule>
  </conditionalFormatting>
  <conditionalFormatting sqref="R89:AD89">
    <cfRule type="containsText" dxfId="8681" priority="4134" operator="containsText" text="NA">
      <formula>NOT(ISERROR(SEARCH("NA",R89)))</formula>
    </cfRule>
    <cfRule type="containsText" dxfId="8680" priority="4143" operator="containsText" text="NA">
      <formula>NOT(ISERROR(SEARCH("NA",#REF!)))</formula>
    </cfRule>
    <cfRule type="containsText" dxfId="8679" priority="4139" operator="containsText" text="NA">
      <formula>NOT(ISERROR(SEARCH("NA",R89)))</formula>
    </cfRule>
    <cfRule type="containsText" dxfId="8678" priority="4140" operator="containsText" text="Done">
      <formula>NOT(ISERROR(SEARCH("Done",R89)))</formula>
    </cfRule>
    <cfRule type="containsText" dxfId="8677" priority="4141" operator="containsText" text="Done">
      <formula>NOT(ISERROR(SEARCH("Done",#REF!)))</formula>
    </cfRule>
    <cfRule type="containsText" dxfId="8676" priority="4142" operator="containsText" text="Pending">
      <formula>NOT(ISERROR(SEARCH("Pending",#REF!)))</formula>
    </cfRule>
    <cfRule type="containsText" dxfId="8675" priority="4136" operator="containsText" text="Done">
      <formula>NOT(ISERROR(SEARCH("Done",#REF!)))</formula>
    </cfRule>
    <cfRule type="containsText" dxfId="8674" priority="4138" operator="containsText" text="NA">
      <formula>NOT(ISERROR(SEARCH("NA",#REF!)))</formula>
    </cfRule>
    <cfRule type="containsText" dxfId="8673" priority="4137" operator="containsText" text="Pending">
      <formula>NOT(ISERROR(SEARCH("Pending",#REF!)))</formula>
    </cfRule>
    <cfRule type="containsText" dxfId="8672" priority="4135" operator="containsText" text="Done">
      <formula>NOT(ISERROR(SEARCH("Done",R89)))</formula>
    </cfRule>
  </conditionalFormatting>
  <conditionalFormatting sqref="R16:AG17 P16:Q20 U18:U20 AI36 AG36:AG39 S36:S40 U48:U49 N64 P64:AG64 O66 P74:AG74 N74:N75 P84:AG84 P98:AG65559 AO102:AU65559 Q49:Q52 R48:Z48 N84:N85 Q86:S87 AI86:AI87 P7:R7 T37:U39 AD43:AI43 AF40:AH40 AI66:AI70 W49:X53 P8:P12 Q8:R15 T9:U12 W9:Y9 T7:Z7 V9:W15 Y10:Y12 X10:X15 T8:Y8 Z8:Z15 AA7:AA15 AB7:AB12 Q37 S50:X50 T86:U89 V87:V89 W86:W89 Y87:Y89 AF86:AG87 AE7:AG12 T69:AG70 AI76:AI83 AA66:AG68 P44:V44 S18:S20 AC39:AD39 AB66:AB70 S7:S15 AC7:AD15 R48:S52 T49:W52 X48:X52 Q53:AB53 Z48:AE53 P86:P88 Q87:Q89 S86:Y86 AF87:AF88 Z86:AE88 Q88:Z88 O89:AF89 P76:AG76 T87:Z87 P76:S83 V77:V83 V76:W78 X77:Y77 W78:Y78 P78:W83 X79:Y81 W82:Y82 X83:Y83 Y76:AG83 P66:Q70 Q67:Q73 R66:S67 V67:W73 AE67:AE69 T66:Y68 Z67:Z70 Q71:AD73 AF71:AF72 AA67:AD73 Q19:Q26 P35:AG36 R36:AC37 R37:AG38 AA37:AB44 R41:AG42 Q43:AB43 X44:AI44">
    <cfRule type="containsText" dxfId="8671" priority="130196" operator="containsText" text="Done">
      <formula>NOT(ISERROR(SEARCH("Done",#REF!)))</formula>
    </cfRule>
  </conditionalFormatting>
  <conditionalFormatting sqref="R16:AG17 AD43:AI43 X44:AI44 S18:S20 U18:U20 X19 W49:X52 Z48:AE53 T8:Y8 AF40:AH40 AG36:AG39 AA37:AB44 P44:V44 P7:R7 T7:Z7 AB7:AB12 AE7:AG12 S7:S15 AA7:AA15 AC7:AD15 P8:P12 Q8:R15 Z8:Z15 W9:Y9 V9:W15 Y10:Y12 X10:X15 P16:Q20 Q19:Q26 P35:AG36 AI36 R36:AC37 S36:S40 Q37 R37:AG38 R41:AB42 Q43:AB43 X48 U48:U52 Q49:Q53 P64:AG64 R66:S67 T66:Y68 AA66:AG68 P66:Q70 AB66:AB70 AI66:AI70 AE67:AE69 Z67:Z70 Q67:Q73 V67:W73 AA67:AD73 T69:AG70 AF71:AF72 Q71:AD73 P74:AG74 P76:AG76 V76:W78 P76:S83 Y76:AG83 AI76:AI83 X77:Y77 V77:V83 W78:Y78 P78:W83 X79:Y81 W82:Y82 X83:Y83 P84:AG84 S86:Y86 Q86:S87 AF86:AG87 AI86:AI87 P86:P88 Z86:AE88 T86:U89 W86:W89 T87:Z87 AF87:AF88 Q87:Q89 V87:V89 Y87:Y89 Q88:Z88 O89:AF89 P98:AG65559 AO102:AU65559 O66 N64 N74 N84">
    <cfRule type="containsText" dxfId="8670" priority="129497" operator="containsText" text="Pending">
      <formula>NOT(ISERROR(SEARCH("Pending",#REF!)))</formula>
    </cfRule>
  </conditionalFormatting>
  <conditionalFormatting sqref="R46:AG46 AE39:AG40 AH44:AI44 AD40:AI40 AC40:AD42 V43:AI43 Z44:AD44">
    <cfRule type="containsText" dxfId="8669" priority="147955" operator="containsText" text="Done">
      <formula>NOT(ISERROR(SEARCH("Done",#REF!)))</formula>
    </cfRule>
  </conditionalFormatting>
  <conditionalFormatting sqref="R47:AG47 P54:AG54 R55:AG55 P56:AG56 AI56 Q57:V57 Y57:AB57 R49:Y49 Q49:Q53 V49:X52 V58:V63 W57:Y63 AB58:AB62 AC57:AD63 R39:AB40 AG57:AH57">
    <cfRule type="containsText" dxfId="8668" priority="133144" operator="containsText" text="Done">
      <formula>NOT(ISERROR(SEARCH("Done",#REF!)))</formula>
    </cfRule>
  </conditionalFormatting>
  <conditionalFormatting sqref="R47:AG47 P54:AG54 T36:T37 R55:AG55 AI56 P56:AG56 Q57:V57 X57:AB57 Q49:Q52 R48:Z48 U37 R49:Y49 W51:X53 S50:X50 U29:U32 P29:Y29 R48:S52 T49:W52 X48:X52 Z48:AB53 Q53:AB53 R29:S32 V58:V63 W57:Y63 AB58:AB62 AC57:AD63 R39:AB40 AG57:AH57">
    <cfRule type="containsText" dxfId="8667" priority="133153" operator="containsText" text="NA">
      <formula>NOT(ISERROR(SEARCH("NA",#REF!)))</formula>
    </cfRule>
  </conditionalFormatting>
  <conditionalFormatting sqref="S8:S15">
    <cfRule type="containsText" dxfId="8666" priority="3386" operator="containsText" text="NA">
      <formula>NOT(ISERROR(SEARCH("NA",#REF!)))</formula>
    </cfRule>
    <cfRule type="containsText" dxfId="8665" priority="5377" operator="containsText" text="NA">
      <formula>NOT(ISERROR(SEARCH("NA",#REF!)))</formula>
    </cfRule>
    <cfRule type="containsText" dxfId="8664" priority="5376" operator="containsText" text="Pending">
      <formula>NOT(ISERROR(SEARCH("Pending",#REF!)))</formula>
    </cfRule>
    <cfRule type="containsText" dxfId="8663" priority="3384" operator="containsText" text="Done">
      <formula>NOT(ISERROR(SEARCH("Done",#REF!)))</formula>
    </cfRule>
    <cfRule type="containsText" dxfId="8662" priority="3385" operator="containsText" text="Pending">
      <formula>NOT(ISERROR(SEARCH("Pending",#REF!)))</formula>
    </cfRule>
    <cfRule type="containsText" dxfId="8661" priority="5375" operator="containsText" text="Done">
      <formula>NOT(ISERROR(SEARCH("Done",#REF!)))</formula>
    </cfRule>
  </conditionalFormatting>
  <conditionalFormatting sqref="S18">
    <cfRule type="containsText" dxfId="8660" priority="4949" operator="containsText" text="Pending">
      <formula>NOT(ISERROR(SEARCH("Pending",P90)))</formula>
    </cfRule>
    <cfRule type="containsText" dxfId="8659" priority="4948" operator="containsText" text="NA">
      <formula>NOT(ISERROR(SEARCH("NA",P90)))</formula>
    </cfRule>
    <cfRule type="containsText" dxfId="8658" priority="4946" operator="containsText" text="Pending">
      <formula>NOT(ISERROR(SEARCH("Pending",P90)))</formula>
    </cfRule>
    <cfRule type="containsText" dxfId="8657" priority="4950" operator="containsText" text="Done">
      <formula>NOT(ISERROR(SEARCH("Done",P90)))</formula>
    </cfRule>
    <cfRule type="containsText" dxfId="8656" priority="4945" operator="containsText" text="NA">
      <formula>NOT(ISERROR(SEARCH("NA",P90)))</formula>
    </cfRule>
    <cfRule type="containsText" dxfId="8655" priority="4947" operator="containsText" text="Done">
      <formula>NOT(ISERROR(SEARCH("Done",P90)))</formula>
    </cfRule>
  </conditionalFormatting>
  <conditionalFormatting sqref="S18:S20 R18:U18 AE18:AG18 Z18:AB18 X18">
    <cfRule type="containsText" dxfId="8654" priority="148099" operator="containsText" text="Done">
      <formula>NOT(ISERROR(SEARCH("Done",O52)))</formula>
    </cfRule>
  </conditionalFormatting>
  <conditionalFormatting sqref="S20">
    <cfRule type="containsText" dxfId="8653" priority="135821" operator="containsText" text="Pending">
      <formula>NOT(ISERROR(SEARCH("Pending",#REF!)))</formula>
    </cfRule>
    <cfRule type="containsText" dxfId="8652" priority="136039" operator="containsText" text="NA">
      <formula>NOT(ISERROR(SEARCH("NA",#REF!)))</formula>
    </cfRule>
    <cfRule type="containsText" dxfId="8651" priority="136038" operator="containsText" text="NA">
      <formula>NOT(ISERROR(SEARCH("NA",#REF!)))</formula>
    </cfRule>
  </conditionalFormatting>
  <conditionalFormatting sqref="S21:S25 T23:U25 U23:U26 X23:X26 S26:U26">
    <cfRule type="containsText" dxfId="8650" priority="139845" operator="containsText" text="Pending">
      <formula>NOT(ISERROR(SEARCH("Pending",#REF!)))</formula>
    </cfRule>
  </conditionalFormatting>
  <conditionalFormatting sqref="S21:S25 T23:U25 X23:X26 U23:U26 S26:U26">
    <cfRule type="containsText" dxfId="8649" priority="139916" operator="containsText" text="NA">
      <formula>NOT(ISERROR(SEARCH("NA",#REF!)))</formula>
    </cfRule>
    <cfRule type="containsText" dxfId="8648" priority="139846" operator="containsText" text="Pending">
      <formula>NOT(ISERROR(SEARCH("Pending",#REF!)))</formula>
    </cfRule>
    <cfRule type="containsText" dxfId="8647" priority="139847" operator="containsText" text="Pending">
      <formula>NOT(ISERROR(SEARCH("Pending",#REF!)))</formula>
    </cfRule>
    <cfRule type="containsText" dxfId="8646" priority="139914" operator="containsText" text="NA">
      <formula>NOT(ISERROR(SEARCH("NA",#REF!)))</formula>
    </cfRule>
    <cfRule type="containsText" dxfId="8645" priority="139915" operator="containsText" text="NA">
      <formula>NOT(ISERROR(SEARCH("NA",#REF!)))</formula>
    </cfRule>
  </conditionalFormatting>
  <conditionalFormatting sqref="S23:S26">
    <cfRule type="containsText" dxfId="8644" priority="109403" operator="containsText" text="NA">
      <formula>NOT(ISERROR(SEARCH("NA",#REF!)))</formula>
    </cfRule>
    <cfRule type="containsText" dxfId="8643" priority="109402" operator="containsText" text="Pending">
      <formula>NOT(ISERROR(SEARCH("Pending",#REF!)))</formula>
    </cfRule>
  </conditionalFormatting>
  <conditionalFormatting sqref="S29">
    <cfRule type="containsText" dxfId="8642" priority="75008" operator="containsText" text="NA">
      <formula>NOT(ISERROR(SEARCH("NA",#REF!)))</formula>
    </cfRule>
    <cfRule type="containsText" dxfId="8641" priority="75009" operator="containsText" text="Done">
      <formula>NOT(ISERROR(SEARCH("Done",#REF!)))</formula>
    </cfRule>
    <cfRule type="containsText" dxfId="8640" priority="75010" operator="containsText" text="Pending">
      <formula>NOT(ISERROR(SEARCH("Pending",#REF!)))</formula>
    </cfRule>
    <cfRule type="containsText" dxfId="8639" priority="75011" operator="containsText" text="NA">
      <formula>NOT(ISERROR(SEARCH("NA",#REF!)))</formula>
    </cfRule>
    <cfRule type="containsText" dxfId="8638" priority="75012" operator="containsText" text="NA">
      <formula>NOT(ISERROR(SEARCH("NA",#REF!)))</formula>
    </cfRule>
    <cfRule type="containsText" dxfId="8637" priority="75014" operator="containsText" text="Pending">
      <formula>NOT(ISERROR(SEARCH("Pending",#REF!)))</formula>
    </cfRule>
    <cfRule type="containsText" dxfId="8636" priority="75015" operator="containsText" text="NA">
      <formula>NOT(ISERROR(SEARCH("NA",#REF!)))</formula>
    </cfRule>
    <cfRule type="containsText" dxfId="8635" priority="75016" operator="containsText" text="Done">
      <formula>NOT(ISERROR(SEARCH("Done",#REF!)))</formula>
    </cfRule>
    <cfRule type="containsText" dxfId="8634" priority="75017" operator="containsText" text="Pending">
      <formula>NOT(ISERROR(SEARCH("Pending",#REF!)))</formula>
    </cfRule>
    <cfRule type="containsText" dxfId="8633" priority="75018" operator="containsText" text="NA">
      <formula>NOT(ISERROR(SEARCH("NA",#REF!)))</formula>
    </cfRule>
    <cfRule type="containsText" dxfId="8632" priority="75013" operator="containsText" text="Done">
      <formula>NOT(ISERROR(SEARCH("Done",#REF!)))</formula>
    </cfRule>
  </conditionalFormatting>
  <conditionalFormatting sqref="S30:S32">
    <cfRule type="containsText" dxfId="8631" priority="77255" operator="containsText" text="Done">
      <formula>NOT(ISERROR(SEARCH("Done",#REF!)))</formula>
    </cfRule>
    <cfRule type="containsText" dxfId="8630" priority="77254" operator="containsText" text="NA">
      <formula>NOT(ISERROR(SEARCH("NA",#REF!)))</formula>
    </cfRule>
    <cfRule type="containsText" dxfId="8629" priority="77267" operator="containsText" text="Pending">
      <formula>NOT(ISERROR(SEARCH("Pending",#REF!)))</formula>
    </cfRule>
    <cfRule type="containsText" dxfId="8628" priority="77268" operator="containsText" text="NA">
      <formula>NOT(ISERROR(SEARCH("NA",#REF!)))</formula>
    </cfRule>
    <cfRule type="containsText" dxfId="8627" priority="77263" operator="containsText" text="Pending">
      <formula>NOT(ISERROR(SEARCH("Pending",#REF!)))</formula>
    </cfRule>
    <cfRule type="containsText" dxfId="8626" priority="77262" operator="containsText" text="Done">
      <formula>NOT(ISERROR(SEARCH("Done",#REF!)))</formula>
    </cfRule>
    <cfRule type="containsText" dxfId="8625" priority="77264" operator="containsText" text="NA">
      <formula>NOT(ISERROR(SEARCH("NA",#REF!)))</formula>
    </cfRule>
    <cfRule type="containsText" dxfId="8624" priority="77261" operator="containsText" text="NA">
      <formula>NOT(ISERROR(SEARCH("NA",#REF!)))</formula>
    </cfRule>
    <cfRule type="containsText" dxfId="8623" priority="77265" operator="containsText" text="NA">
      <formula>NOT(ISERROR(SEARCH("NA",#REF!)))</formula>
    </cfRule>
    <cfRule type="containsText" dxfId="8622" priority="77266" operator="containsText" text="Done">
      <formula>NOT(ISERROR(SEARCH("Done",#REF!)))</formula>
    </cfRule>
    <cfRule type="containsText" dxfId="8621" priority="77257" operator="containsText" text="NA">
      <formula>NOT(ISERROR(SEARCH("NA",#REF!)))</formula>
    </cfRule>
    <cfRule type="containsText" dxfId="8620" priority="77259" operator="containsText" text="Done">
      <formula>NOT(ISERROR(SEARCH("Done",#REF!)))</formula>
    </cfRule>
    <cfRule type="containsText" dxfId="8619" priority="77260" operator="containsText" text="Pending">
      <formula>NOT(ISERROR(SEARCH("Pending",#REF!)))</formula>
    </cfRule>
    <cfRule type="containsText" dxfId="8618" priority="77258" operator="containsText" text="NA">
      <formula>NOT(ISERROR(SEARCH("NA",#REF!)))</formula>
    </cfRule>
    <cfRule type="containsText" dxfId="8617" priority="77256" operator="containsText" text="Pending">
      <formula>NOT(ISERROR(SEARCH("Pending",#REF!)))</formula>
    </cfRule>
  </conditionalFormatting>
  <conditionalFormatting sqref="S31:S32">
    <cfRule type="containsText" dxfId="8616" priority="109180" operator="containsText" text="Done">
      <formula>NOT(ISERROR(SEARCH("Done",#REF!)))</formula>
    </cfRule>
    <cfRule type="containsText" dxfId="8615" priority="109174" operator="containsText" text="Pending">
      <formula>NOT(ISERROR(SEARCH("Pending",#REF!)))</formula>
    </cfRule>
    <cfRule type="containsText" dxfId="8614" priority="109189" operator="containsText" text="NA">
      <formula>NOT(ISERROR(SEARCH("NA",#REF!)))</formula>
    </cfRule>
    <cfRule type="containsText" dxfId="8613" priority="109188" operator="containsText" text="Pending">
      <formula>NOT(ISERROR(SEARCH("Pending",#REF!)))</formula>
    </cfRule>
    <cfRule type="containsText" dxfId="8612" priority="109187" operator="containsText" text="Done">
      <formula>NOT(ISERROR(SEARCH("Done",#REF!)))</formula>
    </cfRule>
    <cfRule type="containsText" dxfId="8611" priority="109186" operator="containsText" text="NA">
      <formula>NOT(ISERROR(SEARCH("NA",#REF!)))</formula>
    </cfRule>
    <cfRule type="containsText" dxfId="8610" priority="109185" operator="containsText" text="NA">
      <formula>NOT(ISERROR(SEARCH("NA",#REF!)))</formula>
    </cfRule>
    <cfRule type="containsText" dxfId="8609" priority="109184" operator="containsText" text="Pending">
      <formula>NOT(ISERROR(SEARCH("Pending",#REF!)))</formula>
    </cfRule>
    <cfRule type="containsText" dxfId="8608" priority="109177" operator="containsText" text="Pending">
      <formula>NOT(ISERROR(SEARCH("Pending",S31)))</formula>
    </cfRule>
    <cfRule type="containsText" dxfId="8607" priority="109181" operator="containsText" text="Pending">
      <formula>NOT(ISERROR(SEARCH("Pending",#REF!)))</formula>
    </cfRule>
    <cfRule type="containsText" dxfId="8606" priority="109172" operator="containsText" text="NA">
      <formula>NOT(ISERROR(SEARCH("NA",#REF!)))</formula>
    </cfRule>
    <cfRule type="containsText" dxfId="8605" priority="109173" operator="containsText" text="Done">
      <formula>NOT(ISERROR(SEARCH("Done",#REF!)))</formula>
    </cfRule>
    <cfRule type="containsText" dxfId="8604" priority="109175" operator="containsText" text="NA">
      <formula>NOT(ISERROR(SEARCH("NA",#REF!)))</formula>
    </cfRule>
    <cfRule type="containsText" dxfId="8603" priority="109168" operator="containsText" text="NA">
      <formula>NOT(ISERROR(SEARCH("NA",#REF!)))</formula>
    </cfRule>
    <cfRule type="containsText" dxfId="8602" priority="109167" operator="containsText" text="Pending">
      <formula>NOT(ISERROR(SEARCH("Pending",#REF!)))</formula>
    </cfRule>
    <cfRule type="containsText" dxfId="8601" priority="109166" operator="containsText" text="Done">
      <formula>NOT(ISERROR(SEARCH("Done",#REF!)))</formula>
    </cfRule>
    <cfRule type="containsText" dxfId="8600" priority="109165" operator="containsText" text="NA">
      <formula>NOT(ISERROR(SEARCH("NA",#REF!)))</formula>
    </cfRule>
    <cfRule type="containsText" dxfId="8599" priority="109178" operator="containsText" text="Done">
      <formula>NOT(ISERROR(SEARCH("Done",S31)))</formula>
    </cfRule>
    <cfRule type="containsText" dxfId="8598" priority="109182" operator="containsText" text="NA">
      <formula>NOT(ISERROR(SEARCH("NA",#REF!)))</formula>
    </cfRule>
    <cfRule type="containsText" dxfId="8597" priority="109183" operator="containsText" text="Done">
      <formula>NOT(ISERROR(SEARCH("Done",#REF!)))</formula>
    </cfRule>
    <cfRule type="containsText" dxfId="8596" priority="109176" operator="containsText" text="NA">
      <formula>NOT(ISERROR(SEARCH("NA",S31)))</formula>
    </cfRule>
    <cfRule type="containsText" dxfId="8595" priority="109171" operator="containsText" text="NA">
      <formula>NOT(ISERROR(SEARCH("NA",#REF!)))</formula>
    </cfRule>
    <cfRule type="containsText" dxfId="8594" priority="109170" operator="containsText" text="Pending">
      <formula>NOT(ISERROR(SEARCH("Pending",#REF!)))</formula>
    </cfRule>
    <cfRule type="containsText" dxfId="8593" priority="109169" operator="containsText" text="Done">
      <formula>NOT(ISERROR(SEARCH("Done",#REF!)))</formula>
    </cfRule>
    <cfRule type="containsText" dxfId="8592" priority="109179" operator="containsText" text="NA">
      <formula>NOT(ISERROR(SEARCH("NA",#REF!)))</formula>
    </cfRule>
  </conditionalFormatting>
  <conditionalFormatting sqref="S40">
    <cfRule type="containsText" dxfId="8591" priority="138360" operator="containsText" text="Pending">
      <formula>NOT(ISERROR(SEARCH("Pending",#REF!)))</formula>
    </cfRule>
    <cfRule type="containsText" dxfId="8590" priority="138359" operator="containsText" text="Pending">
      <formula>NOT(ISERROR(SEARCH("Pending",#REF!)))</formula>
    </cfRule>
    <cfRule type="containsText" dxfId="8589" priority="139202" operator="containsText" text="NA">
      <formula>NOT(ISERROR(SEARCH("NA",#REF!)))</formula>
    </cfRule>
    <cfRule type="containsText" dxfId="8588" priority="139204" operator="containsText" text="NA">
      <formula>NOT(ISERROR(SEARCH("NA",#REF!)))</formula>
    </cfRule>
    <cfRule type="containsText" dxfId="8587" priority="139203" operator="containsText" text="NA">
      <formula>NOT(ISERROR(SEARCH("NA",#REF!)))</formula>
    </cfRule>
    <cfRule type="containsText" dxfId="8586" priority="138361" operator="containsText" text="Pending">
      <formula>NOT(ISERROR(SEARCH("Pending",#REF!)))</formula>
    </cfRule>
  </conditionalFormatting>
  <conditionalFormatting sqref="S66:S67">
    <cfRule type="containsText" dxfId="8585" priority="119390" operator="containsText" text="Pending">
      <formula>NOT(ISERROR(SEARCH("Pending",#REF!)))</formula>
    </cfRule>
    <cfRule type="containsText" dxfId="8584" priority="119391" operator="containsText" text="NA">
      <formula>NOT(ISERROR(SEARCH("NA",#REF!)))</formula>
    </cfRule>
    <cfRule type="containsText" dxfId="8583" priority="119389" operator="containsText" text="Pending">
      <formula>NOT(ISERROR(SEARCH("Pending",#REF!)))</formula>
    </cfRule>
    <cfRule type="containsText" dxfId="8582" priority="119392" operator="containsText" text="NA">
      <formula>NOT(ISERROR(SEARCH("NA",#REF!)))</formula>
    </cfRule>
    <cfRule type="containsText" dxfId="8581" priority="119387" operator="containsText" text="Done">
      <formula>NOT(ISERROR(SEARCH("Done",#REF!)))</formula>
    </cfRule>
  </conditionalFormatting>
  <conditionalFormatting sqref="S76:S83">
    <cfRule type="containsText" dxfId="8580" priority="119056" operator="containsText" text="NA">
      <formula>NOT(ISERROR(SEARCH("NA",#REF!)))</formula>
    </cfRule>
    <cfRule type="containsText" dxfId="8579" priority="119055" operator="containsText" text="Pending">
      <formula>NOT(ISERROR(SEARCH("Pending",#REF!)))</formula>
    </cfRule>
    <cfRule type="containsText" dxfId="8578" priority="119057" operator="containsText" text="NA">
      <formula>NOT(ISERROR(SEARCH("NA",#REF!)))</formula>
    </cfRule>
    <cfRule type="containsText" dxfId="8577" priority="119054" operator="containsText" text="Pending">
      <formula>NOT(ISERROR(SEARCH("Pending",#REF!)))</formula>
    </cfRule>
  </conditionalFormatting>
  <conditionalFormatting sqref="S77:S83">
    <cfRule type="containsText" dxfId="8576" priority="119039" operator="containsText" text="NA">
      <formula>NOT(ISERROR(SEARCH("NA",#REF!)))</formula>
    </cfRule>
    <cfRule type="containsText" dxfId="8575" priority="119034" operator="containsText" text="Done">
      <formula>NOT(ISERROR(SEARCH("Done",#REF!)))</formula>
    </cfRule>
    <cfRule type="containsText" dxfId="8574" priority="119036" operator="containsText" text="Pending">
      <formula>NOT(ISERROR(SEARCH("Pending",#REF!)))</formula>
    </cfRule>
    <cfRule type="containsText" dxfId="8573" priority="119038" operator="containsText" text="NA">
      <formula>NOT(ISERROR(SEARCH("NA",#REF!)))</formula>
    </cfRule>
    <cfRule type="containsText" dxfId="8572" priority="109391" operator="containsText" text="NA">
      <formula>NOT(ISERROR(SEARCH("NA",#REF!)))</formula>
    </cfRule>
    <cfRule type="containsText" dxfId="8571" priority="109392" operator="containsText" text="NA">
      <formula>NOT(ISERROR(SEARCH("NA",#REF!)))</formula>
    </cfRule>
    <cfRule type="containsText" dxfId="8570" priority="109390" operator="containsText" text="Pending">
      <formula>NOT(ISERROR(SEARCH("Pending",#REF!)))</formula>
    </cfRule>
    <cfRule type="containsText" dxfId="8569" priority="119037" operator="containsText" text="Pending">
      <formula>NOT(ISERROR(SEARCH("Pending",#REF!)))</formula>
    </cfRule>
    <cfRule type="containsText" dxfId="8568" priority="109388" operator="containsText" text="Done">
      <formula>NOT(ISERROR(SEARCH("Done",#REF!)))</formula>
    </cfRule>
    <cfRule type="containsText" dxfId="8567" priority="109389" operator="containsText" text="Pending">
      <formula>NOT(ISERROR(SEARCH("Pending",#REF!)))</formula>
    </cfRule>
  </conditionalFormatting>
  <conditionalFormatting sqref="S82:S83">
    <cfRule type="containsText" dxfId="8566" priority="3975" operator="containsText" text="Done">
      <formula>NOT(ISERROR(SEARCH("Done",#REF!)))</formula>
    </cfRule>
  </conditionalFormatting>
  <conditionalFormatting sqref="S83">
    <cfRule type="containsText" dxfId="8565" priority="3971" operator="containsText" text="Done">
      <formula>NOT(ISERROR(SEARCH("Done",#REF!)))</formula>
    </cfRule>
  </conditionalFormatting>
  <conditionalFormatting sqref="S86">
    <cfRule type="containsText" dxfId="8564" priority="1218" operator="containsText" text="NA">
      <formula>NOT(ISERROR(SEARCH("NA",S86)))</formula>
    </cfRule>
    <cfRule type="containsText" dxfId="8563" priority="1222" operator="containsText" text="NA">
      <formula>NOT(ISERROR(SEARCH("NA",#REF!)))</formula>
    </cfRule>
    <cfRule type="containsText" dxfId="8562" priority="1225" operator="containsText" text="NA">
      <formula>NOT(ISERROR(SEARCH("NA",#REF!)))</formula>
    </cfRule>
    <cfRule type="containsText" dxfId="8561" priority="1224" operator="containsText" text="Pending">
      <formula>NOT(ISERROR(SEARCH("Pending",#REF!)))</formula>
    </cfRule>
    <cfRule type="containsText" dxfId="8560" priority="1221" operator="containsText" text="Pending">
      <formula>NOT(ISERROR(SEARCH("Pending",#REF!)))</formula>
    </cfRule>
    <cfRule type="containsText" dxfId="8559" priority="1220" operator="containsText" text="Done">
      <formula>NOT(ISERROR(SEARCH("Done",#REF!)))</formula>
    </cfRule>
    <cfRule type="containsText" dxfId="8558" priority="1215" operator="containsText" text="Done">
      <formula>NOT(ISERROR(SEARCH("Done",#REF!)))</formula>
    </cfRule>
    <cfRule type="containsText" dxfId="8557" priority="1219" operator="containsText" text="Done">
      <formula>NOT(ISERROR(SEARCH("Done",S86)))</formula>
    </cfRule>
    <cfRule type="containsText" dxfId="8556" priority="1214" operator="containsText" text="Done">
      <formula>NOT(ISERROR(SEARCH("Done",S86)))</formula>
    </cfRule>
    <cfRule type="containsText" dxfId="8555" priority="1216" operator="containsText" text="Pending">
      <formula>NOT(ISERROR(SEARCH("Pending",#REF!)))</formula>
    </cfRule>
    <cfRule type="containsText" dxfId="8554" priority="1217" operator="containsText" text="NA">
      <formula>NOT(ISERROR(SEARCH("NA",#REF!)))</formula>
    </cfRule>
    <cfRule type="containsText" dxfId="8553" priority="1213" operator="containsText" text="NA">
      <formula>NOT(ISERROR(SEARCH("NA",S86)))</formula>
    </cfRule>
    <cfRule type="containsText" dxfId="8552" priority="1223" operator="containsText" text="Done">
      <formula>NOT(ISERROR(SEARCH("Done",#REF!)))</formula>
    </cfRule>
  </conditionalFormatting>
  <conditionalFormatting sqref="S88:S89">
    <cfRule type="containsText" dxfId="8551" priority="77355" operator="containsText" text="Done">
      <formula>NOT(ISERROR(SEARCH("Done",S88)))</formula>
    </cfRule>
    <cfRule type="containsText" dxfId="8550" priority="77354" operator="containsText" text="NA">
      <formula>NOT(ISERROR(SEARCH("NA",S88)))</formula>
    </cfRule>
  </conditionalFormatting>
  <conditionalFormatting sqref="S89">
    <cfRule type="containsText" dxfId="8549" priority="4147" operator="containsText" text="Pending">
      <formula>NOT(ISERROR(SEARCH("Pending",#REF!)))</formula>
    </cfRule>
    <cfRule type="containsText" dxfId="8548" priority="4149" operator="containsText" text="NA">
      <formula>NOT(ISERROR(SEARCH("NA",S89)))</formula>
    </cfRule>
    <cfRule type="containsText" dxfId="8547" priority="4150" operator="containsText" text="Done">
      <formula>NOT(ISERROR(SEARCH("Done",S89)))</formula>
    </cfRule>
    <cfRule type="containsText" dxfId="8546" priority="4151" operator="containsText" text="Done">
      <formula>NOT(ISERROR(SEARCH("Done",#REF!)))</formula>
    </cfRule>
    <cfRule type="containsText" dxfId="8545" priority="4152" operator="containsText" text="Pending">
      <formula>NOT(ISERROR(SEARCH("Pending",#REF!)))</formula>
    </cfRule>
    <cfRule type="containsText" dxfId="8544" priority="4153" operator="containsText" text="NA">
      <formula>NOT(ISERROR(SEARCH("NA",#REF!)))</formula>
    </cfRule>
    <cfRule type="containsText" dxfId="8543" priority="4148" operator="containsText" text="NA">
      <formula>NOT(ISERROR(SEARCH("NA",#REF!)))</formula>
    </cfRule>
    <cfRule type="containsText" dxfId="8542" priority="4144" operator="containsText" text="NA">
      <formula>NOT(ISERROR(SEARCH("NA",S89)))</formula>
    </cfRule>
    <cfRule type="containsText" dxfId="8541" priority="4145" operator="containsText" text="Done">
      <formula>NOT(ISERROR(SEARCH("Done",S89)))</formula>
    </cfRule>
    <cfRule type="containsText" dxfId="8540" priority="4146" operator="containsText" text="Done">
      <formula>NOT(ISERROR(SEARCH("Done",#REF!)))</formula>
    </cfRule>
  </conditionalFormatting>
  <conditionalFormatting sqref="S29:U29">
    <cfRule type="containsText" dxfId="8539" priority="124386" operator="containsText" text="NA">
      <formula>NOT(ISERROR(SEARCH("NA",#REF!)))</formula>
    </cfRule>
    <cfRule type="containsText" dxfId="8538" priority="124385" operator="containsText" text="Pending">
      <formula>NOT(ISERROR(SEARCH("Pending",#REF!)))</formula>
    </cfRule>
    <cfRule type="containsText" dxfId="8537" priority="124384" operator="containsText" text="Done">
      <formula>NOT(ISERROR(SEARCH("Done",#REF!)))</formula>
    </cfRule>
    <cfRule type="containsText" dxfId="8536" priority="124383" operator="containsText" text="NA">
      <formula>NOT(ISERROR(SEARCH("NA",#REF!)))</formula>
    </cfRule>
  </conditionalFormatting>
  <conditionalFormatting sqref="S57:U57">
    <cfRule type="containsText" dxfId="8535" priority="119855" operator="containsText" text="Pending">
      <formula>NOT(ISERROR(SEARCH("Pending",#REF!)))</formula>
    </cfRule>
    <cfRule type="containsText" dxfId="8534" priority="119847" operator="containsText" text="Pending">
      <formula>NOT(ISERROR(SEARCH("Pending",#REF!)))</formula>
    </cfRule>
    <cfRule type="containsText" dxfId="8533" priority="119846" operator="containsText" text="Done">
      <formula>NOT(ISERROR(SEARCH("Done",#REF!)))</formula>
    </cfRule>
    <cfRule type="containsText" dxfId="8532" priority="119837" operator="containsText" text="NA">
      <formula>NOT(ISERROR(SEARCH("NA",#REF!)))</formula>
    </cfRule>
  </conditionalFormatting>
  <conditionalFormatting sqref="S76:U79 S77:S83 R79:U81 T78:U81">
    <cfRule type="containsText" dxfId="8531" priority="119040" operator="containsText" text="Done">
      <formula>NOT(ISERROR(SEARCH("Done",#REF!)))</formula>
    </cfRule>
  </conditionalFormatting>
  <conditionalFormatting sqref="S77:U77 S78:S83">
    <cfRule type="containsText" dxfId="8530" priority="119043" operator="containsText" text="Pending">
      <formula>NOT(ISERROR(SEARCH("Pending",#REF!)))</formula>
    </cfRule>
    <cfRule type="containsText" dxfId="8529" priority="119044" operator="containsText" text="NA">
      <formula>NOT(ISERROR(SEARCH("NA",#REF!)))</formula>
    </cfRule>
    <cfRule type="containsText" dxfId="8528" priority="119042" operator="containsText" text="Pending">
      <formula>NOT(ISERROR(SEARCH("Pending",#REF!)))</formula>
    </cfRule>
    <cfRule type="containsText" dxfId="8527" priority="119045" operator="containsText" text="NA">
      <formula>NOT(ISERROR(SEARCH("NA",#REF!)))</formula>
    </cfRule>
  </conditionalFormatting>
  <conditionalFormatting sqref="S80:U80">
    <cfRule type="containsText" dxfId="8526" priority="10543" operator="containsText" text="Done">
      <formula>NOT(ISERROR(SEARCH("Done",#REF!)))</formula>
    </cfRule>
  </conditionalFormatting>
  <conditionalFormatting sqref="S81:U81">
    <cfRule type="containsText" dxfId="8525" priority="5523" operator="containsText" text="Done">
      <formula>NOT(ISERROR(SEARCH("Done",#REF!)))</formula>
    </cfRule>
  </conditionalFormatting>
  <conditionalFormatting sqref="S82:U82">
    <cfRule type="containsText" dxfId="8524" priority="5508" operator="containsText" text="Done">
      <formula>NOT(ISERROR(SEARCH("Done",#REF!)))</formula>
    </cfRule>
  </conditionalFormatting>
  <conditionalFormatting sqref="S83:U83">
    <cfRule type="containsText" dxfId="8523" priority="5493" operator="containsText" text="Done">
      <formula>NOT(ISERROR(SEARCH("Done",#REF!)))</formula>
    </cfRule>
  </conditionalFormatting>
  <conditionalFormatting sqref="S59:V59 X59:AG59 P59:Q59">
    <cfRule type="containsText" dxfId="8522" priority="119011" operator="containsText" text="NA">
      <formula>NOT(ISERROR(SEARCH("NA",#REF!)))</formula>
    </cfRule>
  </conditionalFormatting>
  <conditionalFormatting sqref="S53:AB53 R48:S53 S50:X50">
    <cfRule type="containsText" dxfId="8521" priority="120757" operator="containsText" text="NA">
      <formula>NOT(ISERROR(SEARCH("NA",R48)))</formula>
    </cfRule>
    <cfRule type="containsText" dxfId="8520" priority="120758" operator="containsText" text="Pending">
      <formula>NOT(ISERROR(SEARCH("Pending",R48)))</formula>
    </cfRule>
    <cfRule type="containsText" dxfId="8519" priority="120759" operator="containsText" text="Done">
      <formula>NOT(ISERROR(SEARCH("Done",R48)))</formula>
    </cfRule>
    <cfRule type="containsText" dxfId="8518" priority="109452" operator="containsText" text="NA">
      <formula>NOT(ISERROR(SEARCH("NA",#REF!)))</formula>
    </cfRule>
    <cfRule type="containsText" dxfId="8517" priority="109451" operator="containsText" text="Pending">
      <formula>NOT(ISERROR(SEARCH("Pending",#REF!)))</formula>
    </cfRule>
  </conditionalFormatting>
  <conditionalFormatting sqref="T7:T11">
    <cfRule type="containsText" dxfId="8516" priority="109750" operator="containsText" text="NA">
      <formula>NOT(ISERROR(SEARCH("NA",#REF!)))</formula>
    </cfRule>
    <cfRule type="containsText" dxfId="8515" priority="109749" operator="containsText" text="NA">
      <formula>NOT(ISERROR(SEARCH("NA",#REF!)))</formula>
    </cfRule>
    <cfRule type="containsText" dxfId="8514" priority="109748" operator="containsText" text="Pending">
      <formula>NOT(ISERROR(SEARCH("Pending",#REF!)))</formula>
    </cfRule>
    <cfRule type="containsText" dxfId="8513" priority="109747" operator="containsText" text="Pending">
      <formula>NOT(ISERROR(SEARCH("Pending",#REF!)))</formula>
    </cfRule>
    <cfRule type="containsText" dxfId="8512" priority="135243" operator="containsText" text="Done">
      <formula>NOT(ISERROR(SEARCH("Done",#REF!)))</formula>
    </cfRule>
    <cfRule type="containsText" dxfId="8511" priority="109746" operator="containsText" text="Done">
      <formula>NOT(ISERROR(SEARCH("Done",#REF!)))</formula>
    </cfRule>
    <cfRule type="containsText" dxfId="8510" priority="109745" operator="containsText" text="Done">
      <formula>NOT(ISERROR(SEARCH("Done",#REF!)))</formula>
    </cfRule>
  </conditionalFormatting>
  <conditionalFormatting sqref="T9:T10">
    <cfRule type="containsText" dxfId="8509" priority="125253" operator="containsText" text="Done">
      <formula>NOT(ISERROR(SEARCH("Done",#REF!)))</formula>
    </cfRule>
  </conditionalFormatting>
  <conditionalFormatting sqref="T14">
    <cfRule type="containsText" dxfId="8508" priority="5366" operator="containsText" text="NA">
      <formula>NOT(ISERROR(SEARCH("NA",#REF!)))</formula>
    </cfRule>
    <cfRule type="containsText" dxfId="8507" priority="5363" operator="containsText" text="Pending">
      <formula>NOT(ISERROR(SEARCH("Pending",#REF!)))</formula>
    </cfRule>
    <cfRule type="containsText" dxfId="8506" priority="5365" operator="containsText" text="NA">
      <formula>NOT(ISERROR(SEARCH("NA",#REF!)))</formula>
    </cfRule>
    <cfRule type="containsText" dxfId="8505" priority="5364" operator="containsText" text="Pending">
      <formula>NOT(ISERROR(SEARCH("Pending",#REF!)))</formula>
    </cfRule>
    <cfRule type="containsText" dxfId="8504" priority="5362" operator="containsText" text="Done">
      <formula>NOT(ISERROR(SEARCH("Done",#REF!)))</formula>
    </cfRule>
    <cfRule type="containsText" dxfId="8503" priority="5367" operator="containsText" text="Done">
      <formula>NOT(ISERROR(SEARCH("Done",#REF!)))</formula>
    </cfRule>
    <cfRule type="containsText" dxfId="8502" priority="5361" operator="containsText" text="Done">
      <formula>NOT(ISERROR(SEARCH("Done",#REF!)))</formula>
    </cfRule>
  </conditionalFormatting>
  <conditionalFormatting sqref="T29">
    <cfRule type="containsText" dxfId="8501" priority="123503" operator="containsText" text="NA">
      <formula>NOT(ISERROR(SEARCH("NA",#REF!)))</formula>
    </cfRule>
    <cfRule type="containsText" dxfId="8500" priority="123498" operator="containsText" text="Pending">
      <formula>NOT(ISERROR(SEARCH("Pending",T29)))</formula>
    </cfRule>
    <cfRule type="containsText" dxfId="8499" priority="123500" operator="containsText" text="NA">
      <formula>NOT(ISERROR(SEARCH("NA",#REF!)))</formula>
    </cfRule>
    <cfRule type="containsText" dxfId="8498" priority="123499" operator="containsText" text="Done">
      <formula>NOT(ISERROR(SEARCH("Done",T29)))</formula>
    </cfRule>
    <cfRule type="containsText" dxfId="8497" priority="123497" operator="containsText" text="NA">
      <formula>NOT(ISERROR(SEARCH("NA",T29)))</formula>
    </cfRule>
    <cfRule type="containsText" dxfId="8496" priority="123501" operator="containsText" text="Done">
      <formula>NOT(ISERROR(SEARCH("Done",#REF!)))</formula>
    </cfRule>
    <cfRule type="containsText" dxfId="8495" priority="123502" operator="containsText" text="Pending">
      <formula>NOT(ISERROR(SEARCH("Pending",#REF!)))</formula>
    </cfRule>
  </conditionalFormatting>
  <conditionalFormatting sqref="T30">
    <cfRule type="containsText" dxfId="8494" priority="4719" operator="containsText" text="NA">
      <formula>NOT(ISERROR(SEARCH("NA",#REF!)))</formula>
    </cfRule>
    <cfRule type="containsText" dxfId="8493" priority="4720" operator="containsText" text="Done">
      <formula>NOT(ISERROR(SEARCH("Done",#REF!)))</formula>
    </cfRule>
    <cfRule type="containsText" dxfId="8492" priority="4721" operator="containsText" text="Pending">
      <formula>NOT(ISERROR(SEARCH("Pending",#REF!)))</formula>
    </cfRule>
    <cfRule type="containsText" dxfId="8491" priority="4713" operator="containsText" text="Pending">
      <formula>NOT(ISERROR(SEARCH("Pending",#REF!)))</formula>
    </cfRule>
    <cfRule type="containsText" dxfId="8490" priority="4712" operator="containsText" text="Done">
      <formula>NOT(ISERROR(SEARCH("Done",#REF!)))</formula>
    </cfRule>
    <cfRule type="containsText" dxfId="8489" priority="4711" operator="containsText" text="NA">
      <formula>NOT(ISERROR(SEARCH("NA",#REF!)))</formula>
    </cfRule>
    <cfRule type="containsText" dxfId="8488" priority="4722" operator="containsText" text="NA">
      <formula>NOT(ISERROR(SEARCH("NA",#REF!)))</formula>
    </cfRule>
    <cfRule type="containsText" dxfId="8487" priority="4723" operator="containsText" text="NA">
      <formula>NOT(ISERROR(SEARCH("NA",#REF!)))</formula>
    </cfRule>
    <cfRule type="containsText" dxfId="8486" priority="4724" operator="containsText" text="Done">
      <formula>NOT(ISERROR(SEARCH("Done",#REF!)))</formula>
    </cfRule>
    <cfRule type="containsText" dxfId="8485" priority="4725" operator="containsText" text="Pending">
      <formula>NOT(ISERROR(SEARCH("Pending",#REF!)))</formula>
    </cfRule>
    <cfRule type="containsText" dxfId="8484" priority="4726" operator="containsText" text="NA">
      <formula>NOT(ISERROR(SEARCH("NA",#REF!)))</formula>
    </cfRule>
    <cfRule type="containsText" dxfId="8483" priority="4715" operator="containsText" text="NA">
      <formula>NOT(ISERROR(SEARCH("NA",#REF!)))</formula>
    </cfRule>
    <cfRule type="containsText" dxfId="8482" priority="4716" operator="containsText" text="Done">
      <formula>NOT(ISERROR(SEARCH("Done",#REF!)))</formula>
    </cfRule>
    <cfRule type="containsText" dxfId="8481" priority="4727" operator="containsText" text="Done">
      <formula>NOT(ISERROR(SEARCH("Done",#REF!)))</formula>
    </cfRule>
    <cfRule type="containsText" dxfId="8480" priority="4728" operator="containsText" text="Pending">
      <formula>NOT(ISERROR(SEARCH("Pending",#REF!)))</formula>
    </cfRule>
    <cfRule type="containsText" dxfId="8479" priority="4729" operator="containsText" text="NA">
      <formula>NOT(ISERROR(SEARCH("NA",#REF!)))</formula>
    </cfRule>
    <cfRule type="containsText" dxfId="8478" priority="4717" operator="containsText" text="Pending">
      <formula>NOT(ISERROR(SEARCH("Pending",#REF!)))</formula>
    </cfRule>
    <cfRule type="containsText" dxfId="8477" priority="4718" operator="containsText" text="NA">
      <formula>NOT(ISERROR(SEARCH("NA",#REF!)))</formula>
    </cfRule>
    <cfRule type="containsText" dxfId="8476" priority="4714" operator="containsText" text="NA">
      <formula>NOT(ISERROR(SEARCH("NA",#REF!)))</formula>
    </cfRule>
  </conditionalFormatting>
  <conditionalFormatting sqref="T30:T32">
    <cfRule type="containsText" dxfId="8475" priority="109191" operator="containsText" text="Done">
      <formula>NOT(ISERROR(SEARCH("Done",#REF!)))</formula>
    </cfRule>
    <cfRule type="containsText" dxfId="8474" priority="109190" operator="containsText" text="NA">
      <formula>NOT(ISERROR(SEARCH("NA",#REF!)))</formula>
    </cfRule>
    <cfRule type="containsText" dxfId="8473" priority="109200" operator="containsText" text="NA">
      <formula>NOT(ISERROR(SEARCH("NA",#REF!)))</formula>
    </cfRule>
    <cfRule type="containsText" dxfId="8472" priority="109199" operator="containsText" text="Pending">
      <formula>NOT(ISERROR(SEARCH("Pending",#REF!)))</formula>
    </cfRule>
    <cfRule type="containsText" dxfId="8471" priority="109198" operator="containsText" text="Done">
      <formula>NOT(ISERROR(SEARCH("Done",#REF!)))</formula>
    </cfRule>
    <cfRule type="containsText" dxfId="8470" priority="109197" operator="containsText" text="NA">
      <formula>NOT(ISERROR(SEARCH("NA",#REF!)))</formula>
    </cfRule>
    <cfRule type="containsText" dxfId="8469" priority="109196" operator="containsText" text="NA">
      <formula>NOT(ISERROR(SEARCH("NA",#REF!)))</formula>
    </cfRule>
    <cfRule type="containsText" dxfId="8468" priority="109195" operator="containsText" text="Pending">
      <formula>NOT(ISERROR(SEARCH("Pending",#REF!)))</formula>
    </cfRule>
    <cfRule type="containsText" dxfId="8467" priority="109194" operator="containsText" text="Done">
      <formula>NOT(ISERROR(SEARCH("Done",#REF!)))</formula>
    </cfRule>
    <cfRule type="containsText" dxfId="8466" priority="109193" operator="containsText" text="NA">
      <formula>NOT(ISERROR(SEARCH("NA",#REF!)))</formula>
    </cfRule>
    <cfRule type="containsText" dxfId="8465" priority="109192" operator="containsText" text="Pending">
      <formula>NOT(ISERROR(SEARCH("Pending",#REF!)))</formula>
    </cfRule>
    <cfRule type="containsText" dxfId="8464" priority="3365" operator="containsText" text="NA">
      <formula>NOT(ISERROR(SEARCH("NA",#REF!)))</formula>
    </cfRule>
    <cfRule type="containsText" dxfId="8463" priority="3366" operator="containsText" text="Done">
      <formula>NOT(ISERROR(SEARCH("Done",#REF!)))</formula>
    </cfRule>
    <cfRule type="containsText" dxfId="8462" priority="3367" operator="containsText" text="Pending">
      <formula>NOT(ISERROR(SEARCH("Pending",#REF!)))</formula>
    </cfRule>
    <cfRule type="containsText" dxfId="8461" priority="3368" operator="containsText" text="NA">
      <formula>NOT(ISERROR(SEARCH("NA",#REF!)))</formula>
    </cfRule>
    <cfRule type="containsText" dxfId="8460" priority="3369" operator="containsText" text="NA">
      <formula>NOT(ISERROR(SEARCH("NA",#REF!)))</formula>
    </cfRule>
    <cfRule type="containsText" dxfId="8459" priority="3370" operator="containsText" text="Done">
      <formula>NOT(ISERROR(SEARCH("Done",#REF!)))</formula>
    </cfRule>
    <cfRule type="containsText" dxfId="8458" priority="3371" operator="containsText" text="Pending">
      <formula>NOT(ISERROR(SEARCH("Pending",#REF!)))</formula>
    </cfRule>
    <cfRule type="containsText" dxfId="8457" priority="3372" operator="containsText" text="NA">
      <formula>NOT(ISERROR(SEARCH("NA",#REF!)))</formula>
    </cfRule>
    <cfRule type="containsText" dxfId="8456" priority="3373" operator="containsText" text="NA">
      <formula>NOT(ISERROR(SEARCH("NA",#REF!)))</formula>
    </cfRule>
    <cfRule type="containsText" dxfId="8455" priority="3374" operator="containsText" text="Done">
      <formula>NOT(ISERROR(SEARCH("Done",#REF!)))</formula>
    </cfRule>
    <cfRule type="containsText" dxfId="8454" priority="3375" operator="containsText" text="Pending">
      <formula>NOT(ISERROR(SEARCH("Pending",#REF!)))</formula>
    </cfRule>
    <cfRule type="containsText" dxfId="8453" priority="3376" operator="containsText" text="NA">
      <formula>NOT(ISERROR(SEARCH("NA",#REF!)))</formula>
    </cfRule>
    <cfRule type="containsText" dxfId="8452" priority="3377" operator="containsText" text="Done">
      <formula>NOT(ISERROR(SEARCH("Done",#REF!)))</formula>
    </cfRule>
    <cfRule type="containsText" dxfId="8451" priority="3378" operator="containsText" text="Pending">
      <formula>NOT(ISERROR(SEARCH("Pending",#REF!)))</formula>
    </cfRule>
    <cfRule type="containsText" dxfId="8450" priority="3379" operator="containsText" text="NA">
      <formula>NOT(ISERROR(SEARCH("NA",#REF!)))</formula>
    </cfRule>
    <cfRule type="containsText" dxfId="8449" priority="109214" operator="containsText" text="NA">
      <formula>NOT(ISERROR(SEARCH("NA",#REF!)))</formula>
    </cfRule>
    <cfRule type="containsText" dxfId="8448" priority="109213" operator="containsText" text="Pending">
      <formula>NOT(ISERROR(SEARCH("Pending",#REF!)))</formula>
    </cfRule>
    <cfRule type="containsText" dxfId="8447" priority="109212" operator="containsText" text="Done">
      <formula>NOT(ISERROR(SEARCH("Done",#REF!)))</formula>
    </cfRule>
    <cfRule type="containsText" dxfId="8446" priority="109211" operator="containsText" text="NA">
      <formula>NOT(ISERROR(SEARCH("NA",#REF!)))</formula>
    </cfRule>
    <cfRule type="containsText" dxfId="8445" priority="109210" operator="containsText" text="NA">
      <formula>NOT(ISERROR(SEARCH("NA",#REF!)))</formula>
    </cfRule>
    <cfRule type="containsText" dxfId="8444" priority="109209" operator="containsText" text="Pending">
      <formula>NOT(ISERROR(SEARCH("Pending",#REF!)))</formula>
    </cfRule>
    <cfRule type="containsText" dxfId="8443" priority="109208" operator="containsText" text="Done">
      <formula>NOT(ISERROR(SEARCH("Done",#REF!)))</formula>
    </cfRule>
    <cfRule type="containsText" dxfId="8442" priority="109207" operator="containsText" text="NA">
      <formula>NOT(ISERROR(SEARCH("NA",#REF!)))</formula>
    </cfRule>
    <cfRule type="containsText" dxfId="8441" priority="109206" operator="containsText" text="Pending">
      <formula>NOT(ISERROR(SEARCH("Pending",#REF!)))</formula>
    </cfRule>
    <cfRule type="containsText" dxfId="8440" priority="109205" operator="containsText" text="Done">
      <formula>NOT(ISERROR(SEARCH("Done",#REF!)))</formula>
    </cfRule>
    <cfRule type="containsText" dxfId="8439" priority="109204" operator="containsText" text="NA">
      <formula>NOT(ISERROR(SEARCH("NA",#REF!)))</formula>
    </cfRule>
    <cfRule type="containsText" dxfId="8438" priority="109203" operator="containsText" text="Done">
      <formula>NOT(ISERROR(SEARCH("Done",T30)))</formula>
    </cfRule>
    <cfRule type="containsText" dxfId="8437" priority="109202" operator="containsText" text="Pending">
      <formula>NOT(ISERROR(SEARCH("Pending",T30)))</formula>
    </cfRule>
    <cfRule type="containsText" dxfId="8436" priority="109201" operator="containsText" text="NA">
      <formula>NOT(ISERROR(SEARCH("NA",T30)))</formula>
    </cfRule>
  </conditionalFormatting>
  <conditionalFormatting sqref="T36:T37 U37">
    <cfRule type="containsText" dxfId="8435" priority="138926" operator="containsText" text="NA">
      <formula>NOT(ISERROR(SEARCH("NA",#REF!)))</formula>
    </cfRule>
    <cfRule type="containsText" dxfId="8434" priority="137240" operator="containsText" text="Done">
      <formula>NOT(ISERROR(SEARCH("Done",#REF!)))</formula>
    </cfRule>
    <cfRule type="containsText" dxfId="8433" priority="138083" operator="containsText" text="Pending">
      <formula>NOT(ISERROR(SEARCH("Pending",#REF!)))</formula>
    </cfRule>
  </conditionalFormatting>
  <conditionalFormatting sqref="T48">
    <cfRule type="containsText" dxfId="8432" priority="109434" operator="containsText" text="NA">
      <formula>NOT(ISERROR(SEARCH("NA",#REF!)))</formula>
    </cfRule>
    <cfRule type="containsText" dxfId="8431" priority="109425" operator="containsText" text="NA">
      <formula>NOT(ISERROR(SEARCH("NA",T48)))</formula>
    </cfRule>
    <cfRule type="containsText" dxfId="8430" priority="109426" operator="containsText" text="Pending">
      <formula>NOT(ISERROR(SEARCH("Pending",T48)))</formula>
    </cfRule>
    <cfRule type="containsText" dxfId="8429" priority="109424" operator="containsText" text="NA">
      <formula>NOT(ISERROR(SEARCH("NA",#REF!)))</formula>
    </cfRule>
    <cfRule type="containsText" dxfId="8428" priority="109429" operator="containsText" text="Pending">
      <formula>NOT(ISERROR(SEARCH("Pending",#REF!)))</formula>
    </cfRule>
    <cfRule type="containsText" dxfId="8427" priority="109428" operator="containsText" text="Done">
      <formula>NOT(ISERROR(SEARCH("Done",#REF!)))</formula>
    </cfRule>
    <cfRule type="containsText" dxfId="8426" priority="109427" operator="containsText" text="Done">
      <formula>NOT(ISERROR(SEARCH("Done",T48)))</formula>
    </cfRule>
    <cfRule type="containsText" dxfId="8425" priority="109431" operator="containsText" text="Pending">
      <formula>NOT(ISERROR(SEARCH("Pending",#REF!)))</formula>
    </cfRule>
    <cfRule type="containsText" dxfId="8424" priority="109423" operator="containsText" text="Pending">
      <formula>NOT(ISERROR(SEARCH("Pending",#REF!)))</formula>
    </cfRule>
    <cfRule type="containsText" dxfId="8423" priority="109430" operator="containsText" text="Pending">
      <formula>NOT(ISERROR(SEARCH("Pending",#REF!)))</formula>
    </cfRule>
    <cfRule type="containsText" dxfId="8422" priority="109432" operator="containsText" text="Pending">
      <formula>NOT(ISERROR(SEARCH("Pending",#REF!)))</formula>
    </cfRule>
    <cfRule type="containsText" dxfId="8421" priority="109433" operator="containsText" text="NA">
      <formula>NOT(ISERROR(SEARCH("NA",#REF!)))</formula>
    </cfRule>
    <cfRule type="containsText" dxfId="8420" priority="109435" operator="containsText" text="NA">
      <formula>NOT(ISERROR(SEARCH("NA",#REF!)))</formula>
    </cfRule>
    <cfRule type="containsText" dxfId="8419" priority="109436" operator="containsText" text="NA">
      <formula>NOT(ISERROR(SEARCH("NA",#REF!)))</formula>
    </cfRule>
  </conditionalFormatting>
  <conditionalFormatting sqref="T76">
    <cfRule type="containsText" dxfId="8418" priority="958" operator="containsText" text="Pending">
      <formula>NOT(ISERROR(SEARCH("Pending",Q154)))</formula>
    </cfRule>
    <cfRule type="containsText" dxfId="8417" priority="957" operator="containsText" text="NA">
      <formula>NOT(ISERROR(SEARCH("NA",Q154)))</formula>
    </cfRule>
    <cfRule type="containsText" dxfId="8416" priority="959" operator="containsText" text="Done">
      <formula>NOT(ISERROR(SEARCH("Done",Q154)))</formula>
    </cfRule>
  </conditionalFormatting>
  <conditionalFormatting sqref="T76:T83">
    <cfRule type="containsText" dxfId="8415" priority="119283" operator="containsText" text="NA">
      <formula>NOT(ISERROR(SEARCH("NA",#REF!)))</formula>
    </cfRule>
    <cfRule type="containsText" dxfId="8414" priority="119271" operator="containsText" text="Pending">
      <formula>NOT(ISERROR(SEARCH("Pending",#REF!)))</formula>
    </cfRule>
    <cfRule type="containsText" dxfId="8413" priority="119284" operator="containsText" text="NA">
      <formula>NOT(ISERROR(SEARCH("NA",#REF!)))</formula>
    </cfRule>
    <cfRule type="containsText" dxfId="8412" priority="119272" operator="containsText" text="Pending">
      <formula>NOT(ISERROR(SEARCH("Pending",#REF!)))</formula>
    </cfRule>
  </conditionalFormatting>
  <conditionalFormatting sqref="T78:T81">
    <cfRule type="containsText" dxfId="8411" priority="769" operator="containsText" text="NA">
      <formula>NOT(ISERROR(SEARCH("NA",Q156)))</formula>
    </cfRule>
    <cfRule type="containsText" dxfId="8410" priority="771" operator="containsText" text="Done">
      <formula>NOT(ISERROR(SEARCH("Done",Q156)))</formula>
    </cfRule>
    <cfRule type="containsText" dxfId="8409" priority="770" operator="containsText" text="Pending">
      <formula>NOT(ISERROR(SEARCH("Pending",Q156)))</formula>
    </cfRule>
  </conditionalFormatting>
  <conditionalFormatting sqref="T78:T83">
    <cfRule type="containsText" dxfId="8408" priority="109364" operator="containsText" text="Pending">
      <formula>NOT(ISERROR(SEARCH("Pending",#REF!)))</formula>
    </cfRule>
    <cfRule type="containsText" dxfId="8407" priority="109365" operator="containsText" text="Pending">
      <formula>NOT(ISERROR(SEARCH("Pending",#REF!)))</formula>
    </cfRule>
    <cfRule type="containsText" dxfId="8406" priority="109369" operator="containsText" text="NA">
      <formula>NOT(ISERROR(SEARCH("NA",#REF!)))</formula>
    </cfRule>
    <cfRule type="containsText" dxfId="8405" priority="109368" operator="containsText" text="NA">
      <formula>NOT(ISERROR(SEARCH("NA",#REF!)))</formula>
    </cfRule>
  </conditionalFormatting>
  <conditionalFormatting sqref="T82">
    <cfRule type="containsText" dxfId="8404" priority="881" operator="containsText" text="Pending">
      <formula>NOT(ISERROR(SEARCH("Pending",Q160)))</formula>
    </cfRule>
    <cfRule type="containsText" dxfId="8403" priority="882" operator="containsText" text="Done">
      <formula>NOT(ISERROR(SEARCH("Done",Q160)))</formula>
    </cfRule>
    <cfRule type="containsText" dxfId="8402" priority="883" operator="containsText" text="NA">
      <formula>NOT(ISERROR(SEARCH("NA",Q160)))</formula>
    </cfRule>
    <cfRule type="containsText" dxfId="8401" priority="887" operator="containsText" text="Pending">
      <formula>NOT(ISERROR(SEARCH("Pending",Q160)))</formula>
    </cfRule>
    <cfRule type="containsText" dxfId="8400" priority="888" operator="containsText" text="Done">
      <formula>NOT(ISERROR(SEARCH("Done",Q160)))</formula>
    </cfRule>
    <cfRule type="containsText" dxfId="8399" priority="889" operator="containsText" text="Done">
      <formula>NOT(ISERROR(SEARCH("Done",#REF!)))</formula>
    </cfRule>
    <cfRule type="containsText" dxfId="8398" priority="905" operator="containsText" text="Pending">
      <formula>NOT(ISERROR(SEARCH("Pending",#REF!)))</formula>
    </cfRule>
    <cfRule type="containsText" dxfId="8397" priority="893" operator="containsText" text="NA">
      <formula>NOT(ISERROR(SEARCH("NA",#REF!)))</formula>
    </cfRule>
    <cfRule type="containsText" dxfId="8396" priority="891" operator="containsText" text="Pending">
      <formula>NOT(ISERROR(SEARCH("Pending",#REF!)))</formula>
    </cfRule>
    <cfRule type="containsText" dxfId="8395" priority="892" operator="containsText" text="NA">
      <formula>NOT(ISERROR(SEARCH("NA",#REF!)))</formula>
    </cfRule>
    <cfRule type="containsText" dxfId="8394" priority="897" operator="containsText" text="Pending">
      <formula>NOT(ISERROR(SEARCH("Pending",#REF!)))</formula>
    </cfRule>
    <cfRule type="containsText" dxfId="8393" priority="894" operator="containsText" text="Done">
      <formula>NOT(ISERROR(SEARCH("Done",#REF!)))</formula>
    </cfRule>
    <cfRule type="containsText" dxfId="8392" priority="885" operator="containsText" text="Done">
      <formula>NOT(ISERROR(SEARCH("Done",Q160)))</formula>
    </cfRule>
    <cfRule type="containsText" dxfId="8391" priority="906" operator="containsText" text="NA">
      <formula>NOT(ISERROR(SEARCH("NA",#REF!)))</formula>
    </cfRule>
    <cfRule type="containsText" dxfId="8390" priority="900" operator="containsText" text="Pending">
      <formula>NOT(ISERROR(SEARCH("Pending",#REF!)))</formula>
    </cfRule>
    <cfRule type="containsText" dxfId="8389" priority="896" operator="containsText" text="Pending">
      <formula>NOT(ISERROR(SEARCH("Pending",#REF!)))</formula>
    </cfRule>
    <cfRule type="containsText" dxfId="8388" priority="884" operator="containsText" text="Pending">
      <formula>NOT(ISERROR(SEARCH("Pending",Q160)))</formula>
    </cfRule>
    <cfRule type="containsText" dxfId="8387" priority="899" operator="containsText" text="NA">
      <formula>NOT(ISERROR(SEARCH("NA",#REF!)))</formula>
    </cfRule>
    <cfRule type="containsText" dxfId="8386" priority="901" operator="containsText" text="Pending">
      <formula>NOT(ISERROR(SEARCH("Pending",#REF!)))</formula>
    </cfRule>
    <cfRule type="containsText" dxfId="8385" priority="902" operator="containsText" text="NA">
      <formula>NOT(ISERROR(SEARCH("NA",#REF!)))</formula>
    </cfRule>
    <cfRule type="containsText" dxfId="8384" priority="904" operator="containsText" text="Pending">
      <formula>NOT(ISERROR(SEARCH("Pending",#REF!)))</formula>
    </cfRule>
    <cfRule type="containsText" dxfId="8383" priority="903" operator="containsText" text="NA">
      <formula>NOT(ISERROR(SEARCH("NA",#REF!)))</formula>
    </cfRule>
    <cfRule type="containsText" dxfId="8382" priority="895" operator="containsText" text="Done">
      <formula>NOT(ISERROR(SEARCH("Done",#REF!)))</formula>
    </cfRule>
    <cfRule type="containsText" dxfId="8381" priority="907" operator="containsText" text="NA">
      <formula>NOT(ISERROR(SEARCH("NA",#REF!)))</formula>
    </cfRule>
    <cfRule type="containsText" dxfId="8380" priority="886" operator="containsText" text="NA">
      <formula>NOT(ISERROR(SEARCH("NA",Q160)))</formula>
    </cfRule>
    <cfRule type="containsText" dxfId="8379" priority="880" operator="containsText" text="NA">
      <formula>NOT(ISERROR(SEARCH("NA",Q160)))</formula>
    </cfRule>
    <cfRule type="containsText" dxfId="8378" priority="890" operator="containsText" text="Pending">
      <formula>NOT(ISERROR(SEARCH("Pending",#REF!)))</formula>
    </cfRule>
    <cfRule type="containsText" dxfId="8377" priority="898" operator="containsText" text="NA">
      <formula>NOT(ISERROR(SEARCH("NA",#REF!)))</formula>
    </cfRule>
  </conditionalFormatting>
  <conditionalFormatting sqref="T83">
    <cfRule type="containsText" dxfId="8376" priority="560" operator="containsText" text="Done">
      <formula>NOT(ISERROR(SEARCH("Done",Q161)))</formula>
    </cfRule>
    <cfRule type="containsText" dxfId="8375" priority="558" operator="containsText" text="NA">
      <formula>NOT(ISERROR(SEARCH("NA",Q161)))</formula>
    </cfRule>
    <cfRule type="containsText" dxfId="8374" priority="559" operator="containsText" text="Pending">
      <formula>NOT(ISERROR(SEARCH("Pending",Q161)))</formula>
    </cfRule>
  </conditionalFormatting>
  <conditionalFormatting sqref="T86:T87">
    <cfRule type="containsText" dxfId="8373" priority="1206" operator="containsText" text="Done">
      <formula>NOT(ISERROR(SEARCH("Done",T86)))</formula>
    </cfRule>
    <cfRule type="containsText" dxfId="8372" priority="1207" operator="containsText" text="Done">
      <formula>NOT(ISERROR(SEARCH("Done",#REF!)))</formula>
    </cfRule>
    <cfRule type="containsText" dxfId="8371" priority="1208" operator="containsText" text="Pending">
      <formula>NOT(ISERROR(SEARCH("Pending",#REF!)))</formula>
    </cfRule>
    <cfRule type="containsText" dxfId="8370" priority="1209" operator="containsText" text="NA">
      <formula>NOT(ISERROR(SEARCH("NA",#REF!)))</formula>
    </cfRule>
    <cfRule type="containsText" dxfId="8369" priority="1210" operator="containsText" text="Done">
      <formula>NOT(ISERROR(SEARCH("Done",#REF!)))</formula>
    </cfRule>
    <cfRule type="containsText" dxfId="8368" priority="1212" operator="containsText" text="NA">
      <formula>NOT(ISERROR(SEARCH("NA",#REF!)))</formula>
    </cfRule>
    <cfRule type="containsText" dxfId="8367" priority="1202" operator="containsText" text="Done">
      <formula>NOT(ISERROR(SEARCH("Done",#REF!)))</formula>
    </cfRule>
    <cfRule type="containsText" dxfId="8366" priority="1211" operator="containsText" text="Pending">
      <formula>NOT(ISERROR(SEARCH("Pending",#REF!)))</formula>
    </cfRule>
    <cfRule type="containsText" dxfId="8365" priority="1200" operator="containsText" text="NA">
      <formula>NOT(ISERROR(SEARCH("NA",T86)))</formula>
    </cfRule>
    <cfRule type="containsText" dxfId="8364" priority="1201" operator="containsText" text="Done">
      <formula>NOT(ISERROR(SEARCH("Done",T86)))</formula>
    </cfRule>
    <cfRule type="containsText" dxfId="8363" priority="1203" operator="containsText" text="Pending">
      <formula>NOT(ISERROR(SEARCH("Pending",#REF!)))</formula>
    </cfRule>
    <cfRule type="containsText" dxfId="8362" priority="1204" operator="containsText" text="NA">
      <formula>NOT(ISERROR(SEARCH("NA",#REF!)))</formula>
    </cfRule>
    <cfRule type="containsText" dxfId="8361" priority="1205" operator="containsText" text="NA">
      <formula>NOT(ISERROR(SEARCH("NA",T86)))</formula>
    </cfRule>
  </conditionalFormatting>
  <conditionalFormatting sqref="T87:T88">
    <cfRule type="containsText" dxfId="8360" priority="1133" operator="containsText" text="Pending">
      <formula>NOT(ISERROR(SEARCH("Pending",Q165)))</formula>
    </cfRule>
    <cfRule type="containsText" dxfId="8359" priority="1132" operator="containsText" text="NA">
      <formula>NOT(ISERROR(SEARCH("NA",Q165)))</formula>
    </cfRule>
    <cfRule type="containsText" dxfId="8358" priority="1134" operator="containsText" text="Done">
      <formula>NOT(ISERROR(SEARCH("Done",Q165)))</formula>
    </cfRule>
  </conditionalFormatting>
  <conditionalFormatting sqref="T88:T89">
    <cfRule type="containsText" dxfId="8357" priority="77352" operator="containsText" text="NA">
      <formula>NOT(ISERROR(SEARCH("NA",T88)))</formula>
    </cfRule>
    <cfRule type="containsText" dxfId="8356" priority="77353" operator="containsText" text="Done">
      <formula>NOT(ISERROR(SEARCH("Done",T88)))</formula>
    </cfRule>
  </conditionalFormatting>
  <conditionalFormatting sqref="T89">
    <cfRule type="containsText" dxfId="8355" priority="4156" operator="containsText" text="Done">
      <formula>NOT(ISERROR(SEARCH("Done",#REF!)))</formula>
    </cfRule>
    <cfRule type="containsText" dxfId="8354" priority="4155" operator="containsText" text="Done">
      <formula>NOT(ISERROR(SEARCH("Done",T89)))</formula>
    </cfRule>
    <cfRule type="containsText" dxfId="8353" priority="4157" operator="containsText" text="Pending">
      <formula>NOT(ISERROR(SEARCH("Pending",#REF!)))</formula>
    </cfRule>
    <cfRule type="containsText" dxfId="8352" priority="4161" operator="containsText" text="Done">
      <formula>NOT(ISERROR(SEARCH("Done",#REF!)))</formula>
    </cfRule>
    <cfRule type="containsText" dxfId="8351" priority="4158" operator="containsText" text="NA">
      <formula>NOT(ISERROR(SEARCH("NA",#REF!)))</formula>
    </cfRule>
    <cfRule type="containsText" dxfId="8350" priority="4154" operator="containsText" text="NA">
      <formula>NOT(ISERROR(SEARCH("NA",T89)))</formula>
    </cfRule>
    <cfRule type="containsText" dxfId="8349" priority="4159" operator="containsText" text="NA">
      <formula>NOT(ISERROR(SEARCH("NA",T89)))</formula>
    </cfRule>
    <cfRule type="containsText" dxfId="8348" priority="4160" operator="containsText" text="Done">
      <formula>NOT(ISERROR(SEARCH("Done",T89)))</formula>
    </cfRule>
    <cfRule type="containsText" dxfId="8347" priority="4162" operator="containsText" text="Pending">
      <formula>NOT(ISERROR(SEARCH("Pending",#REF!)))</formula>
    </cfRule>
    <cfRule type="containsText" dxfId="8346" priority="4163" operator="containsText" text="NA">
      <formula>NOT(ISERROR(SEARCH("NA",#REF!)))</formula>
    </cfRule>
  </conditionalFormatting>
  <conditionalFormatting sqref="T7:U11 R7:S7">
    <cfRule type="containsText" dxfId="8345" priority="135447" operator="containsText" text="NA">
      <formula>NOT(ISERROR(SEARCH("NA",#REF!)))</formula>
    </cfRule>
  </conditionalFormatting>
  <conditionalFormatting sqref="T8:U8">
    <cfRule type="containsText" dxfId="8344" priority="125288" operator="containsText" text="NA">
      <formula>NOT(ISERROR(SEARCH("NA",#REF!)))</formula>
    </cfRule>
    <cfRule type="containsText" dxfId="8343" priority="135428" operator="containsText" text="NA">
      <formula>NOT(ISERROR(SEARCH("NA",#REF!)))</formula>
    </cfRule>
    <cfRule type="containsText" dxfId="8342" priority="5374" operator="containsText" text="Done">
      <formula>NOT(ISERROR(SEARCH("Done",#REF!)))</formula>
    </cfRule>
    <cfRule type="containsText" dxfId="8341" priority="125285" operator="containsText" text="Pending">
      <formula>NOT(ISERROR(SEARCH("Pending",#REF!)))</formula>
    </cfRule>
    <cfRule type="containsText" dxfId="8340" priority="125286" operator="containsText" text="NA">
      <formula>NOT(ISERROR(SEARCH("NA",#REF!)))</formula>
    </cfRule>
    <cfRule type="containsText" dxfId="8339" priority="125287" operator="containsText" text="NA">
      <formula>NOT(ISERROR(SEARCH("NA",#REF!)))</formula>
    </cfRule>
    <cfRule type="containsText" dxfId="8338" priority="135327" operator="containsText" text="Pending">
      <formula>NOT(ISERROR(SEARCH("Pending",#REF!)))</formula>
    </cfRule>
    <cfRule type="containsText" dxfId="8337" priority="135226" operator="containsText" text="Done">
      <formula>NOT(ISERROR(SEARCH("Done",#REF!)))</formula>
    </cfRule>
  </conditionalFormatting>
  <conditionalFormatting sqref="T8:U10">
    <cfRule type="containsText" dxfId="8336" priority="125254" operator="containsText" text="Done">
      <formula>NOT(ISERROR(SEARCH("Done",#REF!)))</formula>
    </cfRule>
  </conditionalFormatting>
  <conditionalFormatting sqref="T8:U12">
    <cfRule type="containsText" dxfId="8335" priority="125283" operator="containsText" text="Pending">
      <formula>NOT(ISERROR(SEARCH("Pending",#REF!)))</formula>
    </cfRule>
  </conditionalFormatting>
  <conditionalFormatting sqref="T9:U9">
    <cfRule type="containsText" dxfId="8334" priority="5343" operator="containsText" text="Pending">
      <formula>NOT(ISERROR(SEARCH("Pending",#REF!)))</formula>
    </cfRule>
    <cfRule type="containsText" dxfId="8333" priority="5344" operator="containsText" text="NA">
      <formula>NOT(ISERROR(SEARCH("NA",#REF!)))</formula>
    </cfRule>
    <cfRule type="containsText" dxfId="8332" priority="5345" operator="containsText" text="Done">
      <formula>NOT(ISERROR(SEARCH("Done",#REF!)))</formula>
    </cfRule>
    <cfRule type="containsText" dxfId="8331" priority="125270" operator="containsText" text="NA">
      <formula>NOT(ISERROR(SEARCH("NA",#REF!)))</formula>
    </cfRule>
    <cfRule type="containsText" dxfId="8330" priority="125267" operator="containsText" text="Pending">
      <formula>NOT(ISERROR(SEARCH("Pending",#REF!)))</formula>
    </cfRule>
    <cfRule type="containsText" dxfId="8329" priority="125268" operator="containsText" text="NA">
      <formula>NOT(ISERROR(SEARCH("NA",#REF!)))</formula>
    </cfRule>
    <cfRule type="containsText" dxfId="8328" priority="125269" operator="containsText" text="NA">
      <formula>NOT(ISERROR(SEARCH("NA",#REF!)))</formula>
    </cfRule>
  </conditionalFormatting>
  <conditionalFormatting sqref="T9:U10">
    <cfRule type="containsText" dxfId="8327" priority="125256" operator="containsText" text="Pending">
      <formula>NOT(ISERROR(SEARCH("Pending",#REF!)))</formula>
    </cfRule>
    <cfRule type="containsText" dxfId="8326" priority="125257" operator="containsText" text="Pending">
      <formula>NOT(ISERROR(SEARCH("Pending",#REF!)))</formula>
    </cfRule>
  </conditionalFormatting>
  <conditionalFormatting sqref="T10:U10">
    <cfRule type="containsText" dxfId="8325" priority="125260" operator="containsText" text="NA">
      <formula>NOT(ISERROR(SEARCH("NA",#REF!)))</formula>
    </cfRule>
    <cfRule type="containsText" dxfId="8324" priority="125261" operator="containsText" text="NA">
      <formula>NOT(ISERROR(SEARCH("NA",#REF!)))</formula>
    </cfRule>
    <cfRule type="containsText" dxfId="8323" priority="5373" operator="containsText" text="Done">
      <formula>NOT(ISERROR(SEARCH("Done",#REF!)))</formula>
    </cfRule>
    <cfRule type="containsText" dxfId="8322" priority="125258" operator="containsText" text="Pending">
      <formula>NOT(ISERROR(SEARCH("Pending",#REF!)))</formula>
    </cfRule>
    <cfRule type="containsText" dxfId="8321" priority="125259" operator="containsText" text="NA">
      <formula>NOT(ISERROR(SEARCH("NA",#REF!)))</formula>
    </cfRule>
  </conditionalFormatting>
  <conditionalFormatting sqref="T11:U11">
    <cfRule type="containsText" dxfId="8320" priority="5372" operator="containsText" text="Done">
      <formula>NOT(ISERROR(SEARCH("Done",#REF!)))</formula>
    </cfRule>
  </conditionalFormatting>
  <conditionalFormatting sqref="T12:U12">
    <cfRule type="containsText" dxfId="8319" priority="5350" operator="containsText" text="NA">
      <formula>NOT(ISERROR(SEARCH("NA",#REF!)))</formula>
    </cfRule>
    <cfRule type="containsText" dxfId="8318" priority="5351" operator="containsText" text="Done">
      <formula>NOT(ISERROR(SEARCH("Done",#REF!)))</formula>
    </cfRule>
  </conditionalFormatting>
  <conditionalFormatting sqref="T12:U13">
    <cfRule type="containsText" dxfId="8317" priority="5346" operator="containsText" text="Pending">
      <formula>NOT(ISERROR(SEARCH("Pending",#REF!)))</formula>
    </cfRule>
  </conditionalFormatting>
  <conditionalFormatting sqref="T13:U13">
    <cfRule type="containsText" dxfId="8316" priority="5347" operator="containsText" text="NA">
      <formula>NOT(ISERROR(SEARCH("NA",#REF!)))</formula>
    </cfRule>
    <cfRule type="containsText" dxfId="8315" priority="5348" operator="containsText" text="Done">
      <formula>NOT(ISERROR(SEARCH("Done",#REF!)))</formula>
    </cfRule>
  </conditionalFormatting>
  <conditionalFormatting sqref="T13:U15 Y13:Y15 AB13:AB15 AE13:AG15 P13:P15 W13:W15">
    <cfRule type="containsText" dxfId="8314" priority="36597" operator="containsText" text="Pending">
      <formula>NOT(ISERROR(SEARCH("Pending",#REF!)))</formula>
    </cfRule>
  </conditionalFormatting>
  <conditionalFormatting sqref="T14:U14">
    <cfRule type="containsText" dxfId="8313" priority="5359" operator="containsText" text="Pending">
      <formula>NOT(ISERROR(SEARCH("Pending",#REF!)))</formula>
    </cfRule>
    <cfRule type="containsText" dxfId="8312" priority="5360" operator="containsText" text="NA">
      <formula>NOT(ISERROR(SEARCH("NA",#REF!)))</formula>
    </cfRule>
    <cfRule type="containsText" dxfId="8311" priority="5368" operator="containsText" text="Done">
      <formula>NOT(ISERROR(SEARCH("Done",#REF!)))</formula>
    </cfRule>
    <cfRule type="containsText" dxfId="8310" priority="5369" operator="containsText" text="Pending">
      <formula>NOT(ISERROR(SEARCH("Pending",#REF!)))</formula>
    </cfRule>
    <cfRule type="containsText" dxfId="8309" priority="5371" operator="containsText" text="Done">
      <formula>NOT(ISERROR(SEARCH("Done",#REF!)))</formula>
    </cfRule>
    <cfRule type="containsText" dxfId="8308" priority="5370" operator="containsText" text="NA">
      <formula>NOT(ISERROR(SEARCH("NA",#REF!)))</formula>
    </cfRule>
  </conditionalFormatting>
  <conditionalFormatting sqref="T18:U18">
    <cfRule type="containsText" dxfId="8307" priority="135747" operator="containsText" text="Pending">
      <formula>NOT(ISERROR(SEARCH("Pending",#REF!)))</formula>
    </cfRule>
    <cfRule type="containsText" dxfId="8306" priority="135529" operator="containsText" text="Done">
      <formula>NOT(ISERROR(SEARCH("Done",#REF!)))</formula>
    </cfRule>
    <cfRule type="containsText" dxfId="8305" priority="135965" operator="containsText" text="NA">
      <formula>NOT(ISERROR(SEARCH("NA",#REF!)))</formula>
    </cfRule>
  </conditionalFormatting>
  <conditionalFormatting sqref="T21:U21">
    <cfRule type="containsText" dxfId="8304" priority="135752" operator="containsText" text="Pending">
      <formula>NOT(ISERROR(SEARCH("Pending",#REF!)))</formula>
    </cfRule>
    <cfRule type="containsText" dxfId="8303" priority="135970" operator="containsText" text="NA">
      <formula>NOT(ISERROR(SEARCH("NA",#REF!)))</formula>
    </cfRule>
    <cfRule type="containsText" dxfId="8302" priority="135968" operator="containsText" text="NA">
      <formula>NOT(ISERROR(SEARCH("NA",#REF!)))</formula>
    </cfRule>
    <cfRule type="containsText" dxfId="8301" priority="135969" operator="containsText" text="NA">
      <formula>NOT(ISERROR(SEARCH("NA",#REF!)))</formula>
    </cfRule>
    <cfRule type="containsText" dxfId="8300" priority="135751" operator="containsText" text="Pending">
      <formula>NOT(ISERROR(SEARCH("Pending",#REF!)))</formula>
    </cfRule>
  </conditionalFormatting>
  <conditionalFormatting sqref="T21:U22">
    <cfRule type="containsText" dxfId="8299" priority="135750" operator="containsText" text="Pending">
      <formula>NOT(ISERROR(SEARCH("Pending",#REF!)))</formula>
    </cfRule>
  </conditionalFormatting>
  <conditionalFormatting sqref="T22:U22">
    <cfRule type="containsText" dxfId="8298" priority="135784" operator="containsText" text="Pending">
      <formula>NOT(ISERROR(SEARCH("Pending",#REF!)))</formula>
    </cfRule>
    <cfRule type="containsText" dxfId="8297" priority="136001" operator="containsText" text="NA">
      <formula>NOT(ISERROR(SEARCH("NA",#REF!)))</formula>
    </cfRule>
    <cfRule type="containsText" dxfId="8296" priority="136002" operator="containsText" text="NA">
      <formula>NOT(ISERROR(SEARCH("NA",#REF!)))</formula>
    </cfRule>
    <cfRule type="containsText" dxfId="8295" priority="136003" operator="containsText" text="NA">
      <formula>NOT(ISERROR(SEARCH("NA",#REF!)))</formula>
    </cfRule>
    <cfRule type="containsText" dxfId="8294" priority="135785" operator="containsText" text="Pending">
      <formula>NOT(ISERROR(SEARCH("Pending",#REF!)))</formula>
    </cfRule>
  </conditionalFormatting>
  <conditionalFormatting sqref="T30:U32">
    <cfRule type="containsText" dxfId="8293" priority="5245" operator="containsText" text="NA">
      <formula>NOT(ISERROR(SEARCH("NA",#REF!)))</formula>
    </cfRule>
    <cfRule type="containsText" dxfId="8292" priority="5241" operator="containsText" text="NA">
      <formula>NOT(ISERROR(SEARCH("NA",#REF!)))</formula>
    </cfRule>
    <cfRule type="containsText" dxfId="8291" priority="5247" operator="containsText" text="Pending">
      <formula>NOT(ISERROR(SEARCH("Pending",#REF!)))</formula>
    </cfRule>
    <cfRule type="containsText" dxfId="8290" priority="77253" operator="containsText" text="NA">
      <formula>NOT(ISERROR(SEARCH("NA",#REF!)))</formula>
    </cfRule>
    <cfRule type="containsText" dxfId="8289" priority="77252" operator="containsText" text="Pending">
      <formula>NOT(ISERROR(SEARCH("Pending",#REF!)))</formula>
    </cfRule>
    <cfRule type="containsText" dxfId="8288" priority="77251" operator="containsText" text="Done">
      <formula>NOT(ISERROR(SEARCH("Done",#REF!)))</formula>
    </cfRule>
    <cfRule type="containsText" dxfId="8287" priority="5258" operator="containsText" text="NA">
      <formula>NOT(ISERROR(SEARCH("NA",#REF!)))</formula>
    </cfRule>
    <cfRule type="containsText" dxfId="8286" priority="5246" operator="containsText" text="Done">
      <formula>NOT(ISERROR(SEARCH("Done",#REF!)))</formula>
    </cfRule>
    <cfRule type="containsText" dxfId="8285" priority="77249" operator="containsText" text="NA">
      <formula>NOT(ISERROR(SEARCH("NA",#REF!)))</formula>
    </cfRule>
    <cfRule type="containsText" dxfId="8284" priority="77248" operator="containsText" text="Pending">
      <formula>NOT(ISERROR(SEARCH("Pending",#REF!)))</formula>
    </cfRule>
    <cfRule type="containsText" dxfId="8283" priority="77247" operator="containsText" text="Done">
      <formula>NOT(ISERROR(SEARCH("Done",#REF!)))</formula>
    </cfRule>
    <cfRule type="containsText" dxfId="8282" priority="5248" operator="containsText" text="NA">
      <formula>NOT(ISERROR(SEARCH("NA",#REF!)))</formula>
    </cfRule>
    <cfRule type="containsText" dxfId="8281" priority="5244" operator="containsText" text="Pending">
      <formula>NOT(ISERROR(SEARCH("Pending",#REF!)))</formula>
    </cfRule>
    <cfRule type="containsText" dxfId="8280" priority="77246" operator="containsText" text="NA">
      <formula>NOT(ISERROR(SEARCH("NA",#REF!)))</formula>
    </cfRule>
    <cfRule type="containsText" dxfId="8279" priority="77245" operator="containsText" text="Pending">
      <formula>NOT(ISERROR(SEARCH("Pending",#REF!)))</formula>
    </cfRule>
    <cfRule type="containsText" dxfId="8278" priority="77244" operator="containsText" text="Done">
      <formula>NOT(ISERROR(SEARCH("Done",#REF!)))</formula>
    </cfRule>
    <cfRule type="containsText" dxfId="8277" priority="77243" operator="containsText" text="NA">
      <formula>NOT(ISERROR(SEARCH("NA",#REF!)))</formula>
    </cfRule>
    <cfRule type="containsText" dxfId="8276" priority="77242" operator="containsText" text="NA">
      <formula>NOT(ISERROR(SEARCH("NA",#REF!)))</formula>
    </cfRule>
    <cfRule type="containsText" dxfId="8275" priority="77241" operator="containsText" text="Pending">
      <formula>NOT(ISERROR(SEARCH("Pending",#REF!)))</formula>
    </cfRule>
    <cfRule type="containsText" dxfId="8274" priority="77240" operator="containsText" text="Done">
      <formula>NOT(ISERROR(SEARCH("Done",#REF!)))</formula>
    </cfRule>
    <cfRule type="containsText" dxfId="8273" priority="77239" operator="containsText" text="NA">
      <formula>NOT(ISERROR(SEARCH("NA",#REF!)))</formula>
    </cfRule>
    <cfRule type="containsText" dxfId="8272" priority="5249" operator="containsText" text="NA">
      <formula>NOT(ISERROR(SEARCH("NA",#REF!)))</formula>
    </cfRule>
    <cfRule type="containsText" dxfId="8271" priority="5251" operator="containsText" text="Done">
      <formula>NOT(ISERROR(SEARCH("Done",T30)))</formula>
    </cfRule>
    <cfRule type="containsText" dxfId="8270" priority="5235" operator="containsText" text="Done">
      <formula>NOT(ISERROR(SEARCH("Done",#REF!)))</formula>
    </cfRule>
    <cfRule type="containsText" dxfId="8269" priority="5250" operator="containsText" text="NA">
      <formula>NOT(ISERROR(SEARCH("NA",T30)))</formula>
    </cfRule>
    <cfRule type="containsText" dxfId="8268" priority="5243" operator="containsText" text="Done">
      <formula>NOT(ISERROR(SEARCH("Done",#REF!)))</formula>
    </cfRule>
    <cfRule type="containsText" dxfId="8267" priority="77250" operator="containsText" text="NA">
      <formula>NOT(ISERROR(SEARCH("NA",#REF!)))</formula>
    </cfRule>
    <cfRule type="containsText" dxfId="8266" priority="5233" operator="containsText" text="Pending">
      <formula>NOT(ISERROR(SEARCH("Pending",#REF!)))</formula>
    </cfRule>
    <cfRule type="containsText" dxfId="8265" priority="5227" operator="containsText" text="NA">
      <formula>NOT(ISERROR(SEARCH("NA",#REF!)))</formula>
    </cfRule>
    <cfRule type="containsText" dxfId="8264" priority="5228" operator="containsText" text="Done">
      <formula>NOT(ISERROR(SEARCH("Done",#REF!)))</formula>
    </cfRule>
    <cfRule type="containsText" dxfId="8263" priority="5229" operator="containsText" text="Pending">
      <formula>NOT(ISERROR(SEARCH("Pending",#REF!)))</formula>
    </cfRule>
    <cfRule type="containsText" dxfId="8262" priority="5230" operator="containsText" text="NA">
      <formula>NOT(ISERROR(SEARCH("NA",#REF!)))</formula>
    </cfRule>
    <cfRule type="containsText" dxfId="8261" priority="5231" operator="containsText" text="NA">
      <formula>NOT(ISERROR(SEARCH("NA",#REF!)))</formula>
    </cfRule>
    <cfRule type="containsText" dxfId="8260" priority="5232" operator="containsText" text="Done">
      <formula>NOT(ISERROR(SEARCH("Done",#REF!)))</formula>
    </cfRule>
    <cfRule type="containsText" dxfId="8259" priority="5240" operator="containsText" text="Pending">
      <formula>NOT(ISERROR(SEARCH("Pending",#REF!)))</formula>
    </cfRule>
    <cfRule type="containsText" dxfId="8258" priority="5242" operator="containsText" text="NA">
      <formula>NOT(ISERROR(SEARCH("NA",#REF!)))</formula>
    </cfRule>
    <cfRule type="containsText" dxfId="8257" priority="5234" operator="containsText" text="NA">
      <formula>NOT(ISERROR(SEARCH("NA",#REF!)))</formula>
    </cfRule>
    <cfRule type="containsText" dxfId="8256" priority="5239" operator="containsText" text="Done">
      <formula>NOT(ISERROR(SEARCH("Done",#REF!)))</formula>
    </cfRule>
    <cfRule type="containsText" dxfId="8255" priority="5238" operator="containsText" text="NA">
      <formula>NOT(ISERROR(SEARCH("NA",#REF!)))</formula>
    </cfRule>
    <cfRule type="containsText" dxfId="8254" priority="5237" operator="containsText" text="NA">
      <formula>NOT(ISERROR(SEARCH("NA",#REF!)))</formula>
    </cfRule>
    <cfRule type="containsText" dxfId="8253" priority="5236" operator="containsText" text="Pending">
      <formula>NOT(ISERROR(SEARCH("Pending",#REF!)))</formula>
    </cfRule>
    <cfRule type="containsText" dxfId="8252" priority="5252" operator="containsText" text="NA">
      <formula>NOT(ISERROR(SEARCH("NA",#REF!)))</formula>
    </cfRule>
    <cfRule type="containsText" dxfId="8251" priority="5253" operator="containsText" text="Done">
      <formula>NOT(ISERROR(SEARCH("Done",#REF!)))</formula>
    </cfRule>
    <cfRule type="containsText" dxfId="8250" priority="5254" operator="containsText" text="Pending">
      <formula>NOT(ISERROR(SEARCH("Pending",#REF!)))</formula>
    </cfRule>
    <cfRule type="containsText" dxfId="8249" priority="5255" operator="containsText" text="NA">
      <formula>NOT(ISERROR(SEARCH("NA",#REF!)))</formula>
    </cfRule>
    <cfRule type="containsText" dxfId="8248" priority="5256" operator="containsText" text="Done">
      <formula>NOT(ISERROR(SEARCH("Done",#REF!)))</formula>
    </cfRule>
    <cfRule type="containsText" dxfId="8247" priority="5257" operator="containsText" text="Pending">
      <formula>NOT(ISERROR(SEARCH("Pending",#REF!)))</formula>
    </cfRule>
  </conditionalFormatting>
  <conditionalFormatting sqref="T31:U32">
    <cfRule type="containsText" dxfId="8246" priority="4951" operator="containsText" text="NA">
      <formula>NOT(ISERROR(SEARCH("NA",#REF!)))</formula>
    </cfRule>
    <cfRule type="containsText" dxfId="8245" priority="4969" operator="containsText" text="NA">
      <formula>NOT(ISERROR(SEARCH("NA",#REF!)))</formula>
    </cfRule>
    <cfRule type="containsText" dxfId="8244" priority="4968" operator="containsText" text="Pending">
      <formula>NOT(ISERROR(SEARCH("Pending",#REF!)))</formula>
    </cfRule>
    <cfRule type="containsText" dxfId="8243" priority="4967" operator="containsText" text="Done">
      <formula>NOT(ISERROR(SEARCH("Done",#REF!)))</formula>
    </cfRule>
    <cfRule type="containsText" dxfId="8242" priority="4966" operator="containsText" text="NA">
      <formula>NOT(ISERROR(SEARCH("NA",#REF!)))</formula>
    </cfRule>
    <cfRule type="containsText" dxfId="8241" priority="4965" operator="containsText" text="Pending">
      <formula>NOT(ISERROR(SEARCH("Pending",#REF!)))</formula>
    </cfRule>
    <cfRule type="containsText" dxfId="8240" priority="4964" operator="containsText" text="Done">
      <formula>NOT(ISERROR(SEARCH("Done",#REF!)))</formula>
    </cfRule>
    <cfRule type="containsText" dxfId="8239" priority="4953" operator="containsText" text="Pending">
      <formula>NOT(ISERROR(SEARCH("Pending",#REF!)))</formula>
    </cfRule>
    <cfRule type="containsText" dxfId="8238" priority="4963" operator="containsText" text="NA">
      <formula>NOT(ISERROR(SEARCH("NA",#REF!)))</formula>
    </cfRule>
    <cfRule type="containsText" dxfId="8237" priority="4962" operator="containsText" text="NA">
      <formula>NOT(ISERROR(SEARCH("NA",#REF!)))</formula>
    </cfRule>
    <cfRule type="containsText" dxfId="8236" priority="4961" operator="containsText" text="Pending">
      <formula>NOT(ISERROR(SEARCH("Pending",#REF!)))</formula>
    </cfRule>
    <cfRule type="containsText" dxfId="8235" priority="4960" operator="containsText" text="Done">
      <formula>NOT(ISERROR(SEARCH("Done",#REF!)))</formula>
    </cfRule>
    <cfRule type="containsText" dxfId="8234" priority="4959" operator="containsText" text="NA">
      <formula>NOT(ISERROR(SEARCH("NA",#REF!)))</formula>
    </cfRule>
    <cfRule type="containsText" dxfId="8233" priority="4958" operator="containsText" text="NA">
      <formula>NOT(ISERROR(SEARCH("NA",#REF!)))</formula>
    </cfRule>
    <cfRule type="containsText" dxfId="8232" priority="4957" operator="containsText" text="Pending">
      <formula>NOT(ISERROR(SEARCH("Pending",#REF!)))</formula>
    </cfRule>
    <cfRule type="containsText" dxfId="8231" priority="4956" operator="containsText" text="Done">
      <formula>NOT(ISERROR(SEARCH("Done",#REF!)))</formula>
    </cfRule>
    <cfRule type="containsText" dxfId="8230" priority="4955" operator="containsText" text="NA">
      <formula>NOT(ISERROR(SEARCH("NA",#REF!)))</formula>
    </cfRule>
    <cfRule type="containsText" dxfId="8229" priority="4954" operator="containsText" text="NA">
      <formula>NOT(ISERROR(SEARCH("NA",#REF!)))</formula>
    </cfRule>
    <cfRule type="containsText" dxfId="8228" priority="4952" operator="containsText" text="Done">
      <formula>NOT(ISERROR(SEARCH("Done",#REF!)))</formula>
    </cfRule>
  </conditionalFormatting>
  <conditionalFormatting sqref="T37:U39">
    <cfRule type="containsText" dxfId="8227" priority="124509" operator="containsText" text="Pending">
      <formula>NOT(ISERROR(SEARCH("Pending",#REF!)))</formula>
    </cfRule>
  </conditionalFormatting>
  <conditionalFormatting sqref="T39:U39">
    <cfRule type="containsText" dxfId="8226" priority="124497" operator="containsText" text="NA">
      <formula>NOT(ISERROR(SEARCH("NA",#REF!)))</formula>
    </cfRule>
    <cfRule type="containsText" dxfId="8225" priority="124508" operator="containsText" text="Done">
      <formula>NOT(ISERROR(SEARCH("Done",#REF!)))</formula>
    </cfRule>
  </conditionalFormatting>
  <conditionalFormatting sqref="T49:U53">
    <cfRule type="containsText" dxfId="8224" priority="109449" operator="containsText" text="NA">
      <formula>NOT(ISERROR(SEARCH("NA",#REF!)))</formula>
    </cfRule>
    <cfRule type="containsText" dxfId="8223" priority="109450" operator="containsText" text="NA">
      <formula>NOT(ISERROR(SEARCH("NA",#REF!)))</formula>
    </cfRule>
    <cfRule type="containsText" dxfId="8222" priority="109448" operator="containsText" text="NA">
      <formula>NOT(ISERROR(SEARCH("NA",#REF!)))</formula>
    </cfRule>
    <cfRule type="containsText" dxfId="8221" priority="109446" operator="containsText" text="Pending">
      <formula>NOT(ISERROR(SEARCH("Pending",#REF!)))</formula>
    </cfRule>
    <cfRule type="containsText" dxfId="8220" priority="109437" operator="containsText" text="Pending">
      <formula>NOT(ISERROR(SEARCH("Pending",#REF!)))</formula>
    </cfRule>
    <cfRule type="containsText" dxfId="8219" priority="109438" operator="containsText" text="NA">
      <formula>NOT(ISERROR(SEARCH("NA",#REF!)))</formula>
    </cfRule>
    <cfRule type="containsText" dxfId="8218" priority="109439" operator="containsText" text="NA">
      <formula>NOT(ISERROR(SEARCH("NA",T49)))</formula>
    </cfRule>
    <cfRule type="containsText" dxfId="8217" priority="109447" operator="containsText" text="NA">
      <formula>NOT(ISERROR(SEARCH("NA",#REF!)))</formula>
    </cfRule>
    <cfRule type="containsText" dxfId="8216" priority="109440" operator="containsText" text="Pending">
      <formula>NOT(ISERROR(SEARCH("Pending",T49)))</formula>
    </cfRule>
    <cfRule type="containsText" dxfId="8215" priority="109441" operator="containsText" text="Done">
      <formula>NOT(ISERROR(SEARCH("Done",T49)))</formula>
    </cfRule>
    <cfRule type="containsText" dxfId="8214" priority="109442" operator="containsText" text="Done">
      <formula>NOT(ISERROR(SEARCH("Done",#REF!)))</formula>
    </cfRule>
    <cfRule type="containsText" dxfId="8213" priority="109443" operator="containsText" text="Pending">
      <formula>NOT(ISERROR(SEARCH("Pending",#REF!)))</formula>
    </cfRule>
    <cfRule type="containsText" dxfId="8212" priority="109444" operator="containsText" text="Pending">
      <formula>NOT(ISERROR(SEARCH("Pending",#REF!)))</formula>
    </cfRule>
    <cfRule type="containsText" dxfId="8211" priority="109445" operator="containsText" text="Pending">
      <formula>NOT(ISERROR(SEARCH("Pending",#REF!)))</formula>
    </cfRule>
  </conditionalFormatting>
  <conditionalFormatting sqref="T50:U50">
    <cfRule type="containsText" dxfId="8210" priority="123912" operator="containsText" text="NA">
      <formula>NOT(ISERROR(SEARCH("NA",#REF!)))</formula>
    </cfRule>
    <cfRule type="containsText" dxfId="8209" priority="123911" operator="containsText" text="Pending">
      <formula>NOT(ISERROR(SEARCH("Pending",#REF!)))</formula>
    </cfRule>
    <cfRule type="containsText" dxfId="8208" priority="123910" operator="containsText" text="Done">
      <formula>NOT(ISERROR(SEARCH("Done",#REF!)))</formula>
    </cfRule>
  </conditionalFormatting>
  <conditionalFormatting sqref="T50:U52">
    <cfRule type="containsText" dxfId="8207" priority="2114" operator="containsText" text="Done">
      <formula>NOT(ISERROR(SEARCH("Done",#REF!)))</formula>
    </cfRule>
  </conditionalFormatting>
  <conditionalFormatting sqref="T57:U57">
    <cfRule type="containsText" dxfId="8206" priority="119861" operator="containsText" text="NA">
      <formula>NOT(ISERROR(SEARCH("NA",#REF!)))</formula>
    </cfRule>
    <cfRule type="containsText" dxfId="8205" priority="119849" operator="containsText" text="Done">
      <formula>NOT(ISERROR(SEARCH("Done",#REF!)))</formula>
    </cfRule>
  </conditionalFormatting>
  <conditionalFormatting sqref="T71:U73">
    <cfRule type="containsText" dxfId="8204" priority="5329" operator="containsText" text="Pending">
      <formula>NOT(ISERROR(SEARCH("Pending",#REF!)))</formula>
    </cfRule>
    <cfRule type="containsText" dxfId="8203" priority="5330" operator="containsText" text="NA">
      <formula>NOT(ISERROR(SEARCH("NA",#REF!)))</formula>
    </cfRule>
  </conditionalFormatting>
  <conditionalFormatting sqref="T77:U77 R76:S83">
    <cfRule type="containsText" dxfId="8202" priority="109382" operator="containsText" text="NA">
      <formula>NOT(ISERROR(SEARCH("NA",O154)))</formula>
    </cfRule>
    <cfRule type="containsText" dxfId="8201" priority="109383" operator="containsText" text="Pending">
      <formula>NOT(ISERROR(SEARCH("Pending",O154)))</formula>
    </cfRule>
    <cfRule type="containsText" dxfId="8200" priority="109384" operator="containsText" text="Done">
      <formula>NOT(ISERROR(SEARCH("Done",O154)))</formula>
    </cfRule>
  </conditionalFormatting>
  <conditionalFormatting sqref="T77:U77">
    <cfRule type="containsText" dxfId="8199" priority="922" operator="containsText" text="Pending">
      <formula>NOT(ISERROR(SEARCH("Pending",#REF!)))</formula>
    </cfRule>
    <cfRule type="containsText" dxfId="8198" priority="921" operator="containsText" text="Done">
      <formula>NOT(ISERROR(SEARCH("Done",#REF!)))</formula>
    </cfRule>
    <cfRule type="containsText" dxfId="8197" priority="119146" operator="containsText" text="Done">
      <formula>NOT(ISERROR(SEARCH("Done",Q155)))</formula>
    </cfRule>
    <cfRule type="containsText" dxfId="8196" priority="109373" operator="containsText" text="Pending">
      <formula>NOT(ISERROR(SEARCH("Pending",#REF!)))</formula>
    </cfRule>
    <cfRule type="containsText" dxfId="8195" priority="109372" operator="containsText" text="Done">
      <formula>NOT(ISERROR(SEARCH("Done",#REF!)))</formula>
    </cfRule>
    <cfRule type="containsText" dxfId="8194" priority="4065" operator="containsText" text="Done">
      <formula>NOT(ISERROR(SEARCH("Done",#REF!)))</formula>
    </cfRule>
    <cfRule type="containsText" dxfId="8193" priority="4064" operator="containsText" text="NA">
      <formula>NOT(ISERROR(SEARCH("NA",#REF!)))</formula>
    </cfRule>
    <cfRule type="containsText" dxfId="8192" priority="4063" operator="containsText" text="NA">
      <formula>NOT(ISERROR(SEARCH("NA",#REF!)))</formula>
    </cfRule>
    <cfRule type="containsText" dxfId="8191" priority="4062" operator="containsText" text="Pending">
      <formula>NOT(ISERROR(SEARCH("Pending",#REF!)))</formula>
    </cfRule>
    <cfRule type="containsText" dxfId="8190" priority="4060" operator="containsText" text="NA">
      <formula>NOT(ISERROR(SEARCH("NA",#REF!)))</formula>
    </cfRule>
    <cfRule type="containsText" dxfId="8189" priority="4059" operator="containsText" text="NA">
      <formula>NOT(ISERROR(SEARCH("NA",#REF!)))</formula>
    </cfRule>
    <cfRule type="containsText" dxfId="8188" priority="4058" operator="containsText" text="Pending">
      <formula>NOT(ISERROR(SEARCH("Pending",#REF!)))</formula>
    </cfRule>
    <cfRule type="containsText" dxfId="8187" priority="4057" operator="containsText" text="Pending">
      <formula>NOT(ISERROR(SEARCH("Pending",#REF!)))</formula>
    </cfRule>
    <cfRule type="containsText" dxfId="8186" priority="4056" operator="containsText" text="Done">
      <formula>NOT(ISERROR(SEARCH("Done",#REF!)))</formula>
    </cfRule>
    <cfRule type="containsText" dxfId="8185" priority="4055" operator="containsText" text="NA">
      <formula>NOT(ISERROR(SEARCH("NA",#REF!)))</formula>
    </cfRule>
    <cfRule type="containsText" dxfId="8184" priority="4054" operator="containsText" text="Pending">
      <formula>NOT(ISERROR(SEARCH("Pending",#REF!)))</formula>
    </cfRule>
    <cfRule type="containsText" dxfId="8183" priority="4053" operator="containsText" text="NA">
      <formula>NOT(ISERROR(SEARCH("NA",#REF!)))</formula>
    </cfRule>
    <cfRule type="containsText" dxfId="8182" priority="4052" operator="containsText" text="NA">
      <formula>NOT(ISERROR(SEARCH("NA",#REF!)))</formula>
    </cfRule>
    <cfRule type="containsText" dxfId="8181" priority="4051" operator="containsText" text="Pending">
      <formula>NOT(ISERROR(SEARCH("Pending",#REF!)))</formula>
    </cfRule>
    <cfRule type="containsText" dxfId="8180" priority="4050" operator="containsText" text="Pending">
      <formula>NOT(ISERROR(SEARCH("Pending",#REF!)))</formula>
    </cfRule>
    <cfRule type="containsText" dxfId="8179" priority="4049" operator="containsText" text="Done">
      <formula>NOT(ISERROR(SEARCH("Done",#REF!)))</formula>
    </cfRule>
    <cfRule type="containsText" dxfId="8178" priority="911" operator="containsText" text="NA">
      <formula>NOT(ISERROR(SEARCH("NA",Q155)))</formula>
    </cfRule>
    <cfRule type="containsText" dxfId="8177" priority="75708" operator="containsText" text="Done">
      <formula>NOT(ISERROR(SEARCH("Done",#REF!)))</formula>
    </cfRule>
    <cfRule type="containsText" dxfId="8176" priority="75707" operator="containsText" text="NA">
      <formula>NOT(ISERROR(SEARCH("NA",#REF!)))</formula>
    </cfRule>
    <cfRule type="containsText" dxfId="8175" priority="75706" operator="containsText" text="Pending">
      <formula>NOT(ISERROR(SEARCH("Pending",#REF!)))</formula>
    </cfRule>
    <cfRule type="containsText" dxfId="8174" priority="75705" operator="containsText" text="Done">
      <formula>NOT(ISERROR(SEARCH("Done",Q155)))</formula>
    </cfRule>
    <cfRule type="containsText" dxfId="8173" priority="75704" operator="containsText" text="Pending">
      <formula>NOT(ISERROR(SEARCH("Pending",Q155)))</formula>
    </cfRule>
    <cfRule type="containsText" dxfId="8172" priority="75703" operator="containsText" text="NA">
      <formula>NOT(ISERROR(SEARCH("NA",Q155)))</formula>
    </cfRule>
    <cfRule type="containsText" dxfId="8171" priority="75701" operator="containsText" text="NA">
      <formula>NOT(ISERROR(SEARCH("NA",#REF!)))</formula>
    </cfRule>
    <cfRule type="containsText" dxfId="8170" priority="75700" operator="containsText" text="Pending">
      <formula>NOT(ISERROR(SEARCH("Pending",#REF!)))</formula>
    </cfRule>
    <cfRule type="containsText" dxfId="8169" priority="75698" operator="containsText" text="NA">
      <formula>NOT(ISERROR(SEARCH("NA",#REF!)))</formula>
    </cfRule>
    <cfRule type="containsText" dxfId="8168" priority="916" operator="containsText" text="Pending">
      <formula>NOT(ISERROR(SEARCH("Pending",#REF!)))</formula>
    </cfRule>
    <cfRule type="containsText" dxfId="8167" priority="917" operator="containsText" text="NA">
      <formula>NOT(ISERROR(SEARCH("NA",#REF!)))</formula>
    </cfRule>
    <cfRule type="containsText" dxfId="8166" priority="918" operator="containsText" text="NA">
      <formula>NOT(ISERROR(SEARCH("NA",#REF!)))</formula>
    </cfRule>
    <cfRule type="containsText" dxfId="8165" priority="920" operator="containsText" text="NA">
      <formula>NOT(ISERROR(SEARCH("NA",#REF!)))</formula>
    </cfRule>
    <cfRule type="containsText" dxfId="8164" priority="75702" operator="containsText" text="NA">
      <formula>NOT(ISERROR(SEARCH("NA",#REF!)))</formula>
    </cfRule>
    <cfRule type="containsText" dxfId="8163" priority="109376" operator="containsText" text="NA">
      <formula>NOT(ISERROR(SEARCH("NA",#REF!)))</formula>
    </cfRule>
    <cfRule type="containsText" dxfId="8162" priority="109377" operator="containsText" text="Done">
      <formula>NOT(ISERROR(SEARCH("Done",#REF!)))</formula>
    </cfRule>
    <cfRule type="containsText" dxfId="8161" priority="109378" operator="containsText" text="Pending">
      <formula>NOT(ISERROR(SEARCH("Pending",#REF!)))</formula>
    </cfRule>
    <cfRule type="containsText" dxfId="8160" priority="109379" operator="containsText" text="Pending">
      <formula>NOT(ISERROR(SEARCH("Pending",#REF!)))</formula>
    </cfRule>
    <cfRule type="containsText" dxfId="8159" priority="919" operator="containsText" text="Pending">
      <formula>NOT(ISERROR(SEARCH("Pending",#REF!)))</formula>
    </cfRule>
    <cfRule type="containsText" dxfId="8158" priority="908" operator="containsText" text="NA">
      <formula>NOT(ISERROR(SEARCH("NA",Q155)))</formula>
    </cfRule>
    <cfRule type="containsText" dxfId="8157" priority="909" operator="containsText" text="Pending">
      <formula>NOT(ISERROR(SEARCH("Pending",Q155)))</formula>
    </cfRule>
    <cfRule type="containsText" dxfId="8156" priority="910" operator="containsText" text="Done">
      <formula>NOT(ISERROR(SEARCH("Done",Q155)))</formula>
    </cfRule>
    <cfRule type="containsText" dxfId="8155" priority="75697" operator="containsText" text="NA">
      <formula>NOT(ISERROR(SEARCH("NA",#REF!)))</formula>
    </cfRule>
    <cfRule type="containsText" dxfId="8154" priority="75696" operator="containsText" text="Pending">
      <formula>NOT(ISERROR(SEARCH("Pending",#REF!)))</formula>
    </cfRule>
    <cfRule type="containsText" dxfId="8153" priority="109380" operator="containsText" text="NA">
      <formula>NOT(ISERROR(SEARCH("NA",#REF!)))</formula>
    </cfRule>
    <cfRule type="containsText" dxfId="8152" priority="109381" operator="containsText" text="NA">
      <formula>NOT(ISERROR(SEARCH("NA",#REF!)))</formula>
    </cfRule>
    <cfRule type="containsText" dxfId="8151" priority="75695" operator="containsText" text="Pending">
      <formula>NOT(ISERROR(SEARCH("Pending",#REF!)))</formula>
    </cfRule>
    <cfRule type="containsText" dxfId="8150" priority="75694" operator="containsText" text="Done">
      <formula>NOT(ISERROR(SEARCH("Done",#REF!)))</formula>
    </cfRule>
    <cfRule type="containsText" dxfId="8149" priority="912" operator="containsText" text="Pending">
      <formula>NOT(ISERROR(SEARCH("Pending",Q155)))</formula>
    </cfRule>
    <cfRule type="containsText" dxfId="8148" priority="109385" operator="containsText" text="Pending">
      <formula>NOT(ISERROR(SEARCH("Pending",#REF!)))</formula>
    </cfRule>
    <cfRule type="containsText" dxfId="8147" priority="109386" operator="containsText" text="NA">
      <formula>NOT(ISERROR(SEARCH("NA",#REF!)))</formula>
    </cfRule>
    <cfRule type="containsText" dxfId="8146" priority="109387" operator="containsText" text="Done">
      <formula>NOT(ISERROR(SEARCH("Done",#REF!)))</formula>
    </cfRule>
    <cfRule type="containsText" dxfId="8145" priority="913" operator="containsText" text="Done">
      <formula>NOT(ISERROR(SEARCH("Done",Q155)))</formula>
    </cfRule>
    <cfRule type="containsText" dxfId="8144" priority="914" operator="containsText" text="Done">
      <formula>NOT(ISERROR(SEARCH("Done",#REF!)))</formula>
    </cfRule>
    <cfRule type="containsText" dxfId="8143" priority="915" operator="containsText" text="Pending">
      <formula>NOT(ISERROR(SEARCH("Pending",#REF!)))</formula>
    </cfRule>
    <cfRule type="containsText" dxfId="8142" priority="75693" operator="containsText" text="NA">
      <formula>NOT(ISERROR(SEARCH("NA",#REF!)))</formula>
    </cfRule>
    <cfRule type="containsText" dxfId="8141" priority="75692" operator="containsText" text="NA">
      <formula>NOT(ISERROR(SEARCH("NA",#REF!)))</formula>
    </cfRule>
    <cfRule type="containsText" dxfId="8140" priority="75691" operator="containsText" text="Pending">
      <formula>NOT(ISERROR(SEARCH("Pending",#REF!)))</formula>
    </cfRule>
    <cfRule type="containsText" dxfId="8139" priority="75690" operator="containsText" text="Pending">
      <formula>NOT(ISERROR(SEARCH("Pending",#REF!)))</formula>
    </cfRule>
    <cfRule type="containsText" dxfId="8138" priority="75689" operator="containsText" text="Done">
      <formula>NOT(ISERROR(SEARCH("Done",#REF!)))</formula>
    </cfRule>
    <cfRule type="containsText" dxfId="8137" priority="119140" operator="containsText" text="Pending">
      <formula>NOT(ISERROR(SEARCH("Pending",#REF!)))</formula>
    </cfRule>
    <cfRule type="containsText" dxfId="8136" priority="119141" operator="containsText" text="Pending">
      <formula>NOT(ISERROR(SEARCH("Pending",#REF!)))</formula>
    </cfRule>
    <cfRule type="containsText" dxfId="8135" priority="119142" operator="containsText" text="NA">
      <formula>NOT(ISERROR(SEARCH("NA",#REF!)))</formula>
    </cfRule>
    <cfRule type="containsText" dxfId="8134" priority="119143" operator="containsText" text="NA">
      <formula>NOT(ISERROR(SEARCH("NA",#REF!)))</formula>
    </cfRule>
    <cfRule type="containsText" dxfId="8133" priority="119144" operator="containsText" text="NA">
      <formula>NOT(ISERROR(SEARCH("NA",Q155)))</formula>
    </cfRule>
    <cfRule type="containsText" dxfId="8132" priority="119145" operator="containsText" text="Pending">
      <formula>NOT(ISERROR(SEARCH("Pending",Q155)))</formula>
    </cfRule>
    <cfRule type="containsText" dxfId="8131" priority="930" operator="containsText" text="Done">
      <formula>NOT(ISERROR(SEARCH("Done",#REF!)))</formula>
    </cfRule>
    <cfRule type="containsText" dxfId="8130" priority="929" operator="containsText" text="NA">
      <formula>NOT(ISERROR(SEARCH("NA",#REF!)))</formula>
    </cfRule>
    <cfRule type="containsText" dxfId="8129" priority="928" operator="containsText" text="NA">
      <formula>NOT(ISERROR(SEARCH("NA",#REF!)))</formula>
    </cfRule>
    <cfRule type="containsText" dxfId="8128" priority="927" operator="containsText" text="Pending">
      <formula>NOT(ISERROR(SEARCH("Pending",#REF!)))</formula>
    </cfRule>
    <cfRule type="containsText" dxfId="8127" priority="926" operator="containsText" text="Pending">
      <formula>NOT(ISERROR(SEARCH("Pending",#REF!)))</formula>
    </cfRule>
    <cfRule type="containsText" dxfId="8126" priority="925" operator="containsText" text="NA">
      <formula>NOT(ISERROR(SEARCH("NA",#REF!)))</formula>
    </cfRule>
    <cfRule type="containsText" dxfId="8125" priority="924" operator="containsText" text="NA">
      <formula>NOT(ISERROR(SEARCH("NA",#REF!)))</formula>
    </cfRule>
    <cfRule type="containsText" dxfId="8124" priority="923" operator="containsText" text="Pending">
      <formula>NOT(ISERROR(SEARCH("Pending",#REF!)))</formula>
    </cfRule>
    <cfRule type="containsText" dxfId="8123" priority="109375" operator="containsText" text="NA">
      <formula>NOT(ISERROR(SEARCH("NA",#REF!)))</formula>
    </cfRule>
    <cfRule type="containsText" dxfId="8122" priority="109374" operator="containsText" text="Pending">
      <formula>NOT(ISERROR(SEARCH("Pending",#REF!)))</formula>
    </cfRule>
  </conditionalFormatting>
  <conditionalFormatting sqref="T77:U81">
    <cfRule type="containsText" dxfId="8121" priority="4061" operator="containsText" text="Pending">
      <formula>NOT(ISERROR(SEARCH("Pending",#REF!)))</formula>
    </cfRule>
    <cfRule type="containsText" dxfId="8120" priority="75699" operator="containsText" text="Pending">
      <formula>NOT(ISERROR(SEARCH("Pending",#REF!)))</formula>
    </cfRule>
  </conditionalFormatting>
  <conditionalFormatting sqref="T78:U81">
    <cfRule type="containsText" dxfId="8119" priority="109363" operator="containsText" text="Done">
      <formula>NOT(ISERROR(SEARCH("Done",#REF!)))</formula>
    </cfRule>
    <cfRule type="containsText" dxfId="8118" priority="942" operator="containsText" text="Pending">
      <formula>NOT(ISERROR(SEARCH("Pending",#REF!)))</formula>
    </cfRule>
    <cfRule type="containsText" dxfId="8117" priority="939" operator="containsText" text="NA">
      <formula>NOT(ISERROR(SEARCH("NA",Q156)))</formula>
    </cfRule>
    <cfRule type="containsText" dxfId="8116" priority="4068" operator="containsText" text="Done">
      <formula>NOT(ISERROR(SEARCH("Done",#REF!)))</formula>
    </cfRule>
    <cfRule type="containsText" dxfId="8115" priority="4067" operator="containsText" text="NA">
      <formula>NOT(ISERROR(SEARCH("NA",#REF!)))</formula>
    </cfRule>
    <cfRule type="containsText" dxfId="8114" priority="940" operator="containsText" text="Pending">
      <formula>NOT(ISERROR(SEARCH("Pending",Q156)))</formula>
    </cfRule>
    <cfRule type="containsText" dxfId="8113" priority="941" operator="containsText" text="Done">
      <formula>NOT(ISERROR(SEARCH("Done",Q156)))</formula>
    </cfRule>
    <cfRule type="containsText" dxfId="8112" priority="785" operator="containsText" text="Pending">
      <formula>NOT(ISERROR(SEARCH("Pending",#REF!)))</formula>
    </cfRule>
    <cfRule type="containsText" dxfId="8111" priority="787" operator="containsText" text="Done">
      <formula>NOT(ISERROR(SEARCH("Done",#REF!)))</formula>
    </cfRule>
    <cfRule type="containsText" dxfId="8110" priority="786" operator="containsText" text="NA">
      <formula>NOT(ISERROR(SEARCH("NA",#REF!)))</formula>
    </cfRule>
    <cfRule type="containsText" dxfId="8109" priority="109360" operator="containsText" text="Pending">
      <formula>NOT(ISERROR(SEARCH("Pending",#REF!)))</formula>
    </cfRule>
    <cfRule type="containsText" dxfId="8108" priority="109361" operator="containsText" text="NA">
      <formula>NOT(ISERROR(SEARCH("NA",#REF!)))</formula>
    </cfRule>
    <cfRule type="containsText" dxfId="8107" priority="943" operator="containsText" text="NA">
      <formula>NOT(ISERROR(SEARCH("NA",#REF!)))</formula>
    </cfRule>
    <cfRule type="containsText" dxfId="8106" priority="944" operator="containsText" text="Done">
      <formula>NOT(ISERROR(SEARCH("Done",#REF!)))</formula>
    </cfRule>
    <cfRule type="containsText" dxfId="8105" priority="109362" operator="containsText" text="Done">
      <formula>NOT(ISERROR(SEARCH("Done",#REF!)))</formula>
    </cfRule>
  </conditionalFormatting>
  <conditionalFormatting sqref="T79:U79">
    <cfRule type="containsText" dxfId="8104" priority="10551" operator="containsText" text="Pending">
      <formula>NOT(ISERROR(SEARCH("Pending",#REF!)))</formula>
    </cfRule>
    <cfRule type="containsText" dxfId="8103" priority="10552" operator="containsText" text="NA">
      <formula>NOT(ISERROR(SEARCH("NA",#REF!)))</formula>
    </cfRule>
    <cfRule type="containsText" dxfId="8102" priority="10553" operator="containsText" text="Done">
      <formula>NOT(ISERROR(SEARCH("Done",#REF!)))</formula>
    </cfRule>
    <cfRule type="containsText" dxfId="8101" priority="10554" operator="containsText" text="Done">
      <formula>NOT(ISERROR(SEARCH("Done",#REF!)))</formula>
    </cfRule>
  </conditionalFormatting>
  <conditionalFormatting sqref="T79:U81">
    <cfRule type="containsText" dxfId="8100" priority="815" operator="containsText" text="Pending">
      <formula>NOT(ISERROR(SEARCH("Pending",#REF!)))</formula>
    </cfRule>
    <cfRule type="containsText" dxfId="8099" priority="816" operator="containsText" text="NA">
      <formula>NOT(ISERROR(SEARCH("NA",#REF!)))</formula>
    </cfRule>
    <cfRule type="containsText" dxfId="8098" priority="817" operator="containsText" text="Done">
      <formula>NOT(ISERROR(SEARCH("Done",#REF!)))</formula>
    </cfRule>
    <cfRule type="containsText" dxfId="8097" priority="818" operator="containsText" text="Done">
      <formula>NOT(ISERROR(SEARCH("Done",#REF!)))</formula>
    </cfRule>
    <cfRule type="containsText" dxfId="8096" priority="3964" operator="containsText" text="NA">
      <formula>NOT(ISERROR(SEARCH("NA",#REF!)))</formula>
    </cfRule>
    <cfRule type="containsText" dxfId="8095" priority="3963" operator="containsText" text="NA">
      <formula>NOT(ISERROR(SEARCH("NA",#REF!)))</formula>
    </cfRule>
    <cfRule type="containsText" dxfId="8094" priority="3962" operator="containsText" text="Pending">
      <formula>NOT(ISERROR(SEARCH("Pending",#REF!)))</formula>
    </cfRule>
    <cfRule type="containsText" dxfId="8093" priority="3961" operator="containsText" text="Pending">
      <formula>NOT(ISERROR(SEARCH("Pending",#REF!)))</formula>
    </cfRule>
    <cfRule type="containsText" dxfId="8092" priority="3960" operator="containsText" text="NA">
      <formula>NOT(ISERROR(SEARCH("NA",#REF!)))</formula>
    </cfRule>
    <cfRule type="containsText" dxfId="8091" priority="803" operator="containsText" text="NA">
      <formula>NOT(ISERROR(SEARCH("NA",#REF!)))</formula>
    </cfRule>
    <cfRule type="containsText" dxfId="8090" priority="3959" operator="containsText" text="NA">
      <formula>NOT(ISERROR(SEARCH("NA",#REF!)))</formula>
    </cfRule>
    <cfRule type="containsText" dxfId="8089" priority="3958" operator="containsText" text="Pending">
      <formula>NOT(ISERROR(SEARCH("Pending",#REF!)))</formula>
    </cfRule>
    <cfRule type="containsText" dxfId="8088" priority="3957" operator="containsText" text="Pending">
      <formula>NOT(ISERROR(SEARCH("Pending",#REF!)))</formula>
    </cfRule>
    <cfRule type="containsText" dxfId="8087" priority="3956" operator="containsText" text="NA">
      <formula>NOT(ISERROR(SEARCH("NA",#REF!)))</formula>
    </cfRule>
    <cfRule type="containsText" dxfId="8086" priority="3955" operator="containsText" text="NA">
      <formula>NOT(ISERROR(SEARCH("NA",#REF!)))</formula>
    </cfRule>
    <cfRule type="containsText" dxfId="8085" priority="3954" operator="containsText" text="Pending">
      <formula>NOT(ISERROR(SEARCH("Pending",#REF!)))</formula>
    </cfRule>
    <cfRule type="containsText" dxfId="8084" priority="3953" operator="containsText" text="Pending">
      <formula>NOT(ISERROR(SEARCH("Pending",#REF!)))</formula>
    </cfRule>
    <cfRule type="containsText" dxfId="8083" priority="3952" operator="containsText" text="Done">
      <formula>NOT(ISERROR(SEARCH("Done",#REF!)))</formula>
    </cfRule>
    <cfRule type="containsText" dxfId="8082" priority="799" operator="containsText" text="NA">
      <formula>NOT(ISERROR(SEARCH("NA",Q157)))</formula>
    </cfRule>
    <cfRule type="containsText" dxfId="8081" priority="800" operator="containsText" text="Pending">
      <formula>NOT(ISERROR(SEARCH("Pending",Q157)))</formula>
    </cfRule>
    <cfRule type="containsText" dxfId="8080" priority="3951" operator="containsText" text="NA">
      <formula>NOT(ISERROR(SEARCH("NA",#REF!)))</formula>
    </cfRule>
    <cfRule type="containsText" dxfId="8079" priority="3950" operator="containsText" text="NA">
      <formula>NOT(ISERROR(SEARCH("NA",#REF!)))</formula>
    </cfRule>
    <cfRule type="containsText" dxfId="8078" priority="3949" operator="containsText" text="Pending">
      <formula>NOT(ISERROR(SEARCH("Pending",#REF!)))</formula>
    </cfRule>
    <cfRule type="containsText" dxfId="8077" priority="3948" operator="containsText" text="Pending">
      <formula>NOT(ISERROR(SEARCH("Pending",#REF!)))</formula>
    </cfRule>
    <cfRule type="containsText" dxfId="8076" priority="3947" operator="containsText" text="Done">
      <formula>NOT(ISERROR(SEARCH("Done",#REF!)))</formula>
    </cfRule>
    <cfRule type="containsText" dxfId="8075" priority="801" operator="containsText" text="Done">
      <formula>NOT(ISERROR(SEARCH("Done",Q157)))</formula>
    </cfRule>
    <cfRule type="containsText" dxfId="8074" priority="802" operator="containsText" text="Pending">
      <formula>NOT(ISERROR(SEARCH("Pending",#REF!)))</formula>
    </cfRule>
    <cfRule type="containsText" dxfId="8073" priority="804" operator="containsText" text="Done">
      <formula>NOT(ISERROR(SEARCH("Done",#REF!)))</formula>
    </cfRule>
    <cfRule type="containsText" dxfId="8072" priority="805" operator="containsText" text="Pending">
      <formula>NOT(ISERROR(SEARCH("Pending",#REF!)))</formula>
    </cfRule>
    <cfRule type="containsText" dxfId="8071" priority="806" operator="containsText" text="NA">
      <formula>NOT(ISERROR(SEARCH("NA",#REF!)))</formula>
    </cfRule>
    <cfRule type="containsText" dxfId="8070" priority="807" operator="containsText" text="Done">
      <formula>NOT(ISERROR(SEARCH("Done",#REF!)))</formula>
    </cfRule>
    <cfRule type="containsText" dxfId="8069" priority="808" operator="containsText" text="Pending">
      <formula>NOT(ISERROR(SEARCH("Pending",#REF!)))</formula>
    </cfRule>
    <cfRule type="containsText" dxfId="8068" priority="809" operator="containsText" text="NA">
      <formula>NOT(ISERROR(SEARCH("NA",#REF!)))</formula>
    </cfRule>
    <cfRule type="containsText" dxfId="8067" priority="810" operator="containsText" text="Done">
      <formula>NOT(ISERROR(SEARCH("Done",#REF!)))</formula>
    </cfRule>
  </conditionalFormatting>
  <conditionalFormatting sqref="T80:U80">
    <cfRule type="containsText" dxfId="8066" priority="10538" operator="containsText" text="Done">
      <formula>NOT(ISERROR(SEARCH("Done",#REF!)))</formula>
    </cfRule>
    <cfRule type="containsText" dxfId="8065" priority="10539" operator="containsText" text="Done">
      <formula>NOT(ISERROR(SEARCH("Done",#REF!)))</formula>
    </cfRule>
    <cfRule type="containsText" dxfId="8064" priority="10536" operator="containsText" text="Pending">
      <formula>NOT(ISERROR(SEARCH("Pending",#REF!)))</formula>
    </cfRule>
    <cfRule type="containsText" dxfId="8063" priority="10537" operator="containsText" text="NA">
      <formula>NOT(ISERROR(SEARCH("NA",#REF!)))</formula>
    </cfRule>
  </conditionalFormatting>
  <conditionalFormatting sqref="T81:U81">
    <cfRule type="containsText" dxfId="8062" priority="5518" operator="containsText" text="Done">
      <formula>NOT(ISERROR(SEARCH("Done",#REF!)))</formula>
    </cfRule>
    <cfRule type="containsText" dxfId="8061" priority="5519" operator="containsText" text="Done">
      <formula>NOT(ISERROR(SEARCH("Done",#REF!)))</formula>
    </cfRule>
    <cfRule type="containsText" dxfId="8060" priority="5516" operator="containsText" text="Pending">
      <formula>NOT(ISERROR(SEARCH("Pending",#REF!)))</formula>
    </cfRule>
    <cfRule type="containsText" dxfId="8059" priority="5517" operator="containsText" text="NA">
      <formula>NOT(ISERROR(SEARCH("NA",#REF!)))</formula>
    </cfRule>
  </conditionalFormatting>
  <conditionalFormatting sqref="T82:U82">
    <cfRule type="containsText" dxfId="8058" priority="553" operator="containsText" text="NA">
      <formula>NOT(ISERROR(SEARCH("NA",#REF!)))</formula>
    </cfRule>
    <cfRule type="containsText" dxfId="8057" priority="529" operator="containsText" text="NA">
      <formula>NOT(ISERROR(SEARCH("NA",Q160)))</formula>
    </cfRule>
    <cfRule type="containsText" dxfId="8056" priority="5501" operator="containsText" text="Pending">
      <formula>NOT(ISERROR(SEARCH("Pending",#REF!)))</formula>
    </cfRule>
    <cfRule type="containsText" dxfId="8055" priority="5502" operator="containsText" text="NA">
      <formula>NOT(ISERROR(SEARCH("NA",#REF!)))</formula>
    </cfRule>
    <cfRule type="containsText" dxfId="8054" priority="5503" operator="containsText" text="Done">
      <formula>NOT(ISERROR(SEARCH("Done",#REF!)))</formula>
    </cfRule>
    <cfRule type="containsText" dxfId="8053" priority="5504" operator="containsText" text="Done">
      <formula>NOT(ISERROR(SEARCH("Done",#REF!)))</formula>
    </cfRule>
    <cfRule type="containsText" dxfId="8052" priority="3945" operator="containsText" text="NA">
      <formula>NOT(ISERROR(SEARCH("NA",#REF!)))</formula>
    </cfRule>
    <cfRule type="containsText" dxfId="8051" priority="3944" operator="containsText" text="Pending">
      <formula>NOT(ISERROR(SEARCH("Pending",#REF!)))</formula>
    </cfRule>
    <cfRule type="containsText" dxfId="8050" priority="3943" operator="containsText" text="Pending">
      <formula>NOT(ISERROR(SEARCH("Pending",#REF!)))</formula>
    </cfRule>
    <cfRule type="containsText" dxfId="8049" priority="3942" operator="containsText" text="Done">
      <formula>NOT(ISERROR(SEARCH("Done",#REF!)))</formula>
    </cfRule>
    <cfRule type="containsText" dxfId="8048" priority="3941" operator="containsText" text="Done">
      <formula>NOT(ISERROR(SEARCH("Done",Q160)))</formula>
    </cfRule>
    <cfRule type="containsText" dxfId="8047" priority="3940" operator="containsText" text="Pending">
      <formula>NOT(ISERROR(SEARCH("Pending",Q160)))</formula>
    </cfRule>
    <cfRule type="containsText" dxfId="8046" priority="3939" operator="containsText" text="NA">
      <formula>NOT(ISERROR(SEARCH("NA",Q160)))</formula>
    </cfRule>
    <cfRule type="containsText" dxfId="8045" priority="3938" operator="containsText" text="NA">
      <formula>NOT(ISERROR(SEARCH("NA",#REF!)))</formula>
    </cfRule>
    <cfRule type="containsText" dxfId="8044" priority="3937" operator="containsText" text="NA">
      <formula>NOT(ISERROR(SEARCH("NA",#REF!)))</formula>
    </cfRule>
    <cfRule type="containsText" dxfId="8043" priority="3936" operator="containsText" text="Pending">
      <formula>NOT(ISERROR(SEARCH("Pending",#REF!)))</formula>
    </cfRule>
    <cfRule type="containsText" dxfId="8042" priority="3935" operator="containsText" text="Pending">
      <formula>NOT(ISERROR(SEARCH("Pending",#REF!)))</formula>
    </cfRule>
    <cfRule type="containsText" dxfId="8041" priority="3934" operator="containsText" text="Done">
      <formula>NOT(ISERROR(SEARCH("Done",#REF!)))</formula>
    </cfRule>
    <cfRule type="containsText" dxfId="8040" priority="3946" operator="containsText" text="NA">
      <formula>NOT(ISERROR(SEARCH("NA",#REF!)))</formula>
    </cfRule>
    <cfRule type="containsText" dxfId="8039" priority="3933" operator="containsText" text="Done">
      <formula>NOT(ISERROR(SEARCH("Done",Q160)))</formula>
    </cfRule>
    <cfRule type="containsText" dxfId="8038" priority="3932" operator="containsText" text="Pending">
      <formula>NOT(ISERROR(SEARCH("Pending",Q160)))</formula>
    </cfRule>
    <cfRule type="containsText" dxfId="8037" priority="3931" operator="containsText" text="NA">
      <formula>NOT(ISERROR(SEARCH("NA",Q160)))</formula>
    </cfRule>
    <cfRule type="containsText" dxfId="8036" priority="3930" operator="containsText" text="NA">
      <formula>NOT(ISERROR(SEARCH("NA",#REF!)))</formula>
    </cfRule>
    <cfRule type="containsText" dxfId="8035" priority="3929" operator="containsText" text="NA">
      <formula>NOT(ISERROR(SEARCH("NA",#REF!)))</formula>
    </cfRule>
    <cfRule type="containsText" dxfId="8034" priority="3928" operator="containsText" text="Pending">
      <formula>NOT(ISERROR(SEARCH("Pending",#REF!)))</formula>
    </cfRule>
    <cfRule type="containsText" dxfId="8033" priority="3927" operator="containsText" text="Pending">
      <formula>NOT(ISERROR(SEARCH("Pending",#REF!)))</formula>
    </cfRule>
    <cfRule type="containsText" dxfId="8032" priority="3926" operator="containsText" text="Done">
      <formula>NOT(ISERROR(SEARCH("Done",#REF!)))</formula>
    </cfRule>
    <cfRule type="containsText" dxfId="8031" priority="3925" operator="containsText" text="NA">
      <formula>NOT(ISERROR(SEARCH("NA",#REF!)))</formula>
    </cfRule>
    <cfRule type="containsText" dxfId="8030" priority="3924" operator="containsText" text="Pending">
      <formula>NOT(ISERROR(SEARCH("Pending",#REF!)))</formula>
    </cfRule>
    <cfRule type="containsText" dxfId="8029" priority="3923" operator="containsText" text="NA">
      <formula>NOT(ISERROR(SEARCH("NA",#REF!)))</formula>
    </cfRule>
    <cfRule type="containsText" dxfId="8028" priority="3922" operator="containsText" text="NA">
      <formula>NOT(ISERROR(SEARCH("NA",#REF!)))</formula>
    </cfRule>
    <cfRule type="containsText" dxfId="8027" priority="557" operator="containsText" text="NA">
      <formula>NOT(ISERROR(SEARCH("NA",#REF!)))</formula>
    </cfRule>
    <cfRule type="containsText" dxfId="8026" priority="556" operator="containsText" text="NA">
      <formula>NOT(ISERROR(SEARCH("NA",#REF!)))</formula>
    </cfRule>
    <cfRule type="containsText" dxfId="8025" priority="555" operator="containsText" text="Pending">
      <formula>NOT(ISERROR(SEARCH("Pending",#REF!)))</formula>
    </cfRule>
    <cfRule type="containsText" dxfId="8024" priority="554" operator="containsText" text="Pending">
      <formula>NOT(ISERROR(SEARCH("Pending",#REF!)))</formula>
    </cfRule>
    <cfRule type="containsText" dxfId="8023" priority="3921" operator="containsText" text="Pending">
      <formula>NOT(ISERROR(SEARCH("Pending",#REF!)))</formula>
    </cfRule>
    <cfRule type="containsText" dxfId="8022" priority="552" operator="containsText" text="NA">
      <formula>NOT(ISERROR(SEARCH("NA",#REF!)))</formula>
    </cfRule>
    <cfRule type="containsText" dxfId="8021" priority="551" operator="containsText" text="Pending">
      <formula>NOT(ISERROR(SEARCH("Pending",#REF!)))</formula>
    </cfRule>
    <cfRule type="containsText" dxfId="8020" priority="550" operator="containsText" text="Pending">
      <formula>NOT(ISERROR(SEARCH("Pending",#REF!)))</formula>
    </cfRule>
    <cfRule type="containsText" dxfId="8019" priority="549" operator="containsText" text="NA">
      <formula>NOT(ISERROR(SEARCH("NA",#REF!)))</formula>
    </cfRule>
    <cfRule type="containsText" dxfId="8018" priority="548" operator="containsText" text="NA">
      <formula>NOT(ISERROR(SEARCH("NA",#REF!)))</formula>
    </cfRule>
    <cfRule type="containsText" dxfId="8017" priority="547" operator="containsText" text="Pending">
      <formula>NOT(ISERROR(SEARCH("Pending",#REF!)))</formula>
    </cfRule>
    <cfRule type="containsText" dxfId="8016" priority="546" operator="containsText" text="Pending">
      <formula>NOT(ISERROR(SEARCH("Pending",#REF!)))</formula>
    </cfRule>
    <cfRule type="containsText" dxfId="8015" priority="545" operator="containsText" text="Done">
      <formula>NOT(ISERROR(SEARCH("Done",#REF!)))</formula>
    </cfRule>
    <cfRule type="containsText" dxfId="8014" priority="544" operator="containsText" text="Done">
      <formula>NOT(ISERROR(SEARCH("Done",#REF!)))</formula>
    </cfRule>
    <cfRule type="containsText" dxfId="8013" priority="543" operator="containsText" text="NA">
      <formula>NOT(ISERROR(SEARCH("NA",#REF!)))</formula>
    </cfRule>
    <cfRule type="containsText" dxfId="8012" priority="542" operator="containsText" text="NA">
      <formula>NOT(ISERROR(SEARCH("NA",#REF!)))</formula>
    </cfRule>
    <cfRule type="containsText" dxfId="8011" priority="541" operator="containsText" text="Pending">
      <formula>NOT(ISERROR(SEARCH("Pending",#REF!)))</formula>
    </cfRule>
    <cfRule type="containsText" dxfId="8010" priority="540" operator="containsText" text="Pending">
      <formula>NOT(ISERROR(SEARCH("Pending",#REF!)))</formula>
    </cfRule>
    <cfRule type="containsText" dxfId="8009" priority="539" operator="containsText" text="Done">
      <formula>NOT(ISERROR(SEARCH("Done",#REF!)))</formula>
    </cfRule>
    <cfRule type="containsText" dxfId="8008" priority="538" operator="containsText" text="Done">
      <formula>NOT(ISERROR(SEARCH("Done",Q160)))</formula>
    </cfRule>
    <cfRule type="containsText" dxfId="8007" priority="537" operator="containsText" text="Pending">
      <formula>NOT(ISERROR(SEARCH("Pending",Q160)))</formula>
    </cfRule>
    <cfRule type="containsText" dxfId="8006" priority="536" operator="containsText" text="NA">
      <formula>NOT(ISERROR(SEARCH("NA",Q160)))</formula>
    </cfRule>
    <cfRule type="containsText" dxfId="8005" priority="535" operator="containsText" text="Done">
      <formula>NOT(ISERROR(SEARCH("Done",#REF!)))</formula>
    </cfRule>
    <cfRule type="containsText" dxfId="8004" priority="534" operator="containsText" text="Done">
      <formula>NOT(ISERROR(SEARCH("Done",Q160)))</formula>
    </cfRule>
    <cfRule type="containsText" dxfId="8003" priority="533" operator="containsText" text="Pending">
      <formula>NOT(ISERROR(SEARCH("Pending",Q160)))</formula>
    </cfRule>
    <cfRule type="containsText" dxfId="8002" priority="532" operator="containsText" text="NA">
      <formula>NOT(ISERROR(SEARCH("NA",Q160)))</formula>
    </cfRule>
    <cfRule type="containsText" dxfId="8001" priority="531" operator="containsText" text="Done">
      <formula>NOT(ISERROR(SEARCH("Done",Q160)))</formula>
    </cfRule>
    <cfRule type="containsText" dxfId="8000" priority="530" operator="containsText" text="Pending">
      <formula>NOT(ISERROR(SEARCH("Pending",Q160)))</formula>
    </cfRule>
    <cfRule type="containsText" dxfId="7999" priority="3920" operator="containsText" text="Pending">
      <formula>NOT(ISERROR(SEARCH("Pending",#REF!)))</formula>
    </cfRule>
    <cfRule type="containsText" dxfId="7998" priority="3919" operator="containsText" text="Done">
      <formula>NOT(ISERROR(SEARCH("Done",#REF!)))</formula>
    </cfRule>
    <cfRule type="containsText" dxfId="7997" priority="3867" operator="containsText" text="Done">
      <formula>NOT(ISERROR(SEARCH("Done",#REF!)))</formula>
    </cfRule>
    <cfRule type="containsText" dxfId="7996" priority="3868" operator="containsText" text="Pending">
      <formula>NOT(ISERROR(SEARCH("Pending",#REF!)))</formula>
    </cfRule>
    <cfRule type="containsText" dxfId="7995" priority="3869" operator="containsText" text="Pending">
      <formula>NOT(ISERROR(SEARCH("Pending",#REF!)))</formula>
    </cfRule>
    <cfRule type="containsText" dxfId="7994" priority="3870" operator="containsText" text="NA">
      <formula>NOT(ISERROR(SEARCH("NA",#REF!)))</formula>
    </cfRule>
    <cfRule type="containsText" dxfId="7993" priority="3871" operator="containsText" text="NA">
      <formula>NOT(ISERROR(SEARCH("NA",#REF!)))</formula>
    </cfRule>
    <cfRule type="containsText" dxfId="7992" priority="3872" operator="containsText" text="Pending">
      <formula>NOT(ISERROR(SEARCH("Pending",#REF!)))</formula>
    </cfRule>
    <cfRule type="containsText" dxfId="7991" priority="3873" operator="containsText" text="NA">
      <formula>NOT(ISERROR(SEARCH("NA",#REF!)))</formula>
    </cfRule>
    <cfRule type="containsText" dxfId="7990" priority="3874" operator="containsText" text="Done">
      <formula>NOT(ISERROR(SEARCH("Done",#REF!)))</formula>
    </cfRule>
    <cfRule type="containsText" dxfId="7989" priority="3875" operator="containsText" text="Pending">
      <formula>NOT(ISERROR(SEARCH("Pending",#REF!)))</formula>
    </cfRule>
    <cfRule type="containsText" dxfId="7988" priority="3876" operator="containsText" text="Pending">
      <formula>NOT(ISERROR(SEARCH("Pending",#REF!)))</formula>
    </cfRule>
    <cfRule type="containsText" dxfId="7987" priority="3877" operator="containsText" text="NA">
      <formula>NOT(ISERROR(SEARCH("NA",#REF!)))</formula>
    </cfRule>
    <cfRule type="containsText" dxfId="7986" priority="3878" operator="containsText" text="NA">
      <formula>NOT(ISERROR(SEARCH("NA",#REF!)))</formula>
    </cfRule>
    <cfRule type="containsText" dxfId="7985" priority="3879" operator="containsText" text="Pending">
      <formula>NOT(ISERROR(SEARCH("Pending",#REF!)))</formula>
    </cfRule>
    <cfRule type="containsText" dxfId="7984" priority="3880" operator="containsText" text="Pending">
      <formula>NOT(ISERROR(SEARCH("Pending",#REF!)))</formula>
    </cfRule>
    <cfRule type="containsText" dxfId="7983" priority="3881" operator="containsText" text="NA">
      <formula>NOT(ISERROR(SEARCH("NA",#REF!)))</formula>
    </cfRule>
    <cfRule type="containsText" dxfId="7982" priority="3882" operator="containsText" text="NA">
      <formula>NOT(ISERROR(SEARCH("NA",#REF!)))</formula>
    </cfRule>
    <cfRule type="containsText" dxfId="7981" priority="3883" operator="containsText" text="Done">
      <formula>NOT(ISERROR(SEARCH("Done",#REF!)))</formula>
    </cfRule>
    <cfRule type="containsText" dxfId="7980" priority="3892" operator="containsText" text="Done">
      <formula>NOT(ISERROR(SEARCH("Done",#REF!)))</formula>
    </cfRule>
    <cfRule type="containsText" dxfId="7979" priority="3893" operator="containsText" text="Pending">
      <formula>NOT(ISERROR(SEARCH("Pending",#REF!)))</formula>
    </cfRule>
    <cfRule type="containsText" dxfId="7978" priority="3894" operator="containsText" text="Pending">
      <formula>NOT(ISERROR(SEARCH("Pending",#REF!)))</formula>
    </cfRule>
    <cfRule type="containsText" dxfId="7977" priority="3895" operator="containsText" text="NA">
      <formula>NOT(ISERROR(SEARCH("NA",#REF!)))</formula>
    </cfRule>
    <cfRule type="containsText" dxfId="7976" priority="3896" operator="containsText" text="NA">
      <formula>NOT(ISERROR(SEARCH("NA",#REF!)))</formula>
    </cfRule>
    <cfRule type="containsText" dxfId="7975" priority="3897" operator="containsText" text="Pending">
      <formula>NOT(ISERROR(SEARCH("Pending",#REF!)))</formula>
    </cfRule>
    <cfRule type="containsText" dxfId="7974" priority="3898" operator="containsText" text="NA">
      <formula>NOT(ISERROR(SEARCH("NA",#REF!)))</formula>
    </cfRule>
    <cfRule type="containsText" dxfId="7973" priority="3899" operator="containsText" text="Done">
      <formula>NOT(ISERROR(SEARCH("Done",#REF!)))</formula>
    </cfRule>
    <cfRule type="containsText" dxfId="7972" priority="3900" operator="containsText" text="Pending">
      <formula>NOT(ISERROR(SEARCH("Pending",#REF!)))</formula>
    </cfRule>
    <cfRule type="containsText" dxfId="7971" priority="3901" operator="containsText" text="Pending">
      <formula>NOT(ISERROR(SEARCH("Pending",#REF!)))</formula>
    </cfRule>
    <cfRule type="containsText" dxfId="7970" priority="3902" operator="containsText" text="NA">
      <formula>NOT(ISERROR(SEARCH("NA",#REF!)))</formula>
    </cfRule>
    <cfRule type="containsText" dxfId="7969" priority="3903" operator="containsText" text="NA">
      <formula>NOT(ISERROR(SEARCH("NA",#REF!)))</formula>
    </cfRule>
    <cfRule type="containsText" dxfId="7968" priority="3904" operator="containsText" text="Pending">
      <formula>NOT(ISERROR(SEARCH("Pending",#REF!)))</formula>
    </cfRule>
    <cfRule type="containsText" dxfId="7967" priority="3905" operator="containsText" text="Pending">
      <formula>NOT(ISERROR(SEARCH("Pending",#REF!)))</formula>
    </cfRule>
    <cfRule type="containsText" dxfId="7966" priority="3906" operator="containsText" text="NA">
      <formula>NOT(ISERROR(SEARCH("NA",#REF!)))</formula>
    </cfRule>
    <cfRule type="containsText" dxfId="7965" priority="3907" operator="containsText" text="NA">
      <formula>NOT(ISERROR(SEARCH("NA",#REF!)))</formula>
    </cfRule>
    <cfRule type="containsText" dxfId="7964" priority="3908" operator="containsText" text="NA">
      <formula>NOT(ISERROR(SEARCH("NA",Q160)))</formula>
    </cfRule>
    <cfRule type="containsText" dxfId="7963" priority="3909" operator="containsText" text="Pending">
      <formula>NOT(ISERROR(SEARCH("Pending",Q160)))</formula>
    </cfRule>
    <cfRule type="containsText" dxfId="7962" priority="3910" operator="containsText" text="Done">
      <formula>NOT(ISERROR(SEARCH("Done",Q160)))</formula>
    </cfRule>
    <cfRule type="containsText" dxfId="7961" priority="3911" operator="containsText" text="Done">
      <formula>NOT(ISERROR(SEARCH("Done",#REF!)))</formula>
    </cfRule>
    <cfRule type="containsText" dxfId="7960" priority="3912" operator="containsText" text="Pending">
      <formula>NOT(ISERROR(SEARCH("Pending",#REF!)))</formula>
    </cfRule>
    <cfRule type="containsText" dxfId="7959" priority="3913" operator="containsText" text="NA">
      <formula>NOT(ISERROR(SEARCH("NA",#REF!)))</formula>
    </cfRule>
    <cfRule type="containsText" dxfId="7958" priority="3914" operator="containsText" text="Done">
      <formula>NOT(ISERROR(SEARCH("Done",#REF!)))</formula>
    </cfRule>
  </conditionalFormatting>
  <conditionalFormatting sqref="T83:U83">
    <cfRule type="containsText" dxfId="7957" priority="618" operator="containsText" text="NA">
      <formula>NOT(ISERROR(SEARCH("NA",#REF!)))</formula>
    </cfRule>
    <cfRule type="containsText" dxfId="7956" priority="619" operator="containsText" text="NA">
      <formula>NOT(ISERROR(SEARCH("NA",#REF!)))</formula>
    </cfRule>
    <cfRule type="containsText" dxfId="7955" priority="620" operator="containsText" text="Done">
      <formula>NOT(ISERROR(SEARCH("Done",#REF!)))</formula>
    </cfRule>
    <cfRule type="containsText" dxfId="7954" priority="621" operator="containsText" text="Pending">
      <formula>NOT(ISERROR(SEARCH("Pending",#REF!)))</formula>
    </cfRule>
    <cfRule type="containsText" dxfId="7953" priority="622" operator="containsText" text="Pending">
      <formula>NOT(ISERROR(SEARCH("Pending",#REF!)))</formula>
    </cfRule>
    <cfRule type="containsText" dxfId="7952" priority="623" operator="containsText" text="NA">
      <formula>NOT(ISERROR(SEARCH("NA",#REF!)))</formula>
    </cfRule>
    <cfRule type="containsText" dxfId="7951" priority="624" operator="containsText" text="NA">
      <formula>NOT(ISERROR(SEARCH("NA",#REF!)))</formula>
    </cfRule>
    <cfRule type="containsText" dxfId="7950" priority="625" operator="containsText" text="Pending">
      <formula>NOT(ISERROR(SEARCH("Pending",#REF!)))</formula>
    </cfRule>
    <cfRule type="containsText" dxfId="7949" priority="626" operator="containsText" text="Pending">
      <formula>NOT(ISERROR(SEARCH("Pending",#REF!)))</formula>
    </cfRule>
    <cfRule type="containsText" dxfId="7948" priority="627" operator="containsText" text="NA">
      <formula>NOT(ISERROR(SEARCH("NA",#REF!)))</formula>
    </cfRule>
    <cfRule type="containsText" dxfId="7947" priority="628" operator="containsText" text="NA">
      <formula>NOT(ISERROR(SEARCH("NA",#REF!)))</formula>
    </cfRule>
    <cfRule type="containsText" dxfId="7946" priority="629" operator="containsText" text="Pending">
      <formula>NOT(ISERROR(SEARCH("Pending",#REF!)))</formula>
    </cfRule>
    <cfRule type="containsText" dxfId="7945" priority="630" operator="containsText" text="Pending">
      <formula>NOT(ISERROR(SEARCH("Pending",#REF!)))</formula>
    </cfRule>
    <cfRule type="containsText" dxfId="7944" priority="631" operator="containsText" text="NA">
      <formula>NOT(ISERROR(SEARCH("NA",#REF!)))</formula>
    </cfRule>
    <cfRule type="containsText" dxfId="7943" priority="632" operator="containsText" text="NA">
      <formula>NOT(ISERROR(SEARCH("NA",#REF!)))</formula>
    </cfRule>
    <cfRule type="containsText" dxfId="7942" priority="633" operator="containsText" text="Pending">
      <formula>NOT(ISERROR(SEARCH("Pending",#REF!)))</formula>
    </cfRule>
    <cfRule type="containsText" dxfId="7941" priority="634" operator="containsText" text="NA">
      <formula>NOT(ISERROR(SEARCH("NA",#REF!)))</formula>
    </cfRule>
    <cfRule type="containsText" dxfId="7940" priority="635" operator="containsText" text="Done">
      <formula>NOT(ISERROR(SEARCH("Done",#REF!)))</formula>
    </cfRule>
    <cfRule type="containsText" dxfId="7939" priority="640" operator="containsText" text="Pending">
      <formula>NOT(ISERROR(SEARCH("Pending",#REF!)))</formula>
    </cfRule>
    <cfRule type="containsText" dxfId="7938" priority="641" operator="containsText" text="NA">
      <formula>NOT(ISERROR(SEARCH("NA",#REF!)))</formula>
    </cfRule>
    <cfRule type="containsText" dxfId="7937" priority="642" operator="containsText" text="Done">
      <formula>NOT(ISERROR(SEARCH("Done",#REF!)))</formula>
    </cfRule>
    <cfRule type="containsText" dxfId="7936" priority="647" operator="containsText" text="Pending">
      <formula>NOT(ISERROR(SEARCH("Pending",#REF!)))</formula>
    </cfRule>
    <cfRule type="containsText" dxfId="7935" priority="648" operator="containsText" text="NA">
      <formula>NOT(ISERROR(SEARCH("NA",#REF!)))</formula>
    </cfRule>
    <cfRule type="containsText" dxfId="7934" priority="5489" operator="containsText" text="Done">
      <formula>NOT(ISERROR(SEARCH("Done",#REF!)))</formula>
    </cfRule>
    <cfRule type="containsText" dxfId="7933" priority="5488" operator="containsText" text="Done">
      <formula>NOT(ISERROR(SEARCH("Done",#REF!)))</formula>
    </cfRule>
    <cfRule type="containsText" dxfId="7932" priority="5487" operator="containsText" text="NA">
      <formula>NOT(ISERROR(SEARCH("NA",#REF!)))</formula>
    </cfRule>
    <cfRule type="containsText" dxfId="7931" priority="5486" operator="containsText" text="Pending">
      <formula>NOT(ISERROR(SEARCH("Pending",#REF!)))</formula>
    </cfRule>
    <cfRule type="containsText" dxfId="7930" priority="649" operator="containsText" text="Done">
      <formula>NOT(ISERROR(SEARCH("Done",#REF!)))</formula>
    </cfRule>
    <cfRule type="containsText" dxfId="7929" priority="650" operator="containsText" text="Done">
      <formula>NOT(ISERROR(SEARCH("Done",#REF!)))</formula>
    </cfRule>
    <cfRule type="containsText" dxfId="7928" priority="651" operator="containsText" text="NA">
      <formula>NOT(ISERROR(SEARCH("NA",Q161)))</formula>
    </cfRule>
    <cfRule type="containsText" dxfId="7927" priority="652" operator="containsText" text="Pending">
      <formula>NOT(ISERROR(SEARCH("Pending",Q161)))</formula>
    </cfRule>
    <cfRule type="containsText" dxfId="7926" priority="653" operator="containsText" text="Done">
      <formula>NOT(ISERROR(SEARCH("Done",Q161)))</formula>
    </cfRule>
    <cfRule type="containsText" dxfId="7925" priority="654" operator="containsText" text="Done">
      <formula>NOT(ISERROR(SEARCH("Done",#REF!)))</formula>
    </cfRule>
    <cfRule type="containsText" dxfId="7924" priority="655" operator="containsText" text="Pending">
      <formula>NOT(ISERROR(SEARCH("Pending",#REF!)))</formula>
    </cfRule>
    <cfRule type="containsText" dxfId="7923" priority="656" operator="containsText" text="NA">
      <formula>NOT(ISERROR(SEARCH("NA",#REF!)))</formula>
    </cfRule>
    <cfRule type="containsText" dxfId="7922" priority="657" operator="containsText" text="Done">
      <formula>NOT(ISERROR(SEARCH("Done",#REF!)))</formula>
    </cfRule>
    <cfRule type="containsText" dxfId="7921" priority="662" operator="containsText" text="Pending">
      <formula>NOT(ISERROR(SEARCH("Pending",#REF!)))</formula>
    </cfRule>
    <cfRule type="containsText" dxfId="7920" priority="663" operator="containsText" text="NA">
      <formula>NOT(ISERROR(SEARCH("NA",#REF!)))</formula>
    </cfRule>
    <cfRule type="containsText" dxfId="7919" priority="664" operator="containsText" text="Done">
      <formula>NOT(ISERROR(SEARCH("Done",#REF!)))</formula>
    </cfRule>
    <cfRule type="containsText" dxfId="7918" priority="665" operator="containsText" text="Done">
      <formula>NOT(ISERROR(SEARCH("Done",#REF!)))</formula>
    </cfRule>
    <cfRule type="containsText" dxfId="7917" priority="666" operator="containsText" text="Done">
      <formula>NOT(ISERROR(SEARCH("Done",#REF!)))</formula>
    </cfRule>
    <cfRule type="containsText" dxfId="7916" priority="827" operator="containsText" text="NA">
      <formula>NOT(ISERROR(SEARCH("NA",Q161)))</formula>
    </cfRule>
    <cfRule type="containsText" dxfId="7915" priority="828" operator="containsText" text="Pending">
      <formula>NOT(ISERROR(SEARCH("Pending",Q161)))</formula>
    </cfRule>
    <cfRule type="containsText" dxfId="7914" priority="830" operator="containsText" text="Pending">
      <formula>NOT(ISERROR(SEARCH("Pending",#REF!)))</formula>
    </cfRule>
    <cfRule type="containsText" dxfId="7913" priority="831" operator="containsText" text="NA">
      <formula>NOT(ISERROR(SEARCH("NA",#REF!)))</formula>
    </cfRule>
    <cfRule type="containsText" dxfId="7912" priority="832" operator="containsText" text="Done">
      <formula>NOT(ISERROR(SEARCH("Done",#REF!)))</formula>
    </cfRule>
    <cfRule type="containsText" dxfId="7911" priority="3834" operator="containsText" text="Done">
      <formula>NOT(ISERROR(SEARCH("Done",#REF!)))</formula>
    </cfRule>
    <cfRule type="containsText" dxfId="7910" priority="3835" operator="containsText" text="Pending">
      <formula>NOT(ISERROR(SEARCH("Pending",#REF!)))</formula>
    </cfRule>
    <cfRule type="containsText" dxfId="7909" priority="3836" operator="containsText" text="Pending">
      <formula>NOT(ISERROR(SEARCH("Pending",#REF!)))</formula>
    </cfRule>
    <cfRule type="containsText" dxfId="7908" priority="3837" operator="containsText" text="NA">
      <formula>NOT(ISERROR(SEARCH("NA",#REF!)))</formula>
    </cfRule>
    <cfRule type="containsText" dxfId="7907" priority="3838" operator="containsText" text="NA">
      <formula>NOT(ISERROR(SEARCH("NA",#REF!)))</formula>
    </cfRule>
    <cfRule type="containsText" dxfId="7906" priority="3839" operator="containsText" text="Done">
      <formula>NOT(ISERROR(SEARCH("Done",#REF!)))</formula>
    </cfRule>
    <cfRule type="containsText" dxfId="7905" priority="3840" operator="containsText" text="Pending">
      <formula>NOT(ISERROR(SEARCH("Pending",#REF!)))</formula>
    </cfRule>
    <cfRule type="containsText" dxfId="7904" priority="3841" operator="containsText" text="Pending">
      <formula>NOT(ISERROR(SEARCH("Pending",#REF!)))</formula>
    </cfRule>
    <cfRule type="containsText" dxfId="7903" priority="3842" operator="containsText" text="NA">
      <formula>NOT(ISERROR(SEARCH("NA",#REF!)))</formula>
    </cfRule>
    <cfRule type="containsText" dxfId="7902" priority="3843" operator="containsText" text="NA">
      <formula>NOT(ISERROR(SEARCH("NA",#REF!)))</formula>
    </cfRule>
    <cfRule type="containsText" dxfId="7901" priority="3844" operator="containsText" text="Pending">
      <formula>NOT(ISERROR(SEARCH("Pending",#REF!)))</formula>
    </cfRule>
    <cfRule type="containsText" dxfId="7900" priority="3845" operator="containsText" text="Pending">
      <formula>NOT(ISERROR(SEARCH("Pending",#REF!)))</formula>
    </cfRule>
    <cfRule type="containsText" dxfId="7899" priority="3846" operator="containsText" text="NA">
      <formula>NOT(ISERROR(SEARCH("NA",#REF!)))</formula>
    </cfRule>
    <cfRule type="containsText" dxfId="7898" priority="3847" operator="containsText" text="NA">
      <formula>NOT(ISERROR(SEARCH("NA",#REF!)))</formula>
    </cfRule>
    <cfRule type="containsText" dxfId="7897" priority="3848" operator="containsText" text="Pending">
      <formula>NOT(ISERROR(SEARCH("Pending",#REF!)))</formula>
    </cfRule>
    <cfRule type="containsText" dxfId="7896" priority="3849" operator="containsText" text="Pending">
      <formula>NOT(ISERROR(SEARCH("Pending",#REF!)))</formula>
    </cfRule>
    <cfRule type="containsText" dxfId="7895" priority="3850" operator="containsText" text="NA">
      <formula>NOT(ISERROR(SEARCH("NA",#REF!)))</formula>
    </cfRule>
    <cfRule type="containsText" dxfId="7894" priority="3851" operator="containsText" text="NA">
      <formula>NOT(ISERROR(SEARCH("NA",#REF!)))</formula>
    </cfRule>
    <cfRule type="containsText" dxfId="7893" priority="3852" operator="containsText" text="Pending">
      <formula>NOT(ISERROR(SEARCH("Pending",#REF!)))</formula>
    </cfRule>
    <cfRule type="containsText" dxfId="7892" priority="3853" operator="containsText" text="NA">
      <formula>NOT(ISERROR(SEARCH("NA",#REF!)))</formula>
    </cfRule>
    <cfRule type="containsText" dxfId="7891" priority="3854" operator="containsText" text="Done">
      <formula>NOT(ISERROR(SEARCH("Done",#REF!)))</formula>
    </cfRule>
    <cfRule type="containsText" dxfId="7890" priority="3859" operator="containsText" text="Pending">
      <formula>NOT(ISERROR(SEARCH("Pending",#REF!)))</formula>
    </cfRule>
    <cfRule type="containsText" dxfId="7889" priority="3860" operator="containsText" text="NA">
      <formula>NOT(ISERROR(SEARCH("NA",#REF!)))</formula>
    </cfRule>
    <cfRule type="containsText" dxfId="7888" priority="3861" operator="containsText" text="Done">
      <formula>NOT(ISERROR(SEARCH("Done",#REF!)))</formula>
    </cfRule>
    <cfRule type="containsText" dxfId="7887" priority="3862" operator="containsText" text="Done">
      <formula>NOT(ISERROR(SEARCH("Done",#REF!)))</formula>
    </cfRule>
    <cfRule type="containsText" dxfId="7886" priority="3863" operator="containsText" text="NA">
      <formula>NOT(ISERROR(SEARCH("NA",Q161)))</formula>
    </cfRule>
    <cfRule type="containsText" dxfId="7885" priority="3864" operator="containsText" text="Pending">
      <formula>NOT(ISERROR(SEARCH("Pending",Q161)))</formula>
    </cfRule>
    <cfRule type="containsText" dxfId="7884" priority="3865" operator="containsText" text="Done">
      <formula>NOT(ISERROR(SEARCH("Done",Q161)))</formula>
    </cfRule>
    <cfRule type="containsText" dxfId="7883" priority="3866" operator="containsText" text="Done">
      <formula>NOT(ISERROR(SEARCH("Done",#REF!)))</formula>
    </cfRule>
    <cfRule type="containsText" dxfId="7882" priority="833" operator="containsText" text="Pending">
      <formula>NOT(ISERROR(SEARCH("Pending",#REF!)))</formula>
    </cfRule>
    <cfRule type="containsText" dxfId="7881" priority="834" operator="containsText" text="NA">
      <formula>NOT(ISERROR(SEARCH("NA",#REF!)))</formula>
    </cfRule>
    <cfRule type="containsText" dxfId="7880" priority="835" operator="containsText" text="Done">
      <formula>NOT(ISERROR(SEARCH("Done",#REF!)))</formula>
    </cfRule>
    <cfRule type="containsText" dxfId="7879" priority="840" operator="containsText" text="Pending">
      <formula>NOT(ISERROR(SEARCH("Pending",#REF!)))</formula>
    </cfRule>
    <cfRule type="containsText" dxfId="7878" priority="841" operator="containsText" text="NA">
      <formula>NOT(ISERROR(SEARCH("NA",#REF!)))</formula>
    </cfRule>
    <cfRule type="containsText" dxfId="7877" priority="842" operator="containsText" text="Done">
      <formula>NOT(ISERROR(SEARCH("Done",#REF!)))</formula>
    </cfRule>
    <cfRule type="containsText" dxfId="7876" priority="847" operator="containsText" text="Pending">
      <formula>NOT(ISERROR(SEARCH("Pending",#REF!)))</formula>
    </cfRule>
    <cfRule type="containsText" dxfId="7875" priority="848" operator="containsText" text="NA">
      <formula>NOT(ISERROR(SEARCH("NA",#REF!)))</formula>
    </cfRule>
    <cfRule type="containsText" dxfId="7874" priority="849" operator="containsText" text="Done">
      <formula>NOT(ISERROR(SEARCH("Done",#REF!)))</formula>
    </cfRule>
    <cfRule type="containsText" dxfId="7873" priority="850" operator="containsText" text="Done">
      <formula>NOT(ISERROR(SEARCH("Done",#REF!)))</formula>
    </cfRule>
    <cfRule type="containsText" dxfId="7872" priority="851" operator="containsText" text="Done">
      <formula>NOT(ISERROR(SEARCH("Done",#REF!)))</formula>
    </cfRule>
    <cfRule type="containsText" dxfId="7871" priority="829" operator="containsText" text="Done">
      <formula>NOT(ISERROR(SEARCH("Done",Q161)))</formula>
    </cfRule>
    <cfRule type="containsText" dxfId="7870" priority="574" operator="containsText" text="Pending">
      <formula>NOT(ISERROR(SEARCH("Pending",#REF!)))</formula>
    </cfRule>
    <cfRule type="containsText" dxfId="7869" priority="575" operator="containsText" text="NA">
      <formula>NOT(ISERROR(SEARCH("NA",#REF!)))</formula>
    </cfRule>
    <cfRule type="containsText" dxfId="7868" priority="576" operator="containsText" text="Done">
      <formula>NOT(ISERROR(SEARCH("Done",#REF!)))</formula>
    </cfRule>
    <cfRule type="containsText" dxfId="7867" priority="581" operator="containsText" text="NA">
      <formula>NOT(ISERROR(SEARCH("NA",Q161)))</formula>
    </cfRule>
    <cfRule type="containsText" dxfId="7866" priority="582" operator="containsText" text="Pending">
      <formula>NOT(ISERROR(SEARCH("Pending",Q161)))</formula>
    </cfRule>
    <cfRule type="containsText" dxfId="7865" priority="583" operator="containsText" text="Done">
      <formula>NOT(ISERROR(SEARCH("Done",Q161)))</formula>
    </cfRule>
    <cfRule type="containsText" dxfId="7864" priority="584" operator="containsText" text="Pending">
      <formula>NOT(ISERROR(SEARCH("Pending",#REF!)))</formula>
    </cfRule>
    <cfRule type="containsText" dxfId="7863" priority="585" operator="containsText" text="NA">
      <formula>NOT(ISERROR(SEARCH("NA",#REF!)))</formula>
    </cfRule>
    <cfRule type="containsText" dxfId="7862" priority="586" operator="containsText" text="Done">
      <formula>NOT(ISERROR(SEARCH("Done",#REF!)))</formula>
    </cfRule>
    <cfRule type="containsText" dxfId="7861" priority="587" operator="containsText" text="Pending">
      <formula>NOT(ISERROR(SEARCH("Pending",#REF!)))</formula>
    </cfRule>
    <cfRule type="containsText" dxfId="7860" priority="588" operator="containsText" text="NA">
      <formula>NOT(ISERROR(SEARCH("NA",#REF!)))</formula>
    </cfRule>
    <cfRule type="containsText" dxfId="7859" priority="589" operator="containsText" text="Done">
      <formula>NOT(ISERROR(SEARCH("Done",#REF!)))</formula>
    </cfRule>
    <cfRule type="containsText" dxfId="7858" priority="590" operator="containsText" text="Pending">
      <formula>NOT(ISERROR(SEARCH("Pending",#REF!)))</formula>
    </cfRule>
    <cfRule type="containsText" dxfId="7857" priority="591" operator="containsText" text="NA">
      <formula>NOT(ISERROR(SEARCH("NA",#REF!)))</formula>
    </cfRule>
    <cfRule type="containsText" dxfId="7856" priority="592" operator="containsText" text="Done">
      <formula>NOT(ISERROR(SEARCH("Done",#REF!)))</formula>
    </cfRule>
    <cfRule type="containsText" dxfId="7855" priority="597" operator="containsText" text="Pending">
      <formula>NOT(ISERROR(SEARCH("Pending",#REF!)))</formula>
    </cfRule>
    <cfRule type="containsText" dxfId="7854" priority="598" operator="containsText" text="NA">
      <formula>NOT(ISERROR(SEARCH("NA",#REF!)))</formula>
    </cfRule>
    <cfRule type="containsText" dxfId="7853" priority="599" operator="containsText" text="Done">
      <formula>NOT(ISERROR(SEARCH("Done",#REF!)))</formula>
    </cfRule>
    <cfRule type="containsText" dxfId="7852" priority="600" operator="containsText" text="Done">
      <formula>NOT(ISERROR(SEARCH("Done",#REF!)))</formula>
    </cfRule>
    <cfRule type="containsText" dxfId="7851" priority="609" operator="containsText" text="NA">
      <formula>NOT(ISERROR(SEARCH("NA",Q161)))</formula>
    </cfRule>
    <cfRule type="containsText" dxfId="7850" priority="610" operator="containsText" text="Pending">
      <formula>NOT(ISERROR(SEARCH("Pending",Q161)))</formula>
    </cfRule>
    <cfRule type="containsText" dxfId="7849" priority="611" operator="containsText" text="Done">
      <formula>NOT(ISERROR(SEARCH("Done",Q161)))</formula>
    </cfRule>
    <cfRule type="containsText" dxfId="7848" priority="612" operator="containsText" text="Pending">
      <formula>NOT(ISERROR(SEARCH("Pending",#REF!)))</formula>
    </cfRule>
    <cfRule type="containsText" dxfId="7847" priority="613" operator="containsText" text="NA">
      <formula>NOT(ISERROR(SEARCH("NA",#REF!)))</formula>
    </cfRule>
    <cfRule type="containsText" dxfId="7846" priority="614" operator="containsText" text="Done">
      <formula>NOT(ISERROR(SEARCH("Done",#REF!)))</formula>
    </cfRule>
    <cfRule type="containsText" dxfId="7845" priority="615" operator="containsText" text="Done">
      <formula>NOT(ISERROR(SEARCH("Done",#REF!)))</formula>
    </cfRule>
    <cfRule type="containsText" dxfId="7844" priority="616" operator="containsText" text="Pending">
      <formula>NOT(ISERROR(SEARCH("Pending",#REF!)))</formula>
    </cfRule>
    <cfRule type="containsText" dxfId="7843" priority="617" operator="containsText" text="Pending">
      <formula>NOT(ISERROR(SEARCH("Pending",#REF!)))</formula>
    </cfRule>
  </conditionalFormatting>
  <conditionalFormatting sqref="T76:V76">
    <cfRule type="containsText" dxfId="7842" priority="109395" operator="containsText" text="Done">
      <formula>NOT(ISERROR(SEARCH("Done",#REF!)))</formula>
    </cfRule>
    <cfRule type="containsText" dxfId="7841" priority="109394" operator="containsText" text="NA">
      <formula>NOT(ISERROR(SEARCH("NA",#REF!)))</formula>
    </cfRule>
    <cfRule type="containsText" dxfId="7840" priority="109393" operator="containsText" text="Pending">
      <formula>NOT(ISERROR(SEARCH("Pending",#REF!)))</formula>
    </cfRule>
  </conditionalFormatting>
  <conditionalFormatting sqref="T77:V78 T78:U81 V78:V83">
    <cfRule type="containsText" dxfId="7839" priority="75711" operator="containsText" text="Done">
      <formula>NOT(ISERROR(SEARCH("Done",#REF!)))</formula>
    </cfRule>
    <cfRule type="containsText" dxfId="7838" priority="75710" operator="containsText" text="NA">
      <formula>NOT(ISERROR(SEARCH("NA",#REF!)))</formula>
    </cfRule>
  </conditionalFormatting>
  <conditionalFormatting sqref="T77:V78 V78:V83">
    <cfRule type="containsText" dxfId="7837" priority="75709" operator="containsText" text="Pending">
      <formula>NOT(ISERROR(SEARCH("Pending",#REF!)))</formula>
    </cfRule>
  </conditionalFormatting>
  <conditionalFormatting sqref="T79:V79">
    <cfRule type="containsText" dxfId="7836" priority="10545" operator="containsText" text="NA">
      <formula>NOT(ISERROR(SEARCH("NA",#REF!)))</formula>
    </cfRule>
    <cfRule type="containsText" dxfId="7835" priority="10546" operator="containsText" text="Done">
      <formula>NOT(ISERROR(SEARCH("Done",#REF!)))</formula>
    </cfRule>
  </conditionalFormatting>
  <conditionalFormatting sqref="T79:V81">
    <cfRule type="containsText" dxfId="7834" priority="5509" operator="containsText" text="Pending">
      <formula>NOT(ISERROR(SEARCH("Pending",#REF!)))</formula>
    </cfRule>
  </conditionalFormatting>
  <conditionalFormatting sqref="T80:V80">
    <cfRule type="containsText" dxfId="7833" priority="10531" operator="containsText" text="Done">
      <formula>NOT(ISERROR(SEARCH("Done",#REF!)))</formula>
    </cfRule>
    <cfRule type="containsText" dxfId="7832" priority="10530" operator="containsText" text="NA">
      <formula>NOT(ISERROR(SEARCH("NA",#REF!)))</formula>
    </cfRule>
  </conditionalFormatting>
  <conditionalFormatting sqref="T81:V81">
    <cfRule type="containsText" dxfId="7831" priority="5510" operator="containsText" text="NA">
      <formula>NOT(ISERROR(SEARCH("NA",#REF!)))</formula>
    </cfRule>
    <cfRule type="containsText" dxfId="7830" priority="5511" operator="containsText" text="Done">
      <formula>NOT(ISERROR(SEARCH("Done",#REF!)))</formula>
    </cfRule>
  </conditionalFormatting>
  <conditionalFormatting sqref="T83:V83">
    <cfRule type="containsText" dxfId="7829" priority="5481" operator="containsText" text="Done">
      <formula>NOT(ISERROR(SEARCH("Done",#REF!)))</formula>
    </cfRule>
    <cfRule type="containsText" dxfId="7828" priority="5480" operator="containsText" text="NA">
      <formula>NOT(ISERROR(SEARCH("NA",#REF!)))</formula>
    </cfRule>
    <cfRule type="containsText" dxfId="7827" priority="5479" operator="containsText" text="Pending">
      <formula>NOT(ISERROR(SEARCH("Pending",#REF!)))</formula>
    </cfRule>
  </conditionalFormatting>
  <conditionalFormatting sqref="U7:U11">
    <cfRule type="containsText" dxfId="7826" priority="77303" operator="containsText" text="Done">
      <formula>NOT(ISERROR(SEARCH("Done",#REF!)))</formula>
    </cfRule>
    <cfRule type="containsText" dxfId="7825" priority="77298" operator="containsText" text="Pending">
      <formula>NOT(ISERROR(SEARCH("Pending",#REF!)))</formula>
    </cfRule>
    <cfRule type="containsText" dxfId="7824" priority="77296" operator="containsText" text="Done">
      <formula>NOT(ISERROR(SEARCH("Done",#REF!)))</formula>
    </cfRule>
    <cfRule type="containsText" dxfId="7823" priority="77301" operator="containsText" text="NA">
      <formula>NOT(ISERROR(SEARCH("NA",#REF!)))</formula>
    </cfRule>
    <cfRule type="containsText" dxfId="7822" priority="77300" operator="containsText" text="NA">
      <formula>NOT(ISERROR(SEARCH("NA",#REF!)))</formula>
    </cfRule>
    <cfRule type="containsText" dxfId="7821" priority="77299" operator="containsText" text="Pending">
      <formula>NOT(ISERROR(SEARCH("Pending",#REF!)))</formula>
    </cfRule>
    <cfRule type="containsText" dxfId="7820" priority="77297" operator="containsText" text="Done">
      <formula>NOT(ISERROR(SEARCH("Done",#REF!)))</formula>
    </cfRule>
  </conditionalFormatting>
  <conditionalFormatting sqref="U9:U10">
    <cfRule type="containsText" dxfId="7819" priority="77302" operator="containsText" text="Done">
      <formula>NOT(ISERROR(SEARCH("Done",#REF!)))</formula>
    </cfRule>
  </conditionalFormatting>
  <conditionalFormatting sqref="U14">
    <cfRule type="containsText" dxfId="7818" priority="5358" operator="containsText" text="Done">
      <formula>NOT(ISERROR(SEARCH("Done",#REF!)))</formula>
    </cfRule>
    <cfRule type="containsText" dxfId="7817" priority="5352" operator="containsText" text="Done">
      <formula>NOT(ISERROR(SEARCH("Done",#REF!)))</formula>
    </cfRule>
    <cfRule type="containsText" dxfId="7816" priority="5353" operator="containsText" text="Done">
      <formula>NOT(ISERROR(SEARCH("Done",#REF!)))</formula>
    </cfRule>
    <cfRule type="containsText" dxfId="7815" priority="5354" operator="containsText" text="Pending">
      <formula>NOT(ISERROR(SEARCH("Pending",#REF!)))</formula>
    </cfRule>
    <cfRule type="containsText" dxfId="7814" priority="5355" operator="containsText" text="Pending">
      <formula>NOT(ISERROR(SEARCH("Pending",#REF!)))</formula>
    </cfRule>
    <cfRule type="containsText" dxfId="7813" priority="5356" operator="containsText" text="NA">
      <formula>NOT(ISERROR(SEARCH("NA",#REF!)))</formula>
    </cfRule>
    <cfRule type="containsText" dxfId="7812" priority="5357" operator="containsText" text="NA">
      <formula>NOT(ISERROR(SEARCH("NA",#REF!)))</formula>
    </cfRule>
  </conditionalFormatting>
  <conditionalFormatting sqref="U18">
    <cfRule type="containsText" dxfId="7811" priority="135986" operator="containsText" text="NA">
      <formula>NOT(ISERROR(SEARCH("NA",#REF!)))</formula>
    </cfRule>
    <cfRule type="containsText" dxfId="7810" priority="135768" operator="containsText" text="Pending">
      <formula>NOT(ISERROR(SEARCH("Pending",#REF!)))</formula>
    </cfRule>
  </conditionalFormatting>
  <conditionalFormatting sqref="U21">
    <cfRule type="containsText" dxfId="7809" priority="135770" operator="containsText" text="Pending">
      <formula>NOT(ISERROR(SEARCH("Pending",#REF!)))</formula>
    </cfRule>
    <cfRule type="containsText" dxfId="7808" priority="135987" operator="containsText" text="NA">
      <formula>NOT(ISERROR(SEARCH("NA",#REF!)))</formula>
    </cfRule>
    <cfRule type="containsText" dxfId="7807" priority="135988" operator="containsText" text="NA">
      <formula>NOT(ISERROR(SEARCH("NA",#REF!)))</formula>
    </cfRule>
    <cfRule type="containsText" dxfId="7806" priority="135989" operator="containsText" text="NA">
      <formula>NOT(ISERROR(SEARCH("NA",#REF!)))</formula>
    </cfRule>
    <cfRule type="containsText" dxfId="7805" priority="135771" operator="containsText" text="Pending">
      <formula>NOT(ISERROR(SEARCH("Pending",#REF!)))</formula>
    </cfRule>
  </conditionalFormatting>
  <conditionalFormatting sqref="U22">
    <cfRule type="containsText" dxfId="7804" priority="136013" operator="containsText" text="NA">
      <formula>NOT(ISERROR(SEARCH("NA",#REF!)))</formula>
    </cfRule>
    <cfRule type="containsText" dxfId="7803" priority="136012" operator="containsText" text="NA">
      <formula>NOT(ISERROR(SEARCH("NA",#REF!)))</formula>
    </cfRule>
    <cfRule type="containsText" dxfId="7802" priority="136014" operator="containsText" text="NA">
      <formula>NOT(ISERROR(SEARCH("NA",#REF!)))</formula>
    </cfRule>
    <cfRule type="containsText" dxfId="7801" priority="135795" operator="containsText" text="Pending">
      <formula>NOT(ISERROR(SEARCH("Pending",#REF!)))</formula>
    </cfRule>
    <cfRule type="containsText" dxfId="7800" priority="135796" operator="containsText" text="Pending">
      <formula>NOT(ISERROR(SEARCH("Pending",#REF!)))</formula>
    </cfRule>
  </conditionalFormatting>
  <conditionalFormatting sqref="U29">
    <cfRule type="containsText" dxfId="7799" priority="123495" operator="containsText" text="Pending">
      <formula>NOT(ISERROR(SEARCH("Pending",#REF!)))</formula>
    </cfRule>
    <cfRule type="containsText" dxfId="7798" priority="123494" operator="containsText" text="Done">
      <formula>NOT(ISERROR(SEARCH("Done",#REF!)))</formula>
    </cfRule>
    <cfRule type="containsText" dxfId="7797" priority="123493" operator="containsText" text="NA">
      <formula>NOT(ISERROR(SEARCH("NA",#REF!)))</formula>
    </cfRule>
    <cfRule type="containsText" dxfId="7796" priority="123492" operator="containsText" text="Done">
      <formula>NOT(ISERROR(SEARCH("Done",U29)))</formula>
    </cfRule>
    <cfRule type="containsText" dxfId="7795" priority="123490" operator="containsText" text="NA">
      <formula>NOT(ISERROR(SEARCH("NA",U29)))</formula>
    </cfRule>
    <cfRule type="containsText" dxfId="7794" priority="123496" operator="containsText" text="NA">
      <formula>NOT(ISERROR(SEARCH("NA",#REF!)))</formula>
    </cfRule>
    <cfRule type="containsText" dxfId="7793" priority="123491" operator="containsText" text="Pending">
      <formula>NOT(ISERROR(SEARCH("Pending",U29)))</formula>
    </cfRule>
  </conditionalFormatting>
  <conditionalFormatting sqref="U29:U32 P29:Y29 R29:S32">
    <cfRule type="containsText" dxfId="7792" priority="135554" operator="containsText" text="Done">
      <formula>NOT(ISERROR(SEARCH("Done",#REF!)))</formula>
    </cfRule>
    <cfRule type="containsText" dxfId="7791" priority="135990" operator="containsText" text="NA">
      <formula>NOT(ISERROR(SEARCH("NA",#REF!)))</formula>
    </cfRule>
  </conditionalFormatting>
  <conditionalFormatting sqref="U29:U32">
    <cfRule type="containsText" dxfId="7790" priority="3363" operator="containsText" text="Pending">
      <formula>NOT(ISERROR(SEARCH("Pending",#REF!)))</formula>
    </cfRule>
    <cfRule type="containsText" dxfId="7789" priority="3360" operator="containsText" text="Pending">
      <formula>NOT(ISERROR(SEARCH("Pending",#REF!)))</formula>
    </cfRule>
    <cfRule type="containsText" dxfId="7788" priority="3361" operator="containsText" text="NA">
      <formula>NOT(ISERROR(SEARCH("NA",#REF!)))</formula>
    </cfRule>
    <cfRule type="containsText" dxfId="7787" priority="3362" operator="containsText" text="Done">
      <formula>NOT(ISERROR(SEARCH("Done",#REF!)))</formula>
    </cfRule>
    <cfRule type="containsText" dxfId="7786" priority="3364" operator="containsText" text="NA">
      <formula>NOT(ISERROR(SEARCH("NA",#REF!)))</formula>
    </cfRule>
    <cfRule type="containsText" dxfId="7785" priority="3355" operator="containsText" text="Done">
      <formula>NOT(ISERROR(SEARCH("Done",#REF!)))</formula>
    </cfRule>
    <cfRule type="containsText" dxfId="7784" priority="3354" operator="containsText" text="NA">
      <formula>NOT(ISERROR(SEARCH("NA",#REF!)))</formula>
    </cfRule>
    <cfRule type="containsText" dxfId="7783" priority="3358" operator="containsText" text="NA">
      <formula>NOT(ISERROR(SEARCH("NA",#REF!)))</formula>
    </cfRule>
    <cfRule type="containsText" dxfId="7782" priority="3359" operator="containsText" text="Done">
      <formula>NOT(ISERROR(SEARCH("Done",#REF!)))</formula>
    </cfRule>
    <cfRule type="containsText" dxfId="7781" priority="3357" operator="containsText" text="NA">
      <formula>NOT(ISERROR(SEARCH("NA",#REF!)))</formula>
    </cfRule>
    <cfRule type="containsText" dxfId="7780" priority="3356" operator="containsText" text="Pending">
      <formula>NOT(ISERROR(SEARCH("Pending",#REF!)))</formula>
    </cfRule>
  </conditionalFormatting>
  <conditionalFormatting sqref="U30">
    <cfRule type="containsText" dxfId="7779" priority="4696" operator="containsText" text="NA">
      <formula>NOT(ISERROR(SEARCH("NA",#REF!)))</formula>
    </cfRule>
    <cfRule type="containsText" dxfId="7778" priority="4693" operator="containsText" text="NA">
      <formula>NOT(ISERROR(SEARCH("NA",#REF!)))</formula>
    </cfRule>
    <cfRule type="containsText" dxfId="7777" priority="4708" operator="containsText" text="Done">
      <formula>NOT(ISERROR(SEARCH("Done",#REF!)))</formula>
    </cfRule>
    <cfRule type="containsText" dxfId="7776" priority="4679" operator="containsText" text="NA">
      <formula>NOT(ISERROR(SEARCH("NA",#REF!)))</formula>
    </cfRule>
    <cfRule type="containsText" dxfId="7775" priority="4678" operator="containsText" text="NA">
      <formula>NOT(ISERROR(SEARCH("NA",#REF!)))</formula>
    </cfRule>
    <cfRule type="containsText" dxfId="7774" priority="4673" operator="containsText" text="Pending">
      <formula>NOT(ISERROR(SEARCH("Pending",#REF!)))</formula>
    </cfRule>
    <cfRule type="containsText" dxfId="7773" priority="4677" operator="containsText" text="Pending">
      <formula>NOT(ISERROR(SEARCH("Pending",#REF!)))</formula>
    </cfRule>
    <cfRule type="containsText" dxfId="7772" priority="4695" operator="containsText" text="Pending">
      <formula>NOT(ISERROR(SEARCH("Pending",#REF!)))</formula>
    </cfRule>
    <cfRule type="containsText" dxfId="7771" priority="4676" operator="containsText" text="Done">
      <formula>NOT(ISERROR(SEARCH("Done",#REF!)))</formula>
    </cfRule>
    <cfRule type="containsText" dxfId="7770" priority="4700" operator="containsText" text="Done">
      <formula>NOT(ISERROR(SEARCH("Done",U30)))</formula>
    </cfRule>
    <cfRule type="containsText" dxfId="7769" priority="4689" operator="containsText" text="NA">
      <formula>NOT(ISERROR(SEARCH("NA",#REF!)))</formula>
    </cfRule>
    <cfRule type="containsText" dxfId="7768" priority="4688" operator="containsText" text="Pending">
      <formula>NOT(ISERROR(SEARCH("Pending",#REF!)))</formula>
    </cfRule>
    <cfRule type="containsText" dxfId="7767" priority="4687" operator="containsText" text="Done">
      <formula>NOT(ISERROR(SEARCH("Done",#REF!)))</formula>
    </cfRule>
    <cfRule type="containsText" dxfId="7766" priority="4692" operator="containsText" text="NA">
      <formula>NOT(ISERROR(SEARCH("NA",#REF!)))</formula>
    </cfRule>
    <cfRule type="containsText" dxfId="7765" priority="4686" operator="containsText" text="NA">
      <formula>NOT(ISERROR(SEARCH("NA",#REF!)))</formula>
    </cfRule>
    <cfRule type="containsText" dxfId="7764" priority="4685" operator="containsText" text="NA">
      <formula>NOT(ISERROR(SEARCH("NA",#REF!)))</formula>
    </cfRule>
    <cfRule type="containsText" dxfId="7763" priority="4675" operator="containsText" text="NA">
      <formula>NOT(ISERROR(SEARCH("NA",#REF!)))</formula>
    </cfRule>
    <cfRule type="containsText" dxfId="7762" priority="4691" operator="containsText" text="Pending">
      <formula>NOT(ISERROR(SEARCH("Pending",#REF!)))</formula>
    </cfRule>
    <cfRule type="containsText" dxfId="7761" priority="4684" operator="containsText" text="Pending">
      <formula>NOT(ISERROR(SEARCH("Pending",#REF!)))</formula>
    </cfRule>
    <cfRule type="containsText" dxfId="7760" priority="4690" operator="containsText" text="Done">
      <formula>NOT(ISERROR(SEARCH("Done",#REF!)))</formula>
    </cfRule>
    <cfRule type="containsText" dxfId="7759" priority="4683" operator="containsText" text="Done">
      <formula>NOT(ISERROR(SEARCH("Done",#REF!)))</formula>
    </cfRule>
    <cfRule type="containsText" dxfId="7758" priority="4682" operator="containsText" text="NA">
      <formula>NOT(ISERROR(SEARCH("NA",#REF!)))</formula>
    </cfRule>
    <cfRule type="containsText" dxfId="7757" priority="4701" operator="containsText" text="NA">
      <formula>NOT(ISERROR(SEARCH("NA",#REF!)))</formula>
    </cfRule>
    <cfRule type="containsText" dxfId="7756" priority="4702" operator="containsText" text="Done">
      <formula>NOT(ISERROR(SEARCH("Done",#REF!)))</formula>
    </cfRule>
    <cfRule type="containsText" dxfId="7755" priority="4703" operator="containsText" text="Pending">
      <formula>NOT(ISERROR(SEARCH("Pending",#REF!)))</formula>
    </cfRule>
    <cfRule type="containsText" dxfId="7754" priority="4681" operator="containsText" text="Pending">
      <formula>NOT(ISERROR(SEARCH("Pending",#REF!)))</formula>
    </cfRule>
    <cfRule type="containsText" dxfId="7753" priority="4704" operator="containsText" text="NA">
      <formula>NOT(ISERROR(SEARCH("NA",#REF!)))</formula>
    </cfRule>
    <cfRule type="containsText" dxfId="7752" priority="4705" operator="containsText" text="Pending">
      <formula>NOT(ISERROR(SEARCH("Pending",#REF!)))</formula>
    </cfRule>
    <cfRule type="containsText" dxfId="7751" priority="4706" operator="containsText" text="NA">
      <formula>NOT(ISERROR(SEARCH("NA",#REF!)))</formula>
    </cfRule>
    <cfRule type="containsText" dxfId="7750" priority="4707" operator="containsText" text="NA">
      <formula>NOT(ISERROR(SEARCH("NA",#REF!)))</formula>
    </cfRule>
    <cfRule type="containsText" dxfId="7749" priority="4680" operator="containsText" text="Done">
      <formula>NOT(ISERROR(SEARCH("Done",#REF!)))</formula>
    </cfRule>
    <cfRule type="containsText" dxfId="7748" priority="4709" operator="containsText" text="Pending">
      <formula>NOT(ISERROR(SEARCH("Pending",#REF!)))</formula>
    </cfRule>
    <cfRule type="containsText" dxfId="7747" priority="4698" operator="containsText" text="NA">
      <formula>NOT(ISERROR(SEARCH("NA",U30)))</formula>
    </cfRule>
    <cfRule type="containsText" dxfId="7746" priority="4699" operator="containsText" text="Pending">
      <formula>NOT(ISERROR(SEARCH("Pending",U30)))</formula>
    </cfRule>
    <cfRule type="containsText" dxfId="7745" priority="4672" operator="containsText" text="Done">
      <formula>NOT(ISERROR(SEARCH("Done",#REF!)))</formula>
    </cfRule>
    <cfRule type="containsText" dxfId="7744" priority="4671" operator="containsText" text="NA">
      <formula>NOT(ISERROR(SEARCH("NA",#REF!)))</formula>
    </cfRule>
    <cfRule type="containsText" dxfId="7743" priority="4670" operator="containsText" text="NA">
      <formula>NOT(ISERROR(SEARCH("NA",#REF!)))</formula>
    </cfRule>
    <cfRule type="containsText" dxfId="7742" priority="4669" operator="containsText" text="Pending">
      <formula>NOT(ISERROR(SEARCH("Pending",#REF!)))</formula>
    </cfRule>
    <cfRule type="containsText" dxfId="7741" priority="4668" operator="containsText" text="Done">
      <formula>NOT(ISERROR(SEARCH("Done",#REF!)))</formula>
    </cfRule>
    <cfRule type="containsText" dxfId="7740" priority="4667" operator="containsText" text="NA">
      <formula>NOT(ISERROR(SEARCH("NA",#REF!)))</formula>
    </cfRule>
    <cfRule type="containsText" dxfId="7739" priority="4674" operator="containsText" text="NA">
      <formula>NOT(ISERROR(SEARCH("NA",#REF!)))</formula>
    </cfRule>
    <cfRule type="containsText" dxfId="7738" priority="4710" operator="containsText" text="NA">
      <formula>NOT(ISERROR(SEARCH("NA",#REF!)))</formula>
    </cfRule>
    <cfRule type="containsText" dxfId="7737" priority="4694" operator="containsText" text="Done">
      <formula>NOT(ISERROR(SEARCH("Done",#REF!)))</formula>
    </cfRule>
    <cfRule type="containsText" dxfId="7736" priority="4697" operator="containsText" text="Done">
      <formula>NOT(ISERROR(SEARCH("Done",#REF!)))</formula>
    </cfRule>
  </conditionalFormatting>
  <conditionalFormatting sqref="U31:U32">
    <cfRule type="containsText" dxfId="7735" priority="109268" operator="containsText" text="NA">
      <formula>NOT(ISERROR(SEARCH("NA",#REF!)))</formula>
    </cfRule>
    <cfRule type="containsText" dxfId="7734" priority="109265" operator="containsText" text="NA">
      <formula>NOT(ISERROR(SEARCH("NA",#REF!)))</formula>
    </cfRule>
    <cfRule type="containsText" dxfId="7733" priority="109270" operator="containsText" text="Done">
      <formula>NOT(ISERROR(SEARCH("Done",#REF!)))</formula>
    </cfRule>
    <cfRule type="containsText" dxfId="7732" priority="109271" operator="containsText" text="Pending">
      <formula>NOT(ISERROR(SEARCH("Pending",#REF!)))</formula>
    </cfRule>
    <cfRule type="containsText" dxfId="7731" priority="109267" operator="containsText" text="Pending">
      <formula>NOT(ISERROR(SEARCH("Pending",#REF!)))</formula>
    </cfRule>
    <cfRule type="containsText" dxfId="7730" priority="109272" operator="containsText" text="NA">
      <formula>NOT(ISERROR(SEARCH("NA",#REF!)))</formula>
    </cfRule>
    <cfRule type="containsText" dxfId="7729" priority="109269" operator="containsText" text="NA">
      <formula>NOT(ISERROR(SEARCH("NA",#REF!)))</formula>
    </cfRule>
    <cfRule type="containsText" dxfId="7728" priority="109266" operator="containsText" text="Done">
      <formula>NOT(ISERROR(SEARCH("Done",#REF!)))</formula>
    </cfRule>
  </conditionalFormatting>
  <conditionalFormatting sqref="U46">
    <cfRule type="containsText" dxfId="7727" priority="138927" operator="containsText" text="NA">
      <formula>NOT(ISERROR(SEARCH("NA",#REF!)))</formula>
    </cfRule>
    <cfRule type="containsText" dxfId="7726" priority="137241" operator="containsText" text="Done">
      <formula>NOT(ISERROR(SEARCH("Done",#REF!)))</formula>
    </cfRule>
    <cfRule type="containsText" dxfId="7725" priority="138084" operator="containsText" text="Pending">
      <formula>NOT(ISERROR(SEARCH("Pending",#REF!)))</formula>
    </cfRule>
  </conditionalFormatting>
  <conditionalFormatting sqref="U50">
    <cfRule type="containsText" dxfId="7724" priority="123908" operator="containsText" text="Pending">
      <formula>NOT(ISERROR(SEARCH("Pending",#REF!)))</formula>
    </cfRule>
    <cfRule type="containsText" dxfId="7723" priority="123909" operator="containsText" text="NA">
      <formula>NOT(ISERROR(SEARCH("NA",#REF!)))</formula>
    </cfRule>
    <cfRule type="containsText" dxfId="7722" priority="123907" operator="containsText" text="Done">
      <formula>NOT(ISERROR(SEARCH("Done",#REF!)))</formula>
    </cfRule>
  </conditionalFormatting>
  <conditionalFormatting sqref="U57 P57:Q57">
    <cfRule type="containsText" dxfId="7721" priority="119869" operator="containsText" text="Pending">
      <formula>NOT(ISERROR(SEARCH("Pending",#REF!)))</formula>
    </cfRule>
  </conditionalFormatting>
  <conditionalFormatting sqref="U57">
    <cfRule type="containsText" dxfId="7720" priority="119857" operator="containsText" text="Pending">
      <formula>NOT(ISERROR(SEARCH("Pending",#REF!)))</formula>
    </cfRule>
    <cfRule type="containsText" dxfId="7719" priority="119838" operator="containsText" text="NA">
      <formula>NOT(ISERROR(SEARCH("NA",#REF!)))</formula>
    </cfRule>
    <cfRule type="containsText" dxfId="7718" priority="119842" operator="containsText" text="Done">
      <formula>NOT(ISERROR(SEARCH("Done",#REF!)))</formula>
    </cfRule>
    <cfRule type="containsText" dxfId="7717" priority="119844" operator="containsText" text="Pending">
      <formula>NOT(ISERROR(SEARCH("Pending",#REF!)))</formula>
    </cfRule>
    <cfRule type="containsText" dxfId="7716" priority="119863" operator="containsText" text="NA">
      <formula>NOT(ISERROR(SEARCH("NA",#REF!)))</formula>
    </cfRule>
  </conditionalFormatting>
  <conditionalFormatting sqref="U59">
    <cfRule type="containsText" dxfId="7715" priority="119021" operator="containsText" text="NA">
      <formula>NOT(ISERROR(SEARCH("NA",#REF!)))</formula>
    </cfRule>
    <cfRule type="containsText" dxfId="7714" priority="119020" operator="containsText" text="Pending">
      <formula>NOT(ISERROR(SEARCH("Pending",#REF!)))</formula>
    </cfRule>
    <cfRule type="containsText" dxfId="7713" priority="119018" operator="containsText" text="Pending">
      <formula>NOT(ISERROR(SEARCH("Pending",#REF!)))</formula>
    </cfRule>
    <cfRule type="containsText" dxfId="7712" priority="119017" operator="containsText" text="Done">
      <formula>NOT(ISERROR(SEARCH("Done",#REF!)))</formula>
    </cfRule>
    <cfRule type="containsText" dxfId="7711" priority="119016" operator="containsText" text="NA">
      <formula>NOT(ISERROR(SEARCH("NA",#REF!)))</formula>
    </cfRule>
  </conditionalFormatting>
  <conditionalFormatting sqref="U76">
    <cfRule type="containsText" dxfId="7710" priority="1011" operator="containsText" text="NA">
      <formula>NOT(ISERROR(SEARCH("NA",#REF!)))</formula>
    </cfRule>
    <cfRule type="containsText" dxfId="7709" priority="1010" operator="containsText" text="Pending">
      <formula>NOT(ISERROR(SEARCH("Pending",#REF!)))</formula>
    </cfRule>
    <cfRule type="containsText" dxfId="7708" priority="1009" operator="containsText" text="Done">
      <formula>NOT(ISERROR(SEARCH("Done",#REF!)))</formula>
    </cfRule>
    <cfRule type="containsText" dxfId="7707" priority="1007" operator="containsText" text="Pending">
      <formula>NOT(ISERROR(SEARCH("Pending",#REF!)))</formula>
    </cfRule>
    <cfRule type="containsText" dxfId="7706" priority="1006" operator="containsText" text="Done">
      <formula>NOT(ISERROR(SEARCH("Done",#REF!)))</formula>
    </cfRule>
    <cfRule type="containsText" dxfId="7705" priority="1005" operator="containsText" text="Done">
      <formula>NOT(ISERROR(SEARCH("Done",U76)))</formula>
    </cfRule>
    <cfRule type="containsText" dxfId="7704" priority="1004" operator="containsText" text="NA">
      <formula>NOT(ISERROR(SEARCH("NA",U76)))</formula>
    </cfRule>
    <cfRule type="containsText" dxfId="7703" priority="1003" operator="containsText" text="NA">
      <formula>NOT(ISERROR(SEARCH("NA",#REF!)))</formula>
    </cfRule>
    <cfRule type="containsText" dxfId="7702" priority="1002" operator="containsText" text="Pending">
      <formula>NOT(ISERROR(SEARCH("Pending",#REF!)))</formula>
    </cfRule>
    <cfRule type="containsText" dxfId="7701" priority="1001" operator="containsText" text="Done">
      <formula>NOT(ISERROR(SEARCH("Done",#REF!)))</formula>
    </cfRule>
    <cfRule type="containsText" dxfId="7700" priority="1000" operator="containsText" text="Done">
      <formula>NOT(ISERROR(SEARCH("Done",U76)))</formula>
    </cfRule>
    <cfRule type="containsText" dxfId="7699" priority="999" operator="containsText" text="NA">
      <formula>NOT(ISERROR(SEARCH("NA",U76)))</formula>
    </cfRule>
    <cfRule type="containsText" dxfId="7698" priority="1008" operator="containsText" text="NA">
      <formula>NOT(ISERROR(SEARCH("NA",#REF!)))</formula>
    </cfRule>
  </conditionalFormatting>
  <conditionalFormatting sqref="U77">
    <cfRule type="containsText" dxfId="7697" priority="75682" operator="containsText" text="Pending">
      <formula>NOT(ISERROR(SEARCH("Pending",#REF!)))</formula>
    </cfRule>
    <cfRule type="containsText" dxfId="7696" priority="75683" operator="containsText" text="NA">
      <formula>NOT(ISERROR(SEARCH("NA",#REF!)))</formula>
    </cfRule>
    <cfRule type="containsText" dxfId="7695" priority="75684" operator="containsText" text="NA">
      <formula>NOT(ISERROR(SEARCH("NA",#REF!)))</formula>
    </cfRule>
    <cfRule type="containsText" dxfId="7694" priority="75685" operator="containsText" text="Pending">
      <formula>NOT(ISERROR(SEARCH("Pending",#REF!)))</formula>
    </cfRule>
    <cfRule type="containsText" dxfId="7693" priority="75686" operator="containsText" text="Pending">
      <formula>NOT(ISERROR(SEARCH("Pending",#REF!)))</formula>
    </cfRule>
    <cfRule type="containsText" dxfId="7692" priority="75688" operator="containsText" text="NA">
      <formula>NOT(ISERROR(SEARCH("NA",#REF!)))</formula>
    </cfRule>
    <cfRule type="containsText" dxfId="7691" priority="75687" operator="containsText" text="NA">
      <formula>NOT(ISERROR(SEARCH("NA",#REF!)))</formula>
    </cfRule>
    <cfRule type="containsText" dxfId="7690" priority="75681" operator="containsText" text="Pending">
      <formula>NOT(ISERROR(SEARCH("Pending",#REF!)))</formula>
    </cfRule>
  </conditionalFormatting>
  <conditionalFormatting sqref="U78:U81">
    <cfRule type="containsText" dxfId="7689" priority="791" operator="containsText" text="NA">
      <formula>NOT(ISERROR(SEARCH("NA",#REF!)))</formula>
    </cfRule>
    <cfRule type="containsText" dxfId="7688" priority="4071" operator="containsText" text="NA">
      <formula>NOT(ISERROR(SEARCH("NA",#REF!)))</formula>
    </cfRule>
    <cfRule type="containsText" dxfId="7687" priority="4070" operator="containsText" text="Pending">
      <formula>NOT(ISERROR(SEARCH("Pending",#REF!)))</formula>
    </cfRule>
    <cfRule type="containsText" dxfId="7686" priority="931" operator="containsText" text="Pending">
      <formula>NOT(ISERROR(SEARCH("Pending",#REF!)))</formula>
    </cfRule>
    <cfRule type="containsText" dxfId="7685" priority="4069" operator="containsText" text="Pending">
      <formula>NOT(ISERROR(SEARCH("Pending",#REF!)))</formula>
    </cfRule>
    <cfRule type="containsText" dxfId="7684" priority="781" operator="containsText" text="NA">
      <formula>NOT(ISERROR(SEARCH("NA",#REF!)))</formula>
    </cfRule>
    <cfRule type="containsText" dxfId="7683" priority="776" operator="containsText" text="NA">
      <formula>NOT(ISERROR(SEARCH("NA",#REF!)))</formula>
    </cfRule>
    <cfRule type="containsText" dxfId="7682" priority="779" operator="containsText" text="Done">
      <formula>NOT(ISERROR(SEARCH("Done",#REF!)))</formula>
    </cfRule>
    <cfRule type="containsText" dxfId="7681" priority="777" operator="containsText" text="NA">
      <formula>NOT(ISERROR(SEARCH("NA",U78)))</formula>
    </cfRule>
    <cfRule type="containsText" dxfId="7680" priority="790" operator="containsText" text="NA">
      <formula>NOT(ISERROR(SEARCH("NA",#REF!)))</formula>
    </cfRule>
    <cfRule type="containsText" dxfId="7679" priority="783" operator="containsText" text="Pending">
      <formula>NOT(ISERROR(SEARCH("Pending",#REF!)))</formula>
    </cfRule>
    <cfRule type="containsText" dxfId="7678" priority="778" operator="containsText" text="Done">
      <formula>NOT(ISERROR(SEARCH("Done",U78)))</formula>
    </cfRule>
    <cfRule type="containsText" dxfId="7677" priority="775" operator="containsText" text="Pending">
      <formula>NOT(ISERROR(SEARCH("Pending",#REF!)))</formula>
    </cfRule>
    <cfRule type="containsText" dxfId="7676" priority="782" operator="containsText" text="Done">
      <formula>NOT(ISERROR(SEARCH("Done",#REF!)))</formula>
    </cfRule>
    <cfRule type="containsText" dxfId="7675" priority="784" operator="containsText" text="NA">
      <formula>NOT(ISERROR(SEARCH("NA",#REF!)))</formula>
    </cfRule>
    <cfRule type="containsText" dxfId="7674" priority="788" operator="containsText" text="Pending">
      <formula>NOT(ISERROR(SEARCH("Pending",#REF!)))</formula>
    </cfRule>
    <cfRule type="containsText" dxfId="7673" priority="789" operator="containsText" text="Pending">
      <formula>NOT(ISERROR(SEARCH("Pending",#REF!)))</formula>
    </cfRule>
    <cfRule type="containsText" dxfId="7672" priority="780" operator="containsText" text="Pending">
      <formula>NOT(ISERROR(SEARCH("Pending",#REF!)))</formula>
    </cfRule>
    <cfRule type="containsText" dxfId="7671" priority="938" operator="containsText" text="NA">
      <formula>NOT(ISERROR(SEARCH("NA",#REF!)))</formula>
    </cfRule>
    <cfRule type="containsText" dxfId="7670" priority="937" operator="containsText" text="NA">
      <formula>NOT(ISERROR(SEARCH("NA",#REF!)))</formula>
    </cfRule>
    <cfRule type="containsText" dxfId="7669" priority="936" operator="containsText" text="Pending">
      <formula>NOT(ISERROR(SEARCH("Pending",#REF!)))</formula>
    </cfRule>
    <cfRule type="containsText" dxfId="7668" priority="935" operator="containsText" text="Pending">
      <formula>NOT(ISERROR(SEARCH("Pending",#REF!)))</formula>
    </cfRule>
    <cfRule type="containsText" dxfId="7667" priority="934" operator="containsText" text="NA">
      <formula>NOT(ISERROR(SEARCH("NA",#REF!)))</formula>
    </cfRule>
    <cfRule type="containsText" dxfId="7666" priority="772" operator="containsText" text="NA">
      <formula>NOT(ISERROR(SEARCH("NA",U78)))</formula>
    </cfRule>
    <cfRule type="containsText" dxfId="7665" priority="773" operator="containsText" text="Done">
      <formula>NOT(ISERROR(SEARCH("Done",U78)))</formula>
    </cfRule>
    <cfRule type="containsText" dxfId="7664" priority="774" operator="containsText" text="Done">
      <formula>NOT(ISERROR(SEARCH("Done",#REF!)))</formula>
    </cfRule>
    <cfRule type="containsText" dxfId="7663" priority="933" operator="containsText" text="NA">
      <formula>NOT(ISERROR(SEARCH("NA",#REF!)))</formula>
    </cfRule>
    <cfRule type="containsText" dxfId="7662" priority="932" operator="containsText" text="Pending">
      <formula>NOT(ISERROR(SEARCH("Pending",#REF!)))</formula>
    </cfRule>
    <cfRule type="containsText" dxfId="7661" priority="4072" operator="containsText" text="NA">
      <formula>NOT(ISERROR(SEARCH("NA",#REF!)))</formula>
    </cfRule>
  </conditionalFormatting>
  <conditionalFormatting sqref="U78:U83">
    <cfRule type="containsText" dxfId="7660" priority="109366" operator="containsText" text="Pending">
      <formula>NOT(ISERROR(SEARCH("Pending",#REF!)))</formula>
    </cfRule>
    <cfRule type="containsText" dxfId="7659" priority="109367" operator="containsText" text="Pending">
      <formula>NOT(ISERROR(SEARCH("Pending",#REF!)))</formula>
    </cfRule>
    <cfRule type="containsText" dxfId="7658" priority="109371" operator="containsText" text="NA">
      <formula>NOT(ISERROR(SEARCH("NA",#REF!)))</formula>
    </cfRule>
    <cfRule type="containsText" dxfId="7657" priority="109370" operator="containsText" text="NA">
      <formula>NOT(ISERROR(SEARCH("NA",#REF!)))</formula>
    </cfRule>
  </conditionalFormatting>
  <conditionalFormatting sqref="U79:U81">
    <cfRule type="containsText" dxfId="7656" priority="813" operator="containsText" text="NA">
      <formula>NOT(ISERROR(SEARCH("NA",#REF!)))</formula>
    </cfRule>
    <cfRule type="containsText" dxfId="7655" priority="812" operator="containsText" text="Pending">
      <formula>NOT(ISERROR(SEARCH("Pending",#REF!)))</formula>
    </cfRule>
    <cfRule type="containsText" dxfId="7654" priority="814" operator="containsText" text="NA">
      <formula>NOT(ISERROR(SEARCH("NA",#REF!)))</formula>
    </cfRule>
    <cfRule type="containsText" dxfId="7653" priority="811" operator="containsText" text="Pending">
      <formula>NOT(ISERROR(SEARCH("Pending",#REF!)))</formula>
    </cfRule>
  </conditionalFormatting>
  <conditionalFormatting sqref="U82">
    <cfRule type="containsText" dxfId="7652" priority="867" operator="containsText" text="Done">
      <formula>NOT(ISERROR(SEARCH("Done",#REF!)))</formula>
    </cfRule>
    <cfRule type="containsText" dxfId="7651" priority="866" operator="containsText" text="Done">
      <formula>NOT(ISERROR(SEARCH("Done",#REF!)))</formula>
    </cfRule>
    <cfRule type="containsText" dxfId="7650" priority="865" operator="containsText" text="NA">
      <formula>NOT(ISERROR(SEARCH("NA",#REF!)))</formula>
    </cfRule>
    <cfRule type="containsText" dxfId="7649" priority="863" operator="containsText" text="Pending">
      <formula>NOT(ISERROR(SEARCH("Pending",#REF!)))</formula>
    </cfRule>
    <cfRule type="containsText" dxfId="7648" priority="3891" operator="containsText" text="NA">
      <formula>NOT(ISERROR(SEARCH("NA",#REF!)))</formula>
    </cfRule>
    <cfRule type="containsText" dxfId="7647" priority="3890" operator="containsText" text="NA">
      <formula>NOT(ISERROR(SEARCH("NA",#REF!)))</formula>
    </cfRule>
    <cfRule type="containsText" dxfId="7646" priority="3889" operator="containsText" text="Pending">
      <formula>NOT(ISERROR(SEARCH("Pending",#REF!)))</formula>
    </cfRule>
    <cfRule type="containsText" dxfId="7645" priority="3888" operator="containsText" text="Pending">
      <formula>NOT(ISERROR(SEARCH("Pending",#REF!)))</formula>
    </cfRule>
    <cfRule type="containsText" dxfId="7644" priority="3887" operator="containsText" text="NA">
      <formula>NOT(ISERROR(SEARCH("NA",#REF!)))</formula>
    </cfRule>
    <cfRule type="containsText" dxfId="7643" priority="3886" operator="containsText" text="NA">
      <formula>NOT(ISERROR(SEARCH("NA",#REF!)))</formula>
    </cfRule>
    <cfRule type="containsText" dxfId="7642" priority="3885" operator="containsText" text="Pending">
      <formula>NOT(ISERROR(SEARCH("Pending",#REF!)))</formula>
    </cfRule>
    <cfRule type="containsText" dxfId="7641" priority="3884" operator="containsText" text="Pending">
      <formula>NOT(ISERROR(SEARCH("Pending",#REF!)))</formula>
    </cfRule>
    <cfRule type="containsText" dxfId="7640" priority="855" operator="containsText" text="NA">
      <formula>NOT(ISERROR(SEARCH("NA",R160)))</formula>
    </cfRule>
    <cfRule type="containsText" dxfId="7639" priority="854" operator="containsText" text="Done">
      <formula>NOT(ISERROR(SEARCH("Done",R160)))</formula>
    </cfRule>
    <cfRule type="containsText" dxfId="7638" priority="3915" operator="containsText" text="Pending">
      <formula>NOT(ISERROR(SEARCH("Pending",#REF!)))</formula>
    </cfRule>
    <cfRule type="containsText" dxfId="7637" priority="860" operator="containsText" text="Done">
      <formula>NOT(ISERROR(SEARCH("Done",R160)))</formula>
    </cfRule>
    <cfRule type="containsText" dxfId="7636" priority="864" operator="containsText" text="NA">
      <formula>NOT(ISERROR(SEARCH("NA",#REF!)))</formula>
    </cfRule>
    <cfRule type="containsText" dxfId="7635" priority="859" operator="containsText" text="Pending">
      <formula>NOT(ISERROR(SEARCH("Pending",R160)))</formula>
    </cfRule>
    <cfRule type="containsText" dxfId="7634" priority="858" operator="containsText" text="NA">
      <formula>NOT(ISERROR(SEARCH("NA",R160)))</formula>
    </cfRule>
    <cfRule type="containsText" dxfId="7633" priority="3918" operator="containsText" text="NA">
      <formula>NOT(ISERROR(SEARCH("NA",#REF!)))</formula>
    </cfRule>
    <cfRule type="containsText" dxfId="7632" priority="3917" operator="containsText" text="NA">
      <formula>NOT(ISERROR(SEARCH("NA",#REF!)))</formula>
    </cfRule>
    <cfRule type="containsText" dxfId="7631" priority="857" operator="containsText" text="Done">
      <formula>NOT(ISERROR(SEARCH("Done",R160)))</formula>
    </cfRule>
    <cfRule type="containsText" dxfId="7630" priority="869" operator="containsText" text="Pending">
      <formula>NOT(ISERROR(SEARCH("Pending",#REF!)))</formula>
    </cfRule>
    <cfRule type="containsText" dxfId="7629" priority="3916" operator="containsText" text="Pending">
      <formula>NOT(ISERROR(SEARCH("Pending",#REF!)))</formula>
    </cfRule>
    <cfRule type="containsText" dxfId="7628" priority="856" operator="containsText" text="Pending">
      <formula>NOT(ISERROR(SEARCH("Pending",R160)))</formula>
    </cfRule>
    <cfRule type="containsText" dxfId="7627" priority="852" operator="containsText" text="NA">
      <formula>NOT(ISERROR(SEARCH("NA",R160)))</formula>
    </cfRule>
    <cfRule type="containsText" dxfId="7626" priority="868" operator="containsText" text="Pending">
      <formula>NOT(ISERROR(SEARCH("Pending",#REF!)))</formula>
    </cfRule>
    <cfRule type="containsText" dxfId="7625" priority="862" operator="containsText" text="Pending">
      <formula>NOT(ISERROR(SEARCH("Pending",#REF!)))</formula>
    </cfRule>
    <cfRule type="containsText" dxfId="7624" priority="861" operator="containsText" text="Done">
      <formula>NOT(ISERROR(SEARCH("Done",#REF!)))</formula>
    </cfRule>
    <cfRule type="containsText" dxfId="7623" priority="853" operator="containsText" text="Pending">
      <formula>NOT(ISERROR(SEARCH("Pending",R160)))</formula>
    </cfRule>
    <cfRule type="containsText" dxfId="7622" priority="879" operator="containsText" text="NA">
      <formula>NOT(ISERROR(SEARCH("NA",#REF!)))</formula>
    </cfRule>
    <cfRule type="containsText" dxfId="7621" priority="878" operator="containsText" text="NA">
      <formula>NOT(ISERROR(SEARCH("NA",#REF!)))</formula>
    </cfRule>
    <cfRule type="containsText" dxfId="7620" priority="877" operator="containsText" text="Pending">
      <formula>NOT(ISERROR(SEARCH("Pending",#REF!)))</formula>
    </cfRule>
    <cfRule type="containsText" dxfId="7619" priority="876" operator="containsText" text="Pending">
      <formula>NOT(ISERROR(SEARCH("Pending",#REF!)))</formula>
    </cfRule>
    <cfRule type="containsText" dxfId="7618" priority="875" operator="containsText" text="NA">
      <formula>NOT(ISERROR(SEARCH("NA",#REF!)))</formula>
    </cfRule>
    <cfRule type="containsText" dxfId="7617" priority="874" operator="containsText" text="NA">
      <formula>NOT(ISERROR(SEARCH("NA",#REF!)))</formula>
    </cfRule>
    <cfRule type="containsText" dxfId="7616" priority="873" operator="containsText" text="Pending">
      <formula>NOT(ISERROR(SEARCH("Pending",#REF!)))</formula>
    </cfRule>
    <cfRule type="containsText" dxfId="7615" priority="872" operator="containsText" text="Pending">
      <formula>NOT(ISERROR(SEARCH("Pending",#REF!)))</formula>
    </cfRule>
    <cfRule type="containsText" dxfId="7614" priority="871" operator="containsText" text="NA">
      <formula>NOT(ISERROR(SEARCH("NA",#REF!)))</formula>
    </cfRule>
    <cfRule type="containsText" dxfId="7613" priority="870" operator="containsText" text="NA">
      <formula>NOT(ISERROR(SEARCH("NA",#REF!)))</formula>
    </cfRule>
  </conditionalFormatting>
  <conditionalFormatting sqref="U83">
    <cfRule type="containsText" dxfId="7612" priority="602" operator="containsText" text="Pending">
      <formula>NOT(ISERROR(SEARCH("Pending",#REF!)))</formula>
    </cfRule>
    <cfRule type="containsText" dxfId="7611" priority="3857" operator="containsText" text="NA">
      <formula>NOT(ISERROR(SEARCH("NA",#REF!)))</formula>
    </cfRule>
    <cfRule type="containsText" dxfId="7610" priority="604" operator="containsText" text="NA">
      <formula>NOT(ISERROR(SEARCH("NA",#REF!)))</formula>
    </cfRule>
    <cfRule type="containsText" dxfId="7609" priority="605" operator="containsText" text="Pending">
      <formula>NOT(ISERROR(SEARCH("Pending",#REF!)))</formula>
    </cfRule>
    <cfRule type="containsText" dxfId="7608" priority="606" operator="containsText" text="Pending">
      <formula>NOT(ISERROR(SEARCH("Pending",#REF!)))</formula>
    </cfRule>
    <cfRule type="containsText" dxfId="7607" priority="607" operator="containsText" text="NA">
      <formula>NOT(ISERROR(SEARCH("NA",#REF!)))</formula>
    </cfRule>
    <cfRule type="containsText" dxfId="7606" priority="608" operator="containsText" text="NA">
      <formula>NOT(ISERROR(SEARCH("NA",#REF!)))</formula>
    </cfRule>
    <cfRule type="containsText" dxfId="7605" priority="636" operator="containsText" text="Pending">
      <formula>NOT(ISERROR(SEARCH("Pending",#REF!)))</formula>
    </cfRule>
    <cfRule type="containsText" dxfId="7604" priority="637" operator="containsText" text="Pending">
      <formula>NOT(ISERROR(SEARCH("Pending",#REF!)))</formula>
    </cfRule>
    <cfRule type="containsText" dxfId="7603" priority="638" operator="containsText" text="NA">
      <formula>NOT(ISERROR(SEARCH("NA",#REF!)))</formula>
    </cfRule>
    <cfRule type="containsText" dxfId="7602" priority="639" operator="containsText" text="NA">
      <formula>NOT(ISERROR(SEARCH("NA",#REF!)))</formula>
    </cfRule>
    <cfRule type="containsText" dxfId="7601" priority="643" operator="containsText" text="Pending">
      <formula>NOT(ISERROR(SEARCH("Pending",#REF!)))</formula>
    </cfRule>
    <cfRule type="containsText" dxfId="7600" priority="644" operator="containsText" text="Pending">
      <formula>NOT(ISERROR(SEARCH("Pending",#REF!)))</formula>
    </cfRule>
    <cfRule type="containsText" dxfId="7599" priority="3856" operator="containsText" text="Pending">
      <formula>NOT(ISERROR(SEARCH("Pending",#REF!)))</formula>
    </cfRule>
    <cfRule type="containsText" dxfId="7598" priority="596" operator="containsText" text="NA">
      <formula>NOT(ISERROR(SEARCH("NA",#REF!)))</formula>
    </cfRule>
    <cfRule type="containsText" dxfId="7597" priority="3855" operator="containsText" text="Pending">
      <formula>NOT(ISERROR(SEARCH("Pending",#REF!)))</formula>
    </cfRule>
    <cfRule type="containsText" dxfId="7596" priority="603" operator="containsText" text="NA">
      <formula>NOT(ISERROR(SEARCH("NA",#REF!)))</formula>
    </cfRule>
    <cfRule type="containsText" dxfId="7595" priority="561" operator="containsText" text="NA">
      <formula>NOT(ISERROR(SEARCH("NA",U83)))</formula>
    </cfRule>
    <cfRule type="containsText" dxfId="7594" priority="826" operator="containsText" text="NA">
      <formula>NOT(ISERROR(SEARCH("NA",#REF!)))</formula>
    </cfRule>
    <cfRule type="containsText" dxfId="7593" priority="825" operator="containsText" text="NA">
      <formula>NOT(ISERROR(SEARCH("NA",#REF!)))</formula>
    </cfRule>
    <cfRule type="containsText" dxfId="7592" priority="824" operator="containsText" text="Pending">
      <formula>NOT(ISERROR(SEARCH("Pending",#REF!)))</formula>
    </cfRule>
    <cfRule type="containsText" dxfId="7591" priority="823" operator="containsText" text="Pending">
      <formula>NOT(ISERROR(SEARCH("Pending",#REF!)))</formula>
    </cfRule>
    <cfRule type="containsText" dxfId="7590" priority="645" operator="containsText" text="NA">
      <formula>NOT(ISERROR(SEARCH("NA",#REF!)))</formula>
    </cfRule>
    <cfRule type="containsText" dxfId="7589" priority="646" operator="containsText" text="NA">
      <formula>NOT(ISERROR(SEARCH("NA",#REF!)))</formula>
    </cfRule>
    <cfRule type="containsText" dxfId="7588" priority="658" operator="containsText" text="Pending">
      <formula>NOT(ISERROR(SEARCH("Pending",#REF!)))</formula>
    </cfRule>
    <cfRule type="containsText" dxfId="7587" priority="562" operator="containsText" text="Done">
      <formula>NOT(ISERROR(SEARCH("Done",U83)))</formula>
    </cfRule>
    <cfRule type="containsText" dxfId="7586" priority="563" operator="containsText" text="Done">
      <formula>NOT(ISERROR(SEARCH("Done",#REF!)))</formula>
    </cfRule>
    <cfRule type="containsText" dxfId="7585" priority="836" operator="containsText" text="Pending">
      <formula>NOT(ISERROR(SEARCH("Pending",#REF!)))</formula>
    </cfRule>
    <cfRule type="containsText" dxfId="7584" priority="822" operator="containsText" text="NA">
      <formula>NOT(ISERROR(SEARCH("NA",#REF!)))</formula>
    </cfRule>
    <cfRule type="containsText" dxfId="7583" priority="821" operator="containsText" text="NA">
      <formula>NOT(ISERROR(SEARCH("NA",#REF!)))</formula>
    </cfRule>
    <cfRule type="containsText" dxfId="7582" priority="820" operator="containsText" text="Pending">
      <formula>NOT(ISERROR(SEARCH("Pending",#REF!)))</formula>
    </cfRule>
    <cfRule type="containsText" dxfId="7581" priority="819" operator="containsText" text="Pending">
      <formula>NOT(ISERROR(SEARCH("Pending",#REF!)))</formula>
    </cfRule>
    <cfRule type="containsText" dxfId="7580" priority="837" operator="containsText" text="Pending">
      <formula>NOT(ISERROR(SEARCH("Pending",#REF!)))</formula>
    </cfRule>
    <cfRule type="containsText" dxfId="7579" priority="564" operator="containsText" text="Pending">
      <formula>NOT(ISERROR(SEARCH("Pending",#REF!)))</formula>
    </cfRule>
    <cfRule type="containsText" dxfId="7578" priority="565" operator="containsText" text="NA">
      <formula>NOT(ISERROR(SEARCH("NA",#REF!)))</formula>
    </cfRule>
    <cfRule type="containsText" dxfId="7577" priority="566" operator="containsText" text="NA">
      <formula>NOT(ISERROR(SEARCH("NA",U83)))</formula>
    </cfRule>
    <cfRule type="containsText" dxfId="7576" priority="838" operator="containsText" text="NA">
      <formula>NOT(ISERROR(SEARCH("NA",#REF!)))</formula>
    </cfRule>
    <cfRule type="containsText" dxfId="7575" priority="567" operator="containsText" text="Done">
      <formula>NOT(ISERROR(SEARCH("Done",U83)))</formula>
    </cfRule>
    <cfRule type="containsText" dxfId="7574" priority="568" operator="containsText" text="Done">
      <formula>NOT(ISERROR(SEARCH("Done",#REF!)))</formula>
    </cfRule>
    <cfRule type="containsText" dxfId="7573" priority="569" operator="containsText" text="Pending">
      <formula>NOT(ISERROR(SEARCH("Pending",#REF!)))</formula>
    </cfRule>
    <cfRule type="containsText" dxfId="7572" priority="570" operator="containsText" text="NA">
      <formula>NOT(ISERROR(SEARCH("NA",#REF!)))</formula>
    </cfRule>
    <cfRule type="containsText" dxfId="7571" priority="839" operator="containsText" text="NA">
      <formula>NOT(ISERROR(SEARCH("NA",#REF!)))</formula>
    </cfRule>
    <cfRule type="containsText" dxfId="7570" priority="843" operator="containsText" text="Pending">
      <formula>NOT(ISERROR(SEARCH("Pending",#REF!)))</formula>
    </cfRule>
    <cfRule type="containsText" dxfId="7569" priority="844" operator="containsText" text="Pending">
      <formula>NOT(ISERROR(SEARCH("Pending",#REF!)))</formula>
    </cfRule>
    <cfRule type="containsText" dxfId="7568" priority="845" operator="containsText" text="NA">
      <formula>NOT(ISERROR(SEARCH("NA",#REF!)))</formula>
    </cfRule>
    <cfRule type="containsText" dxfId="7567" priority="846" operator="containsText" text="NA">
      <formula>NOT(ISERROR(SEARCH("NA",#REF!)))</formula>
    </cfRule>
    <cfRule type="containsText" dxfId="7566" priority="571" operator="containsText" text="Done">
      <formula>NOT(ISERROR(SEARCH("Done",#REF!)))</formula>
    </cfRule>
    <cfRule type="containsText" dxfId="7565" priority="572" operator="containsText" text="Pending">
      <formula>NOT(ISERROR(SEARCH("Pending",#REF!)))</formula>
    </cfRule>
    <cfRule type="containsText" dxfId="7564" priority="573" operator="containsText" text="NA">
      <formula>NOT(ISERROR(SEARCH("NA",#REF!)))</formula>
    </cfRule>
    <cfRule type="containsText" dxfId="7563" priority="577" operator="containsText" text="Pending">
      <formula>NOT(ISERROR(SEARCH("Pending",#REF!)))</formula>
    </cfRule>
    <cfRule type="containsText" dxfId="7562" priority="578" operator="containsText" text="Pending">
      <formula>NOT(ISERROR(SEARCH("Pending",#REF!)))</formula>
    </cfRule>
    <cfRule type="containsText" dxfId="7561" priority="579" operator="containsText" text="NA">
      <formula>NOT(ISERROR(SEARCH("NA",#REF!)))</formula>
    </cfRule>
    <cfRule type="containsText" dxfId="7560" priority="580" operator="containsText" text="NA">
      <formula>NOT(ISERROR(SEARCH("NA",#REF!)))</formula>
    </cfRule>
    <cfRule type="containsText" dxfId="7559" priority="593" operator="containsText" text="Pending">
      <formula>NOT(ISERROR(SEARCH("Pending",#REF!)))</formula>
    </cfRule>
    <cfRule type="containsText" dxfId="7558" priority="594" operator="containsText" text="Pending">
      <formula>NOT(ISERROR(SEARCH("Pending",#REF!)))</formula>
    </cfRule>
    <cfRule type="containsText" dxfId="7557" priority="595" operator="containsText" text="NA">
      <formula>NOT(ISERROR(SEARCH("NA",#REF!)))</formula>
    </cfRule>
    <cfRule type="containsText" dxfId="7556" priority="659" operator="containsText" text="Pending">
      <formula>NOT(ISERROR(SEARCH("Pending",#REF!)))</formula>
    </cfRule>
    <cfRule type="containsText" dxfId="7555" priority="660" operator="containsText" text="NA">
      <formula>NOT(ISERROR(SEARCH("NA",#REF!)))</formula>
    </cfRule>
    <cfRule type="containsText" dxfId="7554" priority="661" operator="containsText" text="NA">
      <formula>NOT(ISERROR(SEARCH("NA",#REF!)))</formula>
    </cfRule>
    <cfRule type="containsText" dxfId="7553" priority="3858" operator="containsText" text="NA">
      <formula>NOT(ISERROR(SEARCH("NA",#REF!)))</formula>
    </cfRule>
    <cfRule type="containsText" dxfId="7552" priority="601" operator="containsText" text="Pending">
      <formula>NOT(ISERROR(SEARCH("Pending",#REF!)))</formula>
    </cfRule>
  </conditionalFormatting>
  <conditionalFormatting sqref="U86:U88">
    <cfRule type="containsText" dxfId="7551" priority="1194" operator="containsText" text="Done">
      <formula>NOT(ISERROR(SEARCH("Done",#REF!)))</formula>
    </cfRule>
    <cfRule type="containsText" dxfId="7550" priority="1195" operator="containsText" text="Pending">
      <formula>NOT(ISERROR(SEARCH("Pending",#REF!)))</formula>
    </cfRule>
    <cfRule type="containsText" dxfId="7549" priority="1189" operator="containsText" text="Done">
      <formula>NOT(ISERROR(SEARCH("Done",#REF!)))</formula>
    </cfRule>
    <cfRule type="containsText" dxfId="7548" priority="1197" operator="containsText" text="Done">
      <formula>NOT(ISERROR(SEARCH("Done",#REF!)))</formula>
    </cfRule>
    <cfRule type="containsText" dxfId="7547" priority="1198" operator="containsText" text="Pending">
      <formula>NOT(ISERROR(SEARCH("Pending",#REF!)))</formula>
    </cfRule>
    <cfRule type="containsText" dxfId="7546" priority="1199" operator="containsText" text="NA">
      <formula>NOT(ISERROR(SEARCH("NA",#REF!)))</formula>
    </cfRule>
    <cfRule type="containsText" dxfId="7545" priority="1187" operator="containsText" text="NA">
      <formula>NOT(ISERROR(SEARCH("NA",U86)))</formula>
    </cfRule>
    <cfRule type="containsText" dxfId="7544" priority="1188" operator="containsText" text="Done">
      <formula>NOT(ISERROR(SEARCH("Done",U86)))</formula>
    </cfRule>
    <cfRule type="containsText" dxfId="7543" priority="1190" operator="containsText" text="Pending">
      <formula>NOT(ISERROR(SEARCH("Pending",#REF!)))</formula>
    </cfRule>
    <cfRule type="containsText" dxfId="7542" priority="1191" operator="containsText" text="NA">
      <formula>NOT(ISERROR(SEARCH("NA",#REF!)))</formula>
    </cfRule>
    <cfRule type="containsText" dxfId="7541" priority="1192" operator="containsText" text="NA">
      <formula>NOT(ISERROR(SEARCH("NA",U86)))</formula>
    </cfRule>
    <cfRule type="containsText" dxfId="7540" priority="1193" operator="containsText" text="Done">
      <formula>NOT(ISERROR(SEARCH("Done",U86)))</formula>
    </cfRule>
    <cfRule type="containsText" dxfId="7539" priority="1196" operator="containsText" text="NA">
      <formula>NOT(ISERROR(SEARCH("NA",#REF!)))</formula>
    </cfRule>
  </conditionalFormatting>
  <conditionalFormatting sqref="U88:U89">
    <cfRule type="containsText" dxfId="7538" priority="77350" operator="containsText" text="NA">
      <formula>NOT(ISERROR(SEARCH("NA",U88)))</formula>
    </cfRule>
    <cfRule type="containsText" dxfId="7537" priority="77351" operator="containsText" text="Done">
      <formula>NOT(ISERROR(SEARCH("Done",U88)))</formula>
    </cfRule>
  </conditionalFormatting>
  <conditionalFormatting sqref="U89">
    <cfRule type="containsText" dxfId="7536" priority="4168" operator="containsText" text="NA">
      <formula>NOT(ISERROR(SEARCH("NA",#REF!)))</formula>
    </cfRule>
    <cfRule type="containsText" dxfId="7535" priority="4167" operator="containsText" text="Pending">
      <formula>NOT(ISERROR(SEARCH("Pending",#REF!)))</formula>
    </cfRule>
    <cfRule type="containsText" dxfId="7534" priority="4166" operator="containsText" text="Done">
      <formula>NOT(ISERROR(SEARCH("Done",#REF!)))</formula>
    </cfRule>
    <cfRule type="containsText" dxfId="7533" priority="4165" operator="containsText" text="Done">
      <formula>NOT(ISERROR(SEARCH("Done",U89)))</formula>
    </cfRule>
    <cfRule type="containsText" dxfId="7532" priority="4164" operator="containsText" text="NA">
      <formula>NOT(ISERROR(SEARCH("NA",U89)))</formula>
    </cfRule>
    <cfRule type="containsText" dxfId="7531" priority="4173" operator="containsText" text="NA">
      <formula>NOT(ISERROR(SEARCH("NA",#REF!)))</formula>
    </cfRule>
    <cfRule type="containsText" dxfId="7530" priority="4172" operator="containsText" text="Pending">
      <formula>NOT(ISERROR(SEARCH("Pending",#REF!)))</formula>
    </cfRule>
    <cfRule type="containsText" dxfId="7529" priority="4171" operator="containsText" text="Done">
      <formula>NOT(ISERROR(SEARCH("Done",#REF!)))</formula>
    </cfRule>
    <cfRule type="containsText" dxfId="7528" priority="4170" operator="containsText" text="Done">
      <formula>NOT(ISERROR(SEARCH("Done",U89)))</formula>
    </cfRule>
    <cfRule type="containsText" dxfId="7527" priority="4169" operator="containsText" text="NA">
      <formula>NOT(ISERROR(SEARCH("NA",U89)))</formula>
    </cfRule>
  </conditionalFormatting>
  <conditionalFormatting sqref="U76:V76">
    <cfRule type="containsText" dxfId="7526" priority="119273" operator="containsText" text="Pending">
      <formula>NOT(ISERROR(SEARCH("Pending",#REF!)))</formula>
    </cfRule>
    <cfRule type="containsText" dxfId="7525" priority="119274" operator="containsText" text="Pending">
      <formula>NOT(ISERROR(SEARCH("Pending",#REF!)))</formula>
    </cfRule>
    <cfRule type="containsText" dxfId="7524" priority="119286" operator="containsText" text="NA">
      <formula>NOT(ISERROR(SEARCH("NA",#REF!)))</formula>
    </cfRule>
    <cfRule type="containsText" dxfId="7523" priority="119285" operator="containsText" text="NA">
      <formula>NOT(ISERROR(SEARCH("NA",#REF!)))</formula>
    </cfRule>
  </conditionalFormatting>
  <conditionalFormatting sqref="U77:V78 U78:U81 V78:V83">
    <cfRule type="containsText" dxfId="7522" priority="75714" operator="containsText" text="NA">
      <formula>NOT(ISERROR(SEARCH("NA",#REF!)))</formula>
    </cfRule>
    <cfRule type="containsText" dxfId="7521" priority="75713" operator="containsText" text="Pending">
      <formula>NOT(ISERROR(SEARCH("Pending",#REF!)))</formula>
    </cfRule>
    <cfRule type="containsText" dxfId="7520" priority="75712" operator="containsText" text="Pending">
      <formula>NOT(ISERROR(SEARCH("Pending",#REF!)))</formula>
    </cfRule>
    <cfRule type="containsText" dxfId="7519" priority="75715" operator="containsText" text="NA">
      <formula>NOT(ISERROR(SEARCH("NA",#REF!)))</formula>
    </cfRule>
  </conditionalFormatting>
  <conditionalFormatting sqref="U79:V79">
    <cfRule type="containsText" dxfId="7518" priority="10550" operator="containsText" text="NA">
      <formula>NOT(ISERROR(SEARCH("NA",#REF!)))</formula>
    </cfRule>
    <cfRule type="containsText" dxfId="7517" priority="10549" operator="containsText" text="NA">
      <formula>NOT(ISERROR(SEARCH("NA",#REF!)))</formula>
    </cfRule>
    <cfRule type="containsText" dxfId="7516" priority="10548" operator="containsText" text="Pending">
      <formula>NOT(ISERROR(SEARCH("Pending",#REF!)))</formula>
    </cfRule>
    <cfRule type="containsText" dxfId="7515" priority="10547" operator="containsText" text="Pending">
      <formula>NOT(ISERROR(SEARCH("Pending",#REF!)))</formula>
    </cfRule>
  </conditionalFormatting>
  <conditionalFormatting sqref="U80:V80">
    <cfRule type="containsText" dxfId="7514" priority="10535" operator="containsText" text="NA">
      <formula>NOT(ISERROR(SEARCH("NA",#REF!)))</formula>
    </cfRule>
    <cfRule type="containsText" dxfId="7513" priority="10532" operator="containsText" text="Pending">
      <formula>NOT(ISERROR(SEARCH("Pending",#REF!)))</formula>
    </cfRule>
    <cfRule type="containsText" dxfId="7512" priority="10533" operator="containsText" text="Pending">
      <formula>NOT(ISERROR(SEARCH("Pending",#REF!)))</formula>
    </cfRule>
    <cfRule type="containsText" dxfId="7511" priority="10534" operator="containsText" text="NA">
      <formula>NOT(ISERROR(SEARCH("NA",#REF!)))</formula>
    </cfRule>
  </conditionalFormatting>
  <conditionalFormatting sqref="U81:V81">
    <cfRule type="containsText" dxfId="7510" priority="5512" operator="containsText" text="Pending">
      <formula>NOT(ISERROR(SEARCH("Pending",#REF!)))</formula>
    </cfRule>
    <cfRule type="containsText" dxfId="7509" priority="5513" operator="containsText" text="Pending">
      <formula>NOT(ISERROR(SEARCH("Pending",#REF!)))</formula>
    </cfRule>
    <cfRule type="containsText" dxfId="7508" priority="5514" operator="containsText" text="NA">
      <formula>NOT(ISERROR(SEARCH("NA",#REF!)))</formula>
    </cfRule>
    <cfRule type="containsText" dxfId="7507" priority="5515" operator="containsText" text="NA">
      <formula>NOT(ISERROR(SEARCH("NA",#REF!)))</formula>
    </cfRule>
  </conditionalFormatting>
  <conditionalFormatting sqref="U83:V83">
    <cfRule type="containsText" dxfId="7506" priority="5485" operator="containsText" text="NA">
      <formula>NOT(ISERROR(SEARCH("NA",#REF!)))</formula>
    </cfRule>
    <cfRule type="containsText" dxfId="7505" priority="5482" operator="containsText" text="Pending">
      <formula>NOT(ISERROR(SEARCH("Pending",#REF!)))</formula>
    </cfRule>
    <cfRule type="containsText" dxfId="7504" priority="5483" operator="containsText" text="Pending">
      <formula>NOT(ISERROR(SEARCH("Pending",#REF!)))</formula>
    </cfRule>
    <cfRule type="containsText" dxfId="7503" priority="5484" operator="containsText" text="NA">
      <formula>NOT(ISERROR(SEARCH("NA",#REF!)))</formula>
    </cfRule>
  </conditionalFormatting>
  <conditionalFormatting sqref="U59:AG59">
    <cfRule type="containsText" dxfId="7502" priority="119019" operator="containsText" text="Done">
      <formula>NOT(ISERROR(SEARCH("Done",#REF!)))</formula>
    </cfRule>
  </conditionalFormatting>
  <conditionalFormatting sqref="V18:V26">
    <cfRule type="containsText" dxfId="7501" priority="75641" operator="containsText" text="Pending">
      <formula>NOT(ISERROR(SEARCH("Pending",#REF!)))</formula>
    </cfRule>
    <cfRule type="containsText" dxfId="7500" priority="75642" operator="containsText" text="NA">
      <formula>NOT(ISERROR(SEARCH("NA",#REF!)))</formula>
    </cfRule>
    <cfRule type="containsText" dxfId="7499" priority="75643" operator="containsText" text="Done">
      <formula>NOT(ISERROR(SEARCH("Done",#REF!)))</formula>
    </cfRule>
    <cfRule type="containsText" dxfId="7498" priority="75649" operator="containsText" text="Pending">
      <formula>NOT(ISERROR(SEARCH("Pending",#REF!)))</formula>
    </cfRule>
    <cfRule type="containsText" dxfId="7497" priority="75650" operator="containsText" text="NA">
      <formula>NOT(ISERROR(SEARCH("NA",#REF!)))</formula>
    </cfRule>
  </conditionalFormatting>
  <conditionalFormatting sqref="V19:V26">
    <cfRule type="containsText" dxfId="7496" priority="75654" operator="containsText" text="Pending">
      <formula>NOT(ISERROR(SEARCH("Pending",#REF!)))</formula>
    </cfRule>
    <cfRule type="containsText" dxfId="7495" priority="75656" operator="containsText" text="Pending">
      <formula>NOT(ISERROR(SEARCH("Pending",#REF!)))</formula>
    </cfRule>
    <cfRule type="containsText" dxfId="7494" priority="75657" operator="containsText" text="NA">
      <formula>NOT(ISERROR(SEARCH("NA",#REF!)))</formula>
    </cfRule>
    <cfRule type="containsText" dxfId="7493" priority="75655" operator="containsText" text="NA">
      <formula>NOT(ISERROR(SEARCH("NA",#REF!)))</formula>
    </cfRule>
    <cfRule type="containsText" dxfId="7492" priority="75651" operator="containsText" text="Pending">
      <formula>NOT(ISERROR(SEARCH("Pending",#REF!)))</formula>
    </cfRule>
    <cfRule type="containsText" dxfId="7491" priority="75652" operator="containsText" text="NA">
      <formula>NOT(ISERROR(SEARCH("NA",#REF!)))</formula>
    </cfRule>
    <cfRule type="containsText" dxfId="7490" priority="75653" operator="containsText" text="Done">
      <formula>NOT(ISERROR(SEARCH("Done",#REF!)))</formula>
    </cfRule>
  </conditionalFormatting>
  <conditionalFormatting sqref="V21">
    <cfRule type="containsText" dxfId="7489" priority="75647" operator="containsText" text="Pending">
      <formula>NOT(ISERROR(SEARCH("Pending",#REF!)))</formula>
    </cfRule>
    <cfRule type="containsText" dxfId="7488" priority="75648" operator="containsText" text="NA">
      <formula>NOT(ISERROR(SEARCH("NA",#REF!)))</formula>
    </cfRule>
  </conditionalFormatting>
  <conditionalFormatting sqref="V21:V22">
    <cfRule type="containsText" dxfId="7487" priority="75646" operator="containsText" text="Done">
      <formula>NOT(ISERROR(SEARCH("Done",#REF!)))</formula>
    </cfRule>
  </conditionalFormatting>
  <conditionalFormatting sqref="V22">
    <cfRule type="containsText" dxfId="7486" priority="75644" operator="containsText" text="Pending">
      <formula>NOT(ISERROR(SEARCH("Pending",#REF!)))</formula>
    </cfRule>
    <cfRule type="containsText" dxfId="7485" priority="75645" operator="containsText" text="NA">
      <formula>NOT(ISERROR(SEARCH("NA",#REF!)))</formula>
    </cfRule>
  </conditionalFormatting>
  <conditionalFormatting sqref="V29">
    <cfRule type="containsText" dxfId="7484" priority="123489" operator="containsText" text="NA">
      <formula>NOT(ISERROR(SEARCH("NA",#REF!)))</formula>
    </cfRule>
    <cfRule type="containsText" dxfId="7483" priority="123483" operator="containsText" text="NA">
      <formula>NOT(ISERROR(SEARCH("NA",V29)))</formula>
    </cfRule>
    <cfRule type="containsText" dxfId="7482" priority="123484" operator="containsText" text="Pending">
      <formula>NOT(ISERROR(SEARCH("Pending",V29)))</formula>
    </cfRule>
    <cfRule type="containsText" dxfId="7481" priority="123485" operator="containsText" text="Done">
      <formula>NOT(ISERROR(SEARCH("Done",V29)))</formula>
    </cfRule>
    <cfRule type="containsText" dxfId="7480" priority="123488" operator="containsText" text="Pending">
      <formula>NOT(ISERROR(SEARCH("Pending",#REF!)))</formula>
    </cfRule>
    <cfRule type="containsText" dxfId="7479" priority="123486" operator="containsText" text="NA">
      <formula>NOT(ISERROR(SEARCH("NA",#REF!)))</formula>
    </cfRule>
    <cfRule type="containsText" dxfId="7478" priority="123487" operator="containsText" text="Done">
      <formula>NOT(ISERROR(SEARCH("Done",#REF!)))</formula>
    </cfRule>
  </conditionalFormatting>
  <conditionalFormatting sqref="V29:V32">
    <cfRule type="containsText" dxfId="7477" priority="77236" operator="containsText" text="Done">
      <formula>NOT(ISERROR(SEARCH("Done",#REF!)))</formula>
    </cfRule>
    <cfRule type="containsText" dxfId="7476" priority="77229" operator="containsText" text="Pending">
      <formula>NOT(ISERROR(SEARCH("Pending",#REF!)))</formula>
    </cfRule>
    <cfRule type="containsText" dxfId="7475" priority="77230" operator="containsText" text="NA">
      <formula>NOT(ISERROR(SEARCH("NA",#REF!)))</formula>
    </cfRule>
    <cfRule type="containsText" dxfId="7474" priority="77231" operator="containsText" text="NA">
      <formula>NOT(ISERROR(SEARCH("NA",#REF!)))</formula>
    </cfRule>
    <cfRule type="containsText" dxfId="7473" priority="77232" operator="containsText" text="Done">
      <formula>NOT(ISERROR(SEARCH("Done",#REF!)))</formula>
    </cfRule>
    <cfRule type="containsText" dxfId="7472" priority="77233" operator="containsText" text="Pending">
      <formula>NOT(ISERROR(SEARCH("Pending",#REF!)))</formula>
    </cfRule>
    <cfRule type="containsText" dxfId="7471" priority="77237" operator="containsText" text="Pending">
      <formula>NOT(ISERROR(SEARCH("Pending",#REF!)))</formula>
    </cfRule>
    <cfRule type="containsText" dxfId="7470" priority="77235" operator="containsText" text="NA">
      <formula>NOT(ISERROR(SEARCH("NA",#REF!)))</formula>
    </cfRule>
    <cfRule type="containsText" dxfId="7469" priority="77234" operator="containsText" text="NA">
      <formula>NOT(ISERROR(SEARCH("NA",#REF!)))</formula>
    </cfRule>
    <cfRule type="containsText" dxfId="7468" priority="77224" operator="containsText" text="NA">
      <formula>NOT(ISERROR(SEARCH("NA",V29)))</formula>
    </cfRule>
    <cfRule type="containsText" dxfId="7467" priority="109577" operator="containsText" text="NA">
      <formula>NOT(ISERROR(SEARCH("NA",#REF!)))</formula>
    </cfRule>
    <cfRule type="containsText" dxfId="7466" priority="109576" operator="containsText" text="Pending">
      <formula>NOT(ISERROR(SEARCH("Pending",#REF!)))</formula>
    </cfRule>
    <cfRule type="containsText" dxfId="7465" priority="109575" operator="containsText" text="Done">
      <formula>NOT(ISERROR(SEARCH("Done",#REF!)))</formula>
    </cfRule>
    <cfRule type="containsText" dxfId="7464" priority="109574" operator="containsText" text="NA">
      <formula>NOT(ISERROR(SEARCH("NA",#REF!)))</formula>
    </cfRule>
    <cfRule type="containsText" dxfId="7463" priority="77225" operator="containsText" text="Pending">
      <formula>NOT(ISERROR(SEARCH("Pending",V29)))</formula>
    </cfRule>
    <cfRule type="containsText" dxfId="7462" priority="77238" operator="containsText" text="NA">
      <formula>NOT(ISERROR(SEARCH("NA",#REF!)))</formula>
    </cfRule>
    <cfRule type="containsText" dxfId="7461" priority="77226" operator="containsText" text="Done">
      <formula>NOT(ISERROR(SEARCH("Done",V29)))</formula>
    </cfRule>
    <cfRule type="containsText" dxfId="7460" priority="77227" operator="containsText" text="NA">
      <formula>NOT(ISERROR(SEARCH("NA",#REF!)))</formula>
    </cfRule>
    <cfRule type="containsText" dxfId="7459" priority="77228" operator="containsText" text="Done">
      <formula>NOT(ISERROR(SEARCH("Done",#REF!)))</formula>
    </cfRule>
  </conditionalFormatting>
  <conditionalFormatting sqref="V30:V32">
    <cfRule type="containsText" dxfId="7458" priority="2571" operator="containsText" text="Pending">
      <formula>NOT(ISERROR(SEARCH("Pending",#REF!)))</formula>
    </cfRule>
    <cfRule type="containsText" dxfId="7457" priority="2570" operator="containsText" text="Done">
      <formula>NOT(ISERROR(SEARCH("Done",#REF!)))</formula>
    </cfRule>
    <cfRule type="containsText" dxfId="7456" priority="123426" operator="containsText" text="NA">
      <formula>NOT(ISERROR(SEARCH("NA",#REF!)))</formula>
    </cfRule>
    <cfRule type="containsText" dxfId="7455" priority="123427" operator="containsText" text="Done">
      <formula>NOT(ISERROR(SEARCH("Done",#REF!)))</formula>
    </cfRule>
    <cfRule type="containsText" dxfId="7454" priority="123425" operator="containsText" text="Done">
      <formula>NOT(ISERROR(SEARCH("Done",V30)))</formula>
    </cfRule>
    <cfRule type="containsText" dxfId="7453" priority="5271" operator="containsText" text="NA">
      <formula>NOT(ISERROR(SEARCH("NA",#REF!)))</formula>
    </cfRule>
    <cfRule type="containsText" dxfId="7452" priority="5273" operator="containsText" text="Pending">
      <formula>NOT(ISERROR(SEARCH("Pending",#REF!)))</formula>
    </cfRule>
    <cfRule type="containsText" dxfId="7451" priority="123428" operator="containsText" text="Pending">
      <formula>NOT(ISERROR(SEARCH("Pending",#REF!)))</formula>
    </cfRule>
    <cfRule type="containsText" dxfId="7450" priority="2569" operator="containsText" text="NA">
      <formula>NOT(ISERROR(SEARCH("NA",#REF!)))</formula>
    </cfRule>
    <cfRule type="containsText" dxfId="7449" priority="5274" operator="containsText" text="NA">
      <formula>NOT(ISERROR(SEARCH("NA",#REF!)))</formula>
    </cfRule>
    <cfRule type="containsText" dxfId="7448" priority="5272" operator="containsText" text="Done">
      <formula>NOT(ISERROR(SEARCH("Done",#REF!)))</formula>
    </cfRule>
    <cfRule type="containsText" dxfId="7447" priority="2572" operator="containsText" text="NA">
      <formula>NOT(ISERROR(SEARCH("NA",#REF!)))</formula>
    </cfRule>
    <cfRule type="containsText" dxfId="7446" priority="123429" operator="containsText" text="NA">
      <formula>NOT(ISERROR(SEARCH("NA",#REF!)))</formula>
    </cfRule>
    <cfRule type="containsText" dxfId="7445" priority="123423" operator="containsText" text="NA">
      <formula>NOT(ISERROR(SEARCH("NA",V30)))</formula>
    </cfRule>
    <cfRule type="containsText" dxfId="7444" priority="123424" operator="containsText" text="Pending">
      <formula>NOT(ISERROR(SEARCH("Pending",V30)))</formula>
    </cfRule>
  </conditionalFormatting>
  <conditionalFormatting sqref="V46 Y46:AG46 R46:S46">
    <cfRule type="containsText" dxfId="7443" priority="138939" operator="containsText" text="NA">
      <formula>NOT(ISERROR(SEARCH("NA",O102)))</formula>
    </cfRule>
    <cfRule type="containsText" dxfId="7442" priority="138096" operator="containsText" text="Pending">
      <formula>NOT(ISERROR(SEARCH("Pending",O102)))</formula>
    </cfRule>
    <cfRule type="containsText" dxfId="7441" priority="137253" operator="containsText" text="Done">
      <formula>NOT(ISERROR(SEARCH("Done",O102)))</formula>
    </cfRule>
  </conditionalFormatting>
  <conditionalFormatting sqref="V58:V63 AB58:AB62 AE58:AE61 V57:AH57">
    <cfRule type="containsText" dxfId="7440" priority="119875" operator="containsText" text="Done">
      <formula>NOT(ISERROR(SEARCH("Done",#REF!)))</formula>
    </cfRule>
    <cfRule type="containsText" dxfId="7439" priority="119877" operator="containsText" text="NA">
      <formula>NOT(ISERROR(SEARCH("NA",#REF!)))</formula>
    </cfRule>
  </conditionalFormatting>
  <conditionalFormatting sqref="V66:V73">
    <cfRule type="containsText" dxfId="7438" priority="119591" operator="containsText" text="NA">
      <formula>NOT(ISERROR(SEARCH("NA",#REF!)))</formula>
    </cfRule>
    <cfRule type="containsText" dxfId="7437" priority="119592" operator="containsText" text="NA">
      <formula>NOT(ISERROR(SEARCH("NA",#REF!)))</formula>
    </cfRule>
    <cfRule type="containsText" dxfId="7436" priority="119590" operator="containsText" text="NA">
      <formula>NOT(ISERROR(SEARCH("NA",#REF!)))</formula>
    </cfRule>
    <cfRule type="containsText" dxfId="7435" priority="119582" operator="containsText" text="Pending">
      <formula>NOT(ISERROR(SEARCH("Pending",#REF!)))</formula>
    </cfRule>
    <cfRule type="containsText" dxfId="7434" priority="119583" operator="containsText" text="Pending">
      <formula>NOT(ISERROR(SEARCH("Pending",#REF!)))</formula>
    </cfRule>
    <cfRule type="containsText" dxfId="7433" priority="119572" operator="containsText" text="Done">
      <formula>NOT(ISERROR(SEARCH("Done",#REF!)))</formula>
    </cfRule>
    <cfRule type="containsText" dxfId="7432" priority="119581" operator="containsText" text="Pending">
      <formula>NOT(ISERROR(SEARCH("Pending",#REF!)))</formula>
    </cfRule>
  </conditionalFormatting>
  <conditionalFormatting sqref="V67">
    <cfRule type="containsText" dxfId="7431" priority="119562" operator="containsText" text="NA">
      <formula>NOT(ISERROR(SEARCH("NA",#REF!)))</formula>
    </cfRule>
    <cfRule type="containsText" dxfId="7430" priority="119561" operator="containsText" text="NA">
      <formula>NOT(ISERROR(SEARCH("NA",#REF!)))</formula>
    </cfRule>
    <cfRule type="containsText" dxfId="7429" priority="119548" operator="containsText" text="Done">
      <formula>NOT(ISERROR(SEARCH("Done",#REF!)))</formula>
    </cfRule>
    <cfRule type="containsText" dxfId="7428" priority="119560" operator="containsText" text="NA">
      <formula>NOT(ISERROR(SEARCH("NA",#REF!)))</formula>
    </cfRule>
    <cfRule type="containsText" dxfId="7427" priority="119556" operator="containsText" text="Pending">
      <formula>NOT(ISERROR(SEARCH("Pending",#REF!)))</formula>
    </cfRule>
    <cfRule type="containsText" dxfId="7426" priority="119555" operator="containsText" text="Pending">
      <formula>NOT(ISERROR(SEARCH("Pending",#REF!)))</formula>
    </cfRule>
    <cfRule type="containsText" dxfId="7425" priority="119554" operator="containsText" text="Pending">
      <formula>NOT(ISERROR(SEARCH("Pending",#REF!)))</formula>
    </cfRule>
  </conditionalFormatting>
  <conditionalFormatting sqref="V76:V83">
    <cfRule type="containsText" dxfId="7424" priority="992" operator="containsText" text="Done">
      <formula>NOT(ISERROR(SEARCH("Done",V76)))</formula>
    </cfRule>
    <cfRule type="containsText" dxfId="7423" priority="991" operator="containsText" text="NA">
      <formula>NOT(ISERROR(SEARCH("NA",V76)))</formula>
    </cfRule>
    <cfRule type="containsText" dxfId="7422" priority="990" operator="containsText" text="NA">
      <formula>NOT(ISERROR(SEARCH("NA",#REF!)))</formula>
    </cfRule>
    <cfRule type="containsText" dxfId="7421" priority="989" operator="containsText" text="Pending">
      <formula>NOT(ISERROR(SEARCH("Pending",#REF!)))</formula>
    </cfRule>
    <cfRule type="containsText" dxfId="7420" priority="1103" operator="containsText" text="NA">
      <formula>NOT(ISERROR(SEARCH("NA",#REF!)))</formula>
    </cfRule>
    <cfRule type="containsText" dxfId="7419" priority="988" operator="containsText" text="Done">
      <formula>NOT(ISERROR(SEARCH("Done",#REF!)))</formula>
    </cfRule>
    <cfRule type="containsText" dxfId="7418" priority="4794" operator="containsText" text="Done">
      <formula>NOT(ISERROR(SEARCH("Done",#REF!)))</formula>
    </cfRule>
    <cfRule type="containsText" dxfId="7417" priority="4795" operator="containsText" text="Pending">
      <formula>NOT(ISERROR(SEARCH("Pending",#REF!)))</formula>
    </cfRule>
    <cfRule type="containsText" dxfId="7416" priority="4796" operator="containsText" text="Pending">
      <formula>NOT(ISERROR(SEARCH("Pending",#REF!)))</formula>
    </cfRule>
    <cfRule type="containsText" dxfId="7415" priority="4821" operator="containsText" text="NA">
      <formula>NOT(ISERROR(SEARCH("NA",#REF!)))</formula>
    </cfRule>
    <cfRule type="containsText" dxfId="7414" priority="4823" operator="containsText" text="NA">
      <formula>NOT(ISERROR(SEARCH("NA",#REF!)))</formula>
    </cfRule>
    <cfRule type="containsText" dxfId="7413" priority="4822" operator="containsText" text="NA">
      <formula>NOT(ISERROR(SEARCH("NA",#REF!)))</formula>
    </cfRule>
    <cfRule type="containsText" dxfId="7412" priority="4797" operator="containsText" text="NA">
      <formula>NOT(ISERROR(SEARCH("NA",#REF!)))</formula>
    </cfRule>
    <cfRule type="containsText" dxfId="7411" priority="998" operator="containsText" text="NA">
      <formula>NOT(ISERROR(SEARCH("NA",#REF!)))</formula>
    </cfRule>
    <cfRule type="containsText" dxfId="7410" priority="997" operator="containsText" text="Pending">
      <formula>NOT(ISERROR(SEARCH("Pending",#REF!)))</formula>
    </cfRule>
    <cfRule type="containsText" dxfId="7409" priority="4820" operator="containsText" text="Pending">
      <formula>NOT(ISERROR(SEARCH("Pending",#REF!)))</formula>
    </cfRule>
    <cfRule type="containsText" dxfId="7408" priority="987" operator="containsText" text="Done">
      <formula>NOT(ISERROR(SEARCH("Done",V76)))</formula>
    </cfRule>
    <cfRule type="containsText" dxfId="7407" priority="4819" operator="containsText" text="Pending">
      <formula>NOT(ISERROR(SEARCH("Pending",#REF!)))</formula>
    </cfRule>
    <cfRule type="containsText" dxfId="7406" priority="4818" operator="containsText" text="Pending">
      <formula>NOT(ISERROR(SEARCH("Pending",#REF!)))</formula>
    </cfRule>
    <cfRule type="containsText" dxfId="7405" priority="4817" operator="containsText" text="Done">
      <formula>NOT(ISERROR(SEARCH("Done",#REF!)))</formula>
    </cfRule>
    <cfRule type="containsText" dxfId="7404" priority="75724" operator="containsText" text="Done">
      <formula>NOT(ISERROR(SEARCH("Done",#REF!)))</formula>
    </cfRule>
    <cfRule type="containsText" dxfId="7403" priority="986" operator="containsText" text="NA">
      <formula>NOT(ISERROR(SEARCH("NA",V76)))</formula>
    </cfRule>
    <cfRule type="containsText" dxfId="7402" priority="1102" operator="containsText" text="Pending">
      <formula>NOT(ISERROR(SEARCH("Pending",#REF!)))</formula>
    </cfRule>
    <cfRule type="containsText" dxfId="7401" priority="1101" operator="containsText" text="Pending">
      <formula>NOT(ISERROR(SEARCH("Pending",#REF!)))</formula>
    </cfRule>
    <cfRule type="containsText" dxfId="7400" priority="1100" operator="containsText" text="Pending">
      <formula>NOT(ISERROR(SEARCH("Pending",#REF!)))</formula>
    </cfRule>
    <cfRule type="containsText" dxfId="7399" priority="1099" operator="containsText" text="Done">
      <formula>NOT(ISERROR(SEARCH("Done",#REF!)))</formula>
    </cfRule>
    <cfRule type="containsText" dxfId="7398" priority="1081" operator="containsText" text="Done">
      <formula>NOT(ISERROR(SEARCH("Done",#REF!)))</formula>
    </cfRule>
    <cfRule type="containsText" dxfId="7397" priority="1080" operator="containsText" text="NA">
      <formula>NOT(ISERROR(SEARCH("NA",#REF!)))</formula>
    </cfRule>
    <cfRule type="containsText" dxfId="7396" priority="1079" operator="containsText" text="NA">
      <formula>NOT(ISERROR(SEARCH("NA",#REF!)))</formula>
    </cfRule>
    <cfRule type="containsText" dxfId="7395" priority="994" operator="containsText" text="Pending">
      <formula>NOT(ISERROR(SEARCH("Pending",#REF!)))</formula>
    </cfRule>
    <cfRule type="containsText" dxfId="7394" priority="995" operator="containsText" text="NA">
      <formula>NOT(ISERROR(SEARCH("NA",#REF!)))</formula>
    </cfRule>
    <cfRule type="containsText" dxfId="7393" priority="4799" operator="containsText" text="Done">
      <formula>NOT(ISERROR(SEARCH("Done",#REF!)))</formula>
    </cfRule>
    <cfRule type="containsText" dxfId="7392" priority="996" operator="containsText" text="Done">
      <formula>NOT(ISERROR(SEARCH("Done",#REF!)))</formula>
    </cfRule>
    <cfRule type="containsText" dxfId="7391" priority="1078" operator="containsText" text="Pending">
      <formula>NOT(ISERROR(SEARCH("Pending",#REF!)))</formula>
    </cfRule>
    <cfRule type="containsText" dxfId="7390" priority="1077" operator="containsText" text="Pending">
      <formula>NOT(ISERROR(SEARCH("Pending",#REF!)))</formula>
    </cfRule>
    <cfRule type="containsText" dxfId="7389" priority="1076" operator="containsText" text="Done">
      <formula>NOT(ISERROR(SEARCH("Done",#REF!)))</formula>
    </cfRule>
    <cfRule type="containsText" dxfId="7388" priority="1075" operator="containsText" text="NA">
      <formula>NOT(ISERROR(SEARCH("NA",#REF!)))</formula>
    </cfRule>
    <cfRule type="containsText" dxfId="7387" priority="1074" operator="containsText" text="Pending">
      <formula>NOT(ISERROR(SEARCH("Pending",#REF!)))</formula>
    </cfRule>
    <cfRule type="containsText" dxfId="7386" priority="4793" operator="containsText" text="NA">
      <formula>NOT(ISERROR(SEARCH("NA",#REF!)))</formula>
    </cfRule>
    <cfRule type="containsText" dxfId="7385" priority="4792" operator="containsText" text="Pending">
      <formula>NOT(ISERROR(SEARCH("Pending",#REF!)))</formula>
    </cfRule>
    <cfRule type="containsText" dxfId="7384" priority="4798" operator="containsText" text="NA">
      <formula>NOT(ISERROR(SEARCH("NA",#REF!)))</formula>
    </cfRule>
    <cfRule type="containsText" dxfId="7383" priority="1105" operator="containsText" text="NA">
      <formula>NOT(ISERROR(SEARCH("NA",#REF!)))</formula>
    </cfRule>
    <cfRule type="containsText" dxfId="7382" priority="1104" operator="containsText" text="NA">
      <formula>NOT(ISERROR(SEARCH("NA",#REF!)))</formula>
    </cfRule>
    <cfRule type="containsText" dxfId="7381" priority="993" operator="containsText" text="Done">
      <formula>NOT(ISERROR(SEARCH("Done",#REF!)))</formula>
    </cfRule>
  </conditionalFormatting>
  <conditionalFormatting sqref="V77:V83">
    <cfRule type="containsText" dxfId="7380" priority="4046" operator="containsText" text="Pending">
      <formula>NOT(ISERROR(SEARCH("Pending",#REF!)))</formula>
    </cfRule>
    <cfRule type="containsText" dxfId="7379" priority="4045" operator="containsText" text="Pending">
      <formula>NOT(ISERROR(SEARCH("Pending",#REF!)))</formula>
    </cfRule>
    <cfRule type="containsText" dxfId="7378" priority="798" operator="containsText" text="NA">
      <formula>NOT(ISERROR(SEARCH("NA",#REF!)))</formula>
    </cfRule>
    <cfRule type="containsText" dxfId="7377" priority="4042" operator="containsText" text="Pending">
      <formula>NOT(ISERROR(SEARCH("Pending",#REF!)))</formula>
    </cfRule>
    <cfRule type="containsText" dxfId="7376" priority="4044" operator="containsText" text="Done">
      <formula>NOT(ISERROR(SEARCH("Done",#REF!)))</formula>
    </cfRule>
    <cfRule type="containsText" dxfId="7375" priority="4043" operator="containsText" text="NA">
      <formula>NOT(ISERROR(SEARCH("NA",#REF!)))</formula>
    </cfRule>
    <cfRule type="containsText" dxfId="7374" priority="797" operator="containsText" text="NA">
      <formula>NOT(ISERROR(SEARCH("NA",#REF!)))</formula>
    </cfRule>
    <cfRule type="containsText" dxfId="7373" priority="796" operator="containsText" text="Pending">
      <formula>NOT(ISERROR(SEARCH("Pending",#REF!)))</formula>
    </cfRule>
    <cfRule type="containsText" dxfId="7372" priority="795" operator="containsText" text="Pending">
      <formula>NOT(ISERROR(SEARCH("Pending",#REF!)))</formula>
    </cfRule>
    <cfRule type="containsText" dxfId="7371" priority="794" operator="containsText" text="Done">
      <formula>NOT(ISERROR(SEARCH("Done",#REF!)))</formula>
    </cfRule>
    <cfRule type="containsText" dxfId="7370" priority="793" operator="containsText" text="NA">
      <formula>NOT(ISERROR(SEARCH("NA",#REF!)))</formula>
    </cfRule>
    <cfRule type="containsText" dxfId="7369" priority="792" operator="containsText" text="Pending">
      <formula>NOT(ISERROR(SEARCH("Pending",#REF!)))</formula>
    </cfRule>
    <cfRule type="containsText" dxfId="7368" priority="4048" operator="containsText" text="NA">
      <formula>NOT(ISERROR(SEARCH("NA",#REF!)))</formula>
    </cfRule>
    <cfRule type="containsText" dxfId="7367" priority="4047" operator="containsText" text="NA">
      <formula>NOT(ISERROR(SEARCH("NA",#REF!)))</formula>
    </cfRule>
  </conditionalFormatting>
  <conditionalFormatting sqref="V78:V83">
    <cfRule type="containsText" dxfId="7366" priority="763" operator="containsText" text="NA">
      <formula>NOT(ISERROR(SEARCH("NA",#REF!)))</formula>
    </cfRule>
    <cfRule type="containsText" dxfId="7365" priority="762" operator="containsText" text="Pending">
      <formula>NOT(ISERROR(SEARCH("Pending",#REF!)))</formula>
    </cfRule>
    <cfRule type="containsText" dxfId="7364" priority="767" operator="containsText" text="NA">
      <formula>NOT(ISERROR(SEARCH("NA",#REF!)))</formula>
    </cfRule>
    <cfRule type="containsText" dxfId="7363" priority="766" operator="containsText" text="Pending">
      <formula>NOT(ISERROR(SEARCH("Pending",#REF!)))</formula>
    </cfRule>
    <cfRule type="containsText" dxfId="7362" priority="768" operator="containsText" text="NA">
      <formula>NOT(ISERROR(SEARCH("NA",#REF!)))</formula>
    </cfRule>
    <cfRule type="containsText" dxfId="7361" priority="765" operator="containsText" text="Pending">
      <formula>NOT(ISERROR(SEARCH("Pending",#REF!)))</formula>
    </cfRule>
    <cfRule type="containsText" dxfId="7360" priority="764" operator="containsText" text="Done">
      <formula>NOT(ISERROR(SEARCH("Done",#REF!)))</formula>
    </cfRule>
  </conditionalFormatting>
  <conditionalFormatting sqref="V79:V80">
    <cfRule type="containsText" dxfId="7359" priority="3828" operator="containsText" text="NA">
      <formula>NOT(ISERROR(SEARCH("NA",#REF!)))</formula>
    </cfRule>
    <cfRule type="containsText" dxfId="7358" priority="3832" operator="containsText" text="NA">
      <formula>NOT(ISERROR(SEARCH("NA",#REF!)))</formula>
    </cfRule>
    <cfRule type="containsText" dxfId="7357" priority="3833" operator="containsText" text="NA">
      <formula>NOT(ISERROR(SEARCH("NA",#REF!)))</formula>
    </cfRule>
    <cfRule type="containsText" dxfId="7356" priority="3831" operator="containsText" text="Pending">
      <formula>NOT(ISERROR(SEARCH("Pending",#REF!)))</formula>
    </cfRule>
    <cfRule type="containsText" dxfId="7355" priority="3829" operator="containsText" text="Done">
      <formula>NOT(ISERROR(SEARCH("Done",#REF!)))</formula>
    </cfRule>
    <cfRule type="containsText" dxfId="7354" priority="3830" operator="containsText" text="Pending">
      <formula>NOT(ISERROR(SEARCH("Pending",#REF!)))</formula>
    </cfRule>
  </conditionalFormatting>
  <conditionalFormatting sqref="V79:V83">
    <cfRule type="containsText" dxfId="7353" priority="3820" operator="containsText" text="Pending">
      <formula>NOT(ISERROR(SEARCH("Pending",#REF!)))</formula>
    </cfRule>
  </conditionalFormatting>
  <conditionalFormatting sqref="V80">
    <cfRule type="containsText" dxfId="7352" priority="3789" operator="containsText" text="NA">
      <formula>NOT(ISERROR(SEARCH("NA",#REF!)))</formula>
    </cfRule>
    <cfRule type="containsText" dxfId="7351" priority="3788" operator="containsText" text="Pending">
      <formula>NOT(ISERROR(SEARCH("Pending",#REF!)))</formula>
    </cfRule>
    <cfRule type="containsText" dxfId="7350" priority="3786" operator="containsText" text="Done">
      <formula>NOT(ISERROR(SEARCH("Done",#REF!)))</formula>
    </cfRule>
    <cfRule type="containsText" dxfId="7349" priority="3785" operator="containsText" text="NA">
      <formula>NOT(ISERROR(SEARCH("NA",#REF!)))</formula>
    </cfRule>
    <cfRule type="containsText" dxfId="7348" priority="3787" operator="containsText" text="Pending">
      <formula>NOT(ISERROR(SEARCH("Pending",#REF!)))</formula>
    </cfRule>
    <cfRule type="containsText" dxfId="7347" priority="3790" operator="containsText" text="NA">
      <formula>NOT(ISERROR(SEARCH("NA",#REF!)))</formula>
    </cfRule>
  </conditionalFormatting>
  <conditionalFormatting sqref="V80:V83">
    <cfRule type="containsText" dxfId="7346" priority="3784" operator="containsText" text="Pending">
      <formula>NOT(ISERROR(SEARCH("Pending",#REF!)))</formula>
    </cfRule>
  </conditionalFormatting>
  <conditionalFormatting sqref="V81:V83">
    <cfRule type="containsText" dxfId="7345" priority="3823" operator="containsText" text="Pending">
      <formula>NOT(ISERROR(SEARCH("Pending",#REF!)))</formula>
    </cfRule>
    <cfRule type="containsText" dxfId="7344" priority="3824" operator="containsText" text="Pending">
      <formula>NOT(ISERROR(SEARCH("Pending",#REF!)))</formula>
    </cfRule>
    <cfRule type="containsText" dxfId="7343" priority="3826" operator="containsText" text="NA">
      <formula>NOT(ISERROR(SEARCH("NA",#REF!)))</formula>
    </cfRule>
    <cfRule type="containsText" dxfId="7342" priority="3792" operator="containsText" text="NA">
      <formula>NOT(ISERROR(SEARCH("NA",#REF!)))</formula>
    </cfRule>
    <cfRule type="containsText" dxfId="7341" priority="3793" operator="containsText" text="Done">
      <formula>NOT(ISERROR(SEARCH("Done",#REF!)))</formula>
    </cfRule>
    <cfRule type="containsText" dxfId="7340" priority="3794" operator="containsText" text="Pending">
      <formula>NOT(ISERROR(SEARCH("Pending",#REF!)))</formula>
    </cfRule>
    <cfRule type="containsText" dxfId="7339" priority="3795" operator="containsText" text="Pending">
      <formula>NOT(ISERROR(SEARCH("Pending",#REF!)))</formula>
    </cfRule>
    <cfRule type="containsText" dxfId="7338" priority="3796" operator="containsText" text="NA">
      <formula>NOT(ISERROR(SEARCH("NA",#REF!)))</formula>
    </cfRule>
    <cfRule type="containsText" dxfId="7337" priority="3797" operator="containsText" text="NA">
      <formula>NOT(ISERROR(SEARCH("NA",#REF!)))</formula>
    </cfRule>
    <cfRule type="containsText" dxfId="7336" priority="3798" operator="containsText" text="Pending">
      <formula>NOT(ISERROR(SEARCH("Pending",#REF!)))</formula>
    </cfRule>
    <cfRule type="containsText" dxfId="7335" priority="3799" operator="containsText" text="NA">
      <formula>NOT(ISERROR(SEARCH("NA",#REF!)))</formula>
    </cfRule>
    <cfRule type="containsText" dxfId="7334" priority="3800" operator="containsText" text="Done">
      <formula>NOT(ISERROR(SEARCH("Done",#REF!)))</formula>
    </cfRule>
    <cfRule type="containsText" dxfId="7333" priority="3801" operator="containsText" text="Pending">
      <formula>NOT(ISERROR(SEARCH("Pending",#REF!)))</formula>
    </cfRule>
    <cfRule type="containsText" dxfId="7332" priority="3802" operator="containsText" text="Pending">
      <formula>NOT(ISERROR(SEARCH("Pending",#REF!)))</formula>
    </cfRule>
    <cfRule type="containsText" dxfId="7331" priority="3803" operator="containsText" text="NA">
      <formula>NOT(ISERROR(SEARCH("NA",#REF!)))</formula>
    </cfRule>
    <cfRule type="containsText" dxfId="7330" priority="3804" operator="containsText" text="NA">
      <formula>NOT(ISERROR(SEARCH("NA",#REF!)))</formula>
    </cfRule>
    <cfRule type="containsText" dxfId="7329" priority="3805" operator="containsText" text="Pending">
      <formula>NOT(ISERROR(SEARCH("Pending",#REF!)))</formula>
    </cfRule>
    <cfRule type="containsText" dxfId="7328" priority="3806" operator="containsText" text="NA">
      <formula>NOT(ISERROR(SEARCH("NA",#REF!)))</formula>
    </cfRule>
    <cfRule type="containsText" dxfId="7327" priority="3807" operator="containsText" text="Done">
      <formula>NOT(ISERROR(SEARCH("Done",#REF!)))</formula>
    </cfRule>
    <cfRule type="containsText" dxfId="7326" priority="3808" operator="containsText" text="Pending">
      <formula>NOT(ISERROR(SEARCH("Pending",#REF!)))</formula>
    </cfRule>
    <cfRule type="containsText" dxfId="7325" priority="3809" operator="containsText" text="Pending">
      <formula>NOT(ISERROR(SEARCH("Pending",#REF!)))</formula>
    </cfRule>
    <cfRule type="containsText" dxfId="7324" priority="3810" operator="containsText" text="NA">
      <formula>NOT(ISERROR(SEARCH("NA",#REF!)))</formula>
    </cfRule>
    <cfRule type="containsText" dxfId="7323" priority="3811" operator="containsText" text="NA">
      <formula>NOT(ISERROR(SEARCH("NA",#REF!)))</formula>
    </cfRule>
    <cfRule type="containsText" dxfId="7322" priority="3812" operator="containsText" text="Done">
      <formula>NOT(ISERROR(SEARCH("Done",#REF!)))</formula>
    </cfRule>
    <cfRule type="containsText" dxfId="7321" priority="3813" operator="containsText" text="Done">
      <formula>NOT(ISERROR(SEARCH("Done",#REF!)))</formula>
    </cfRule>
    <cfRule type="containsText" dxfId="7320" priority="3814" operator="containsText" text="Pending">
      <formula>NOT(ISERROR(SEARCH("Pending",#REF!)))</formula>
    </cfRule>
    <cfRule type="containsText" dxfId="7319" priority="3815" operator="containsText" text="Pending">
      <formula>NOT(ISERROR(SEARCH("Pending",#REF!)))</formula>
    </cfRule>
    <cfRule type="containsText" dxfId="7318" priority="3816" operator="containsText" text="Pending">
      <formula>NOT(ISERROR(SEARCH("Pending",#REF!)))</formula>
    </cfRule>
    <cfRule type="containsText" dxfId="7317" priority="3817" operator="containsText" text="NA">
      <formula>NOT(ISERROR(SEARCH("NA",#REF!)))</formula>
    </cfRule>
    <cfRule type="containsText" dxfId="7316" priority="3818" operator="containsText" text="NA">
      <formula>NOT(ISERROR(SEARCH("NA",#REF!)))</formula>
    </cfRule>
    <cfRule type="containsText" dxfId="7315" priority="3819" operator="containsText" text="NA">
      <formula>NOT(ISERROR(SEARCH("NA",#REF!)))</formula>
    </cfRule>
    <cfRule type="containsText" dxfId="7314" priority="3825" operator="containsText" text="NA">
      <formula>NOT(ISERROR(SEARCH("NA",#REF!)))</formula>
    </cfRule>
    <cfRule type="containsText" dxfId="7313" priority="3821" operator="containsText" text="NA">
      <formula>NOT(ISERROR(SEARCH("NA",#REF!)))</formula>
    </cfRule>
    <cfRule type="containsText" dxfId="7312" priority="3822" operator="containsText" text="Done">
      <formula>NOT(ISERROR(SEARCH("Done",#REF!)))</formula>
    </cfRule>
  </conditionalFormatting>
  <conditionalFormatting sqref="V82:V83">
    <cfRule type="containsText" dxfId="7311" priority="3778" operator="containsText" text="NA">
      <formula>NOT(ISERROR(SEARCH("NA",#REF!)))</formula>
    </cfRule>
    <cfRule type="containsText" dxfId="7310" priority="3783" operator="containsText" text="NA">
      <formula>NOT(ISERROR(SEARCH("NA",#REF!)))</formula>
    </cfRule>
    <cfRule type="containsText" dxfId="7309" priority="3779" operator="containsText" text="Done">
      <formula>NOT(ISERROR(SEARCH("Done",#REF!)))</formula>
    </cfRule>
    <cfRule type="containsText" dxfId="7308" priority="3780" operator="containsText" text="Pending">
      <formula>NOT(ISERROR(SEARCH("Pending",#REF!)))</formula>
    </cfRule>
    <cfRule type="containsText" dxfId="7307" priority="3781" operator="containsText" text="Pending">
      <formula>NOT(ISERROR(SEARCH("Pending",#REF!)))</formula>
    </cfRule>
    <cfRule type="containsText" dxfId="7306" priority="3782" operator="containsText" text="NA">
      <formula>NOT(ISERROR(SEARCH("NA",#REF!)))</formula>
    </cfRule>
    <cfRule type="containsText" dxfId="7305" priority="3777" operator="containsText" text="Pending">
      <formula>NOT(ISERROR(SEARCH("Pending",#REF!)))</formula>
    </cfRule>
  </conditionalFormatting>
  <conditionalFormatting sqref="V86:V88">
    <cfRule type="containsText" dxfId="7304" priority="1186" operator="containsText" text="NA">
      <formula>NOT(ISERROR(SEARCH("NA",#REF!)))</formula>
    </cfRule>
    <cfRule type="containsText" dxfId="7303" priority="1185" operator="containsText" text="Pending">
      <formula>NOT(ISERROR(SEARCH("Pending",#REF!)))</formula>
    </cfRule>
    <cfRule type="containsText" dxfId="7302" priority="1184" operator="containsText" text="Done">
      <formula>NOT(ISERROR(SEARCH("Done",#REF!)))</formula>
    </cfRule>
    <cfRule type="containsText" dxfId="7301" priority="1183" operator="containsText" text="NA">
      <formula>NOT(ISERROR(SEARCH("NA",#REF!)))</formula>
    </cfRule>
    <cfRule type="containsText" dxfId="7300" priority="1182" operator="containsText" text="Pending">
      <formula>NOT(ISERROR(SEARCH("Pending",#REF!)))</formula>
    </cfRule>
    <cfRule type="containsText" dxfId="7299" priority="1181" operator="containsText" text="Done">
      <formula>NOT(ISERROR(SEARCH("Done",#REF!)))</formula>
    </cfRule>
    <cfRule type="containsText" dxfId="7298" priority="1180" operator="containsText" text="Done">
      <formula>NOT(ISERROR(SEARCH("Done",V86)))</formula>
    </cfRule>
    <cfRule type="containsText" dxfId="7297" priority="1179" operator="containsText" text="NA">
      <formula>NOT(ISERROR(SEARCH("NA",V86)))</formula>
    </cfRule>
    <cfRule type="containsText" dxfId="7296" priority="1178" operator="containsText" text="NA">
      <formula>NOT(ISERROR(SEARCH("NA",#REF!)))</formula>
    </cfRule>
    <cfRule type="containsText" dxfId="7295" priority="1177" operator="containsText" text="Pending">
      <formula>NOT(ISERROR(SEARCH("Pending",#REF!)))</formula>
    </cfRule>
    <cfRule type="containsText" dxfId="7294" priority="1176" operator="containsText" text="Done">
      <formula>NOT(ISERROR(SEARCH("Done",#REF!)))</formula>
    </cfRule>
    <cfRule type="containsText" dxfId="7293" priority="1175" operator="containsText" text="Done">
      <formula>NOT(ISERROR(SEARCH("Done",V86)))</formula>
    </cfRule>
    <cfRule type="containsText" dxfId="7292" priority="1174" operator="containsText" text="NA">
      <formula>NOT(ISERROR(SEARCH("NA",V86)))</formula>
    </cfRule>
  </conditionalFormatting>
  <conditionalFormatting sqref="V86:V89">
    <cfRule type="containsText" dxfId="7291" priority="75719" operator="containsText" text="Done">
      <formula>NOT(ISERROR(SEARCH("Done",#REF!)))</formula>
    </cfRule>
    <cfRule type="containsText" dxfId="7290" priority="75718" operator="containsText" text="Done">
      <formula>NOT(ISERROR(SEARCH("Done",#REF!)))</formula>
    </cfRule>
    <cfRule type="containsText" dxfId="7289" priority="75717" operator="containsText" text="NA">
      <formula>NOT(ISERROR(SEARCH("NA",#REF!)))</formula>
    </cfRule>
    <cfRule type="containsText" dxfId="7288" priority="75716" operator="containsText" text="Pending">
      <formula>NOT(ISERROR(SEARCH("Pending",#REF!)))</formula>
    </cfRule>
    <cfRule type="containsText" dxfId="7287" priority="75720" operator="containsText" text="Pending">
      <formula>NOT(ISERROR(SEARCH("Pending",#REF!)))</formula>
    </cfRule>
    <cfRule type="containsText" dxfId="7286" priority="75721" operator="containsText" text="Pending">
      <formula>NOT(ISERROR(SEARCH("Pending",#REF!)))</formula>
    </cfRule>
    <cfRule type="containsText" dxfId="7285" priority="75722" operator="containsText" text="NA">
      <formula>NOT(ISERROR(SEARCH("NA",#REF!)))</formula>
    </cfRule>
    <cfRule type="containsText" dxfId="7284" priority="75723" operator="containsText" text="NA">
      <formula>NOT(ISERROR(SEARCH("NA",#REF!)))</formula>
    </cfRule>
  </conditionalFormatting>
  <conditionalFormatting sqref="V87:V88">
    <cfRule type="containsText" dxfId="7283" priority="77369" operator="containsText" text="Pending">
      <formula>NOT(ISERROR(SEARCH("Pending",#REF!)))</formula>
    </cfRule>
    <cfRule type="containsText" dxfId="7282" priority="77368" operator="containsText" text="Pending">
      <formula>NOT(ISERROR(SEARCH("Pending",#REF!)))</formula>
    </cfRule>
    <cfRule type="containsText" dxfId="7281" priority="77373" operator="containsText" text="NA">
      <formula>NOT(ISERROR(SEARCH("NA",#REF!)))</formula>
    </cfRule>
    <cfRule type="containsText" dxfId="7280" priority="77372" operator="containsText" text="NA">
      <formula>NOT(ISERROR(SEARCH("NA",#REF!)))</formula>
    </cfRule>
    <cfRule type="containsText" dxfId="7279" priority="77371" operator="containsText" text="NA">
      <formula>NOT(ISERROR(SEARCH("NA",#REF!)))</formula>
    </cfRule>
    <cfRule type="containsText" dxfId="7278" priority="77370" operator="containsText" text="Pending">
      <formula>NOT(ISERROR(SEARCH("Pending",#REF!)))</formula>
    </cfRule>
  </conditionalFormatting>
  <conditionalFormatting sqref="V87:V89">
    <cfRule type="containsText" dxfId="7277" priority="77363" operator="containsText" text="Done">
      <formula>NOT(ISERROR(SEARCH("Done",#REF!)))</formula>
    </cfRule>
  </conditionalFormatting>
  <conditionalFormatting sqref="V88:V89">
    <cfRule type="containsText" dxfId="7276" priority="77348" operator="containsText" text="NA">
      <formula>NOT(ISERROR(SEARCH("NA",V88)))</formula>
    </cfRule>
    <cfRule type="containsText" dxfId="7275" priority="77364" operator="containsText" text="Pending">
      <formula>NOT(ISERROR(SEARCH("Pending",#REF!)))</formula>
    </cfRule>
    <cfRule type="containsText" dxfId="7274" priority="77367" operator="containsText" text="NA">
      <formula>NOT(ISERROR(SEARCH("NA",#REF!)))</formula>
    </cfRule>
    <cfRule type="containsText" dxfId="7273" priority="77349" operator="containsText" text="Done">
      <formula>NOT(ISERROR(SEARCH("Done",V88)))</formula>
    </cfRule>
    <cfRule type="containsText" dxfId="7272" priority="77366" operator="containsText" text="NA">
      <formula>NOT(ISERROR(SEARCH("NA",#REF!)))</formula>
    </cfRule>
    <cfRule type="containsText" dxfId="7271" priority="77365" operator="containsText" text="Pending">
      <formula>NOT(ISERROR(SEARCH("Pending",#REF!)))</formula>
    </cfRule>
  </conditionalFormatting>
  <conditionalFormatting sqref="V89">
    <cfRule type="containsText" dxfId="7270" priority="4178" operator="containsText" text="NA">
      <formula>NOT(ISERROR(SEARCH("NA",#REF!)))</formula>
    </cfRule>
    <cfRule type="containsText" dxfId="7269" priority="4179" operator="containsText" text="NA">
      <formula>NOT(ISERROR(SEARCH("NA",V89)))</formula>
    </cfRule>
    <cfRule type="containsText" dxfId="7268" priority="4181" operator="containsText" text="Done">
      <formula>NOT(ISERROR(SEARCH("Done",#REF!)))</formula>
    </cfRule>
    <cfRule type="containsText" dxfId="7267" priority="4183" operator="containsText" text="NA">
      <formula>NOT(ISERROR(SEARCH("NA",#REF!)))</formula>
    </cfRule>
    <cfRule type="containsText" dxfId="7266" priority="4180" operator="containsText" text="Done">
      <formula>NOT(ISERROR(SEARCH("Done",V89)))</formula>
    </cfRule>
    <cfRule type="containsText" dxfId="7265" priority="4174" operator="containsText" text="NA">
      <formula>NOT(ISERROR(SEARCH("NA",V89)))</formula>
    </cfRule>
    <cfRule type="containsText" dxfId="7264" priority="4182" operator="containsText" text="Pending">
      <formula>NOT(ISERROR(SEARCH("Pending",#REF!)))</formula>
    </cfRule>
    <cfRule type="containsText" dxfId="7263" priority="4175" operator="containsText" text="Done">
      <formula>NOT(ISERROR(SEARCH("Done",V89)))</formula>
    </cfRule>
    <cfRule type="containsText" dxfId="7262" priority="4176" operator="containsText" text="Done">
      <formula>NOT(ISERROR(SEARCH("Done",#REF!)))</formula>
    </cfRule>
    <cfRule type="containsText" dxfId="7261" priority="4864" operator="containsText" text="NA">
      <formula>NOT(ISERROR(SEARCH("NA",V89)))</formula>
    </cfRule>
    <cfRule type="containsText" dxfId="7260" priority="4865" operator="containsText" text="Done">
      <formula>NOT(ISERROR(SEARCH("Done",V89)))</formula>
    </cfRule>
    <cfRule type="containsText" dxfId="7259" priority="4177" operator="containsText" text="Pending">
      <formula>NOT(ISERROR(SEARCH("Pending",#REF!)))</formula>
    </cfRule>
  </conditionalFormatting>
  <conditionalFormatting sqref="V18:W25 V19:V26">
    <cfRule type="containsText" dxfId="7258" priority="124307" operator="containsText" text="NA">
      <formula>NOT(ISERROR(SEARCH("NA",#REF!)))</formula>
    </cfRule>
    <cfRule type="containsText" dxfId="7257" priority="124295" operator="containsText" text="Pending">
      <formula>NOT(ISERROR(SEARCH("Pending",#REF!)))</formula>
    </cfRule>
    <cfRule type="containsText" dxfId="7256" priority="124296" operator="containsText" text="Pending">
      <formula>NOT(ISERROR(SEARCH("Pending",#REF!)))</formula>
    </cfRule>
    <cfRule type="containsText" dxfId="7255" priority="124308" operator="containsText" text="NA">
      <formula>NOT(ISERROR(SEARCH("NA",#REF!)))</formula>
    </cfRule>
  </conditionalFormatting>
  <conditionalFormatting sqref="V19:W25">
    <cfRule type="containsText" dxfId="7254" priority="135448" operator="containsText" text="NA">
      <formula>NOT(ISERROR(SEARCH("NA",#REF!)))</formula>
    </cfRule>
    <cfRule type="containsText" dxfId="7253" priority="135445" operator="containsText" text="NA">
      <formula>NOT(ISERROR(SEARCH("NA",#REF!)))</formula>
    </cfRule>
    <cfRule type="containsText" dxfId="7252" priority="135347" operator="containsText" text="Pending">
      <formula>NOT(ISERROR(SEARCH("Pending",#REF!)))</formula>
    </cfRule>
    <cfRule type="containsText" dxfId="7251" priority="135344" operator="containsText" text="Pending">
      <formula>NOT(ISERROR(SEARCH("Pending",#REF!)))</formula>
    </cfRule>
  </conditionalFormatting>
  <conditionalFormatting sqref="V26:W26">
    <cfRule type="containsText" dxfId="7250" priority="30997" operator="containsText" text="Pending">
      <formula>NOT(ISERROR(SEARCH("Pending",#REF!)))</formula>
    </cfRule>
    <cfRule type="containsText" dxfId="7249" priority="31003" operator="containsText" text="NA">
      <formula>NOT(ISERROR(SEARCH("NA",#REF!)))</formula>
    </cfRule>
    <cfRule type="containsText" dxfId="7248" priority="31002" operator="containsText" text="Pending">
      <formula>NOT(ISERROR(SEARCH("Pending",#REF!)))</formula>
    </cfRule>
    <cfRule type="containsText" dxfId="7247" priority="31001" operator="containsText" text="Pending">
      <formula>NOT(ISERROR(SEARCH("Pending",#REF!)))</formula>
    </cfRule>
    <cfRule type="containsText" dxfId="7246" priority="31000" operator="containsText" text="NA">
      <formula>NOT(ISERROR(SEARCH("NA",#REF!)))</formula>
    </cfRule>
    <cfRule type="containsText" dxfId="7245" priority="30999" operator="containsText" text="NA">
      <formula>NOT(ISERROR(SEARCH("NA",#REF!)))</formula>
    </cfRule>
    <cfRule type="containsText" dxfId="7244" priority="30998" operator="containsText" text="Pending">
      <formula>NOT(ISERROR(SEARCH("Pending",#REF!)))</formula>
    </cfRule>
    <cfRule type="containsText" dxfId="7243" priority="31004" operator="containsText" text="NA">
      <formula>NOT(ISERROR(SEARCH("NA",#REF!)))</formula>
    </cfRule>
  </conditionalFormatting>
  <conditionalFormatting sqref="V31:W32">
    <cfRule type="containsText" dxfId="7242" priority="109258" operator="containsText" text="Done">
      <formula>NOT(ISERROR(SEARCH("Done",#REF!)))</formula>
    </cfRule>
    <cfRule type="containsText" dxfId="7241" priority="109263" operator="containsText" text="Pending">
      <formula>NOT(ISERROR(SEARCH("Pending",#REF!)))</formula>
    </cfRule>
    <cfRule type="containsText" dxfId="7240" priority="109261" operator="containsText" text="NA">
      <formula>NOT(ISERROR(SEARCH("NA",#REF!)))</formula>
    </cfRule>
    <cfRule type="containsText" dxfId="7239" priority="109262" operator="containsText" text="Done">
      <formula>NOT(ISERROR(SEARCH("Done",#REF!)))</formula>
    </cfRule>
    <cfRule type="containsText" dxfId="7238" priority="109264" operator="containsText" text="NA">
      <formula>NOT(ISERROR(SEARCH("NA",#REF!)))</formula>
    </cfRule>
    <cfRule type="containsText" dxfId="7237" priority="109253" operator="containsText" text="NA">
      <formula>NOT(ISERROR(SEARCH("NA",#REF!)))</formula>
    </cfRule>
    <cfRule type="containsText" dxfId="7236" priority="109260" operator="containsText" text="NA">
      <formula>NOT(ISERROR(SEARCH("NA",#REF!)))</formula>
    </cfRule>
    <cfRule type="containsText" dxfId="7235" priority="109259" operator="containsText" text="Pending">
      <formula>NOT(ISERROR(SEARCH("Pending",#REF!)))</formula>
    </cfRule>
    <cfRule type="containsText" dxfId="7234" priority="109257" operator="containsText" text="NA">
      <formula>NOT(ISERROR(SEARCH("NA",#REF!)))</formula>
    </cfRule>
    <cfRule type="containsText" dxfId="7233" priority="109256" operator="containsText" text="NA">
      <formula>NOT(ISERROR(SEARCH("NA",#REF!)))</formula>
    </cfRule>
    <cfRule type="containsText" dxfId="7232" priority="109255" operator="containsText" text="Pending">
      <formula>NOT(ISERROR(SEARCH("Pending",#REF!)))</formula>
    </cfRule>
    <cfRule type="containsText" dxfId="7231" priority="109254" operator="containsText" text="Done">
      <formula>NOT(ISERROR(SEARCH("Done",#REF!)))</formula>
    </cfRule>
  </conditionalFormatting>
  <conditionalFormatting sqref="V49:W52">
    <cfRule type="containsText" dxfId="7230" priority="2108" operator="containsText" text="Pending">
      <formula>NOT(ISERROR(SEARCH("Pending",#REF!)))</formula>
    </cfRule>
    <cfRule type="containsText" dxfId="7229" priority="2105" operator="containsText" text="Done">
      <formula>NOT(ISERROR(SEARCH("Done",#REF!)))</formula>
    </cfRule>
    <cfRule type="containsText" dxfId="7228" priority="2109" operator="containsText" text="Pending">
      <formula>NOT(ISERROR(SEARCH("Pending",#REF!)))</formula>
    </cfRule>
    <cfRule type="containsText" dxfId="7227" priority="2113" operator="containsText" text="NA">
      <formula>NOT(ISERROR(SEARCH("NA",#REF!)))</formula>
    </cfRule>
    <cfRule type="containsText" dxfId="7226" priority="2112" operator="containsText" text="NA">
      <formula>NOT(ISERROR(SEARCH("NA",#REF!)))</formula>
    </cfRule>
    <cfRule type="containsText" dxfId="7225" priority="2110" operator="containsText" text="NA">
      <formula>NOT(ISERROR(SEARCH("NA",#REF!)))</formula>
    </cfRule>
    <cfRule type="containsText" dxfId="7224" priority="2107" operator="containsText" text="Pending">
      <formula>NOT(ISERROR(SEARCH("Pending",#REF!)))</formula>
    </cfRule>
    <cfRule type="containsText" dxfId="7223" priority="2106" operator="containsText" text="Pending">
      <formula>NOT(ISERROR(SEARCH("Pending",#REF!)))</formula>
    </cfRule>
    <cfRule type="containsText" dxfId="7222" priority="2111" operator="containsText" text="NA">
      <formula>NOT(ISERROR(SEARCH("NA",#REF!)))</formula>
    </cfRule>
    <cfRule type="containsText" dxfId="7221" priority="2101" operator="containsText" text="NA">
      <formula>NOT(ISERROR(SEARCH("NA",#REF!)))</formula>
    </cfRule>
    <cfRule type="containsText" dxfId="7220" priority="2102" operator="containsText" text="NA">
      <formula>NOT(ISERROR(SEARCH("NA",V49)))</formula>
    </cfRule>
    <cfRule type="containsText" dxfId="7219" priority="2103" operator="containsText" text="Pending">
      <formula>NOT(ISERROR(SEARCH("Pending",V49)))</formula>
    </cfRule>
    <cfRule type="containsText" dxfId="7218" priority="2104" operator="containsText" text="Done">
      <formula>NOT(ISERROR(SEARCH("Done",V49)))</formula>
    </cfRule>
  </conditionalFormatting>
  <conditionalFormatting sqref="V49:X52">
    <cfRule type="containsText" dxfId="7217" priority="2078" operator="containsText" text="Pending">
      <formula>NOT(ISERROR(SEARCH("Pending",#REF!)))</formula>
    </cfRule>
  </conditionalFormatting>
  <conditionalFormatting sqref="V71:AE71 AF71:AI73 AA72:AB73">
    <cfRule type="containsText" dxfId="7216" priority="148801" operator="containsText" text="Pending">
      <formula>NOT(ISERROR(SEARCH("Pending",S131)))</formula>
    </cfRule>
    <cfRule type="containsText" dxfId="7215" priority="148797" operator="containsText" text="NA">
      <formula>NOT(ISERROR(SEARCH("NA",S131)))</formula>
    </cfRule>
    <cfRule type="containsText" dxfId="7214" priority="148799" operator="containsText" text="Done">
      <formula>NOT(ISERROR(SEARCH("Done",S131)))</formula>
    </cfRule>
  </conditionalFormatting>
  <conditionalFormatting sqref="V58:AG58">
    <cfRule type="containsText" dxfId="7213" priority="119797" operator="containsText" text="NA">
      <formula>NOT(ISERROR(SEARCH("NA",#REF!)))</formula>
    </cfRule>
    <cfRule type="containsText" dxfId="7212" priority="119796" operator="containsText" text="Pending">
      <formula>NOT(ISERROR(SEARCH("Pending",#REF!)))</formula>
    </cfRule>
    <cfRule type="containsText" dxfId="7211" priority="119795" operator="containsText" text="Done">
      <formula>NOT(ISERROR(SEARCH("Done",#REF!)))</formula>
    </cfRule>
  </conditionalFormatting>
  <conditionalFormatting sqref="V59:AG59">
    <cfRule type="containsText" dxfId="7210" priority="119023" operator="containsText" text="Pending">
      <formula>NOT(ISERROR(SEARCH("Pending",#REF!)))</formula>
    </cfRule>
    <cfRule type="containsText" dxfId="7209" priority="119024" operator="containsText" text="NA">
      <formula>NOT(ISERROR(SEARCH("NA",#REF!)))</formula>
    </cfRule>
  </conditionalFormatting>
  <conditionalFormatting sqref="V72:AG73">
    <cfRule type="containsText" dxfId="7208" priority="5316" operator="containsText" text="NA">
      <formula>NOT(ISERROR(SEARCH("NA",S131)))</formula>
    </cfRule>
    <cfRule type="containsText" dxfId="7207" priority="5317" operator="containsText" text="Done">
      <formula>NOT(ISERROR(SEARCH("Done",S131)))</formula>
    </cfRule>
    <cfRule type="containsText" dxfId="7206" priority="5318" operator="containsText" text="Pending">
      <formula>NOT(ISERROR(SEARCH("Pending",S131)))</formula>
    </cfRule>
  </conditionalFormatting>
  <conditionalFormatting sqref="V57:AH57 AE58:AE61 AB58:AB62 V58:V63">
    <cfRule type="containsText" dxfId="7205" priority="119876" operator="containsText" text="Pending">
      <formula>NOT(ISERROR(SEARCH("Pending",#REF!)))</formula>
    </cfRule>
  </conditionalFormatting>
  <conditionalFormatting sqref="V44:AI44">
    <cfRule type="containsText" dxfId="7204" priority="124441" operator="containsText" text="NA">
      <formula>NOT(ISERROR(SEARCH("NA",S104)))</formula>
    </cfRule>
    <cfRule type="containsText" dxfId="7203" priority="124442" operator="containsText" text="Done">
      <formula>NOT(ISERROR(SEARCH("Done",S104)))</formula>
    </cfRule>
    <cfRule type="containsText" dxfId="7202" priority="124443" operator="containsText" text="Pending">
      <formula>NOT(ISERROR(SEARCH("Pending",S104)))</formula>
    </cfRule>
  </conditionalFormatting>
  <conditionalFormatting sqref="W29:W32">
    <cfRule type="containsText" dxfId="7201" priority="77213" operator="containsText" text="Done">
      <formula>NOT(ISERROR(SEARCH("Done",#REF!)))</formula>
    </cfRule>
    <cfRule type="containsText" dxfId="7200" priority="77212" operator="containsText" text="NA">
      <formula>NOT(ISERROR(SEARCH("NA",#REF!)))</formula>
    </cfRule>
    <cfRule type="containsText" dxfId="7199" priority="77211" operator="containsText" text="Done">
      <formula>NOT(ISERROR(SEARCH("Done",W29)))</formula>
    </cfRule>
    <cfRule type="containsText" dxfId="7198" priority="77210" operator="containsText" text="Pending">
      <formula>NOT(ISERROR(SEARCH("Pending",W29)))</formula>
    </cfRule>
    <cfRule type="containsText" dxfId="7197" priority="77209" operator="containsText" text="NA">
      <formula>NOT(ISERROR(SEARCH("NA",W29)))</formula>
    </cfRule>
    <cfRule type="containsText" dxfId="7196" priority="77223" operator="containsText" text="NA">
      <formula>NOT(ISERROR(SEARCH("NA",#REF!)))</formula>
    </cfRule>
    <cfRule type="containsText" dxfId="7195" priority="77222" operator="containsText" text="Pending">
      <formula>NOT(ISERROR(SEARCH("Pending",#REF!)))</formula>
    </cfRule>
    <cfRule type="containsText" dxfId="7194" priority="77221" operator="containsText" text="Done">
      <formula>NOT(ISERROR(SEARCH("Done",#REF!)))</formula>
    </cfRule>
    <cfRule type="containsText" dxfId="7193" priority="77220" operator="containsText" text="NA">
      <formula>NOT(ISERROR(SEARCH("NA",#REF!)))</formula>
    </cfRule>
    <cfRule type="containsText" dxfId="7192" priority="77219" operator="containsText" text="NA">
      <formula>NOT(ISERROR(SEARCH("NA",#REF!)))</formula>
    </cfRule>
    <cfRule type="containsText" dxfId="7191" priority="77218" operator="containsText" text="Pending">
      <formula>NOT(ISERROR(SEARCH("Pending",#REF!)))</formula>
    </cfRule>
    <cfRule type="containsText" dxfId="7190" priority="123476" operator="containsText" text="NA">
      <formula>NOT(ISERROR(SEARCH("NA",W29)))</formula>
    </cfRule>
    <cfRule type="containsText" dxfId="7189" priority="77217" operator="containsText" text="Done">
      <formula>NOT(ISERROR(SEARCH("Done",#REF!)))</formula>
    </cfRule>
    <cfRule type="containsText" dxfId="7188" priority="77216" operator="containsText" text="NA">
      <formula>NOT(ISERROR(SEARCH("NA",#REF!)))</formula>
    </cfRule>
    <cfRule type="containsText" dxfId="7187" priority="77215" operator="containsText" text="NA">
      <formula>NOT(ISERROR(SEARCH("NA",#REF!)))</formula>
    </cfRule>
    <cfRule type="containsText" dxfId="7186" priority="77214" operator="containsText" text="Pending">
      <formula>NOT(ISERROR(SEARCH("Pending",#REF!)))</formula>
    </cfRule>
    <cfRule type="containsText" dxfId="7185" priority="123482" operator="containsText" text="NA">
      <formula>NOT(ISERROR(SEARCH("NA",#REF!)))</formula>
    </cfRule>
    <cfRule type="containsText" dxfId="7184" priority="123481" operator="containsText" text="Pending">
      <formula>NOT(ISERROR(SEARCH("Pending",#REF!)))</formula>
    </cfRule>
    <cfRule type="containsText" dxfId="7183" priority="123480" operator="containsText" text="Done">
      <formula>NOT(ISERROR(SEARCH("Done",#REF!)))</formula>
    </cfRule>
    <cfRule type="containsText" dxfId="7182" priority="123479" operator="containsText" text="NA">
      <formula>NOT(ISERROR(SEARCH("NA",#REF!)))</formula>
    </cfRule>
    <cfRule type="containsText" dxfId="7181" priority="123478" operator="containsText" text="Done">
      <formula>NOT(ISERROR(SEARCH("Done",W29)))</formula>
    </cfRule>
    <cfRule type="containsText" dxfId="7180" priority="123477" operator="containsText" text="Pending">
      <formula>NOT(ISERROR(SEARCH("Pending",W29)))</formula>
    </cfRule>
  </conditionalFormatting>
  <conditionalFormatting sqref="W30:W32">
    <cfRule type="containsText" dxfId="7179" priority="123416" operator="containsText" text="NA">
      <formula>NOT(ISERROR(SEARCH("NA",W30)))</formula>
    </cfRule>
    <cfRule type="containsText" dxfId="7178" priority="123419" operator="containsText" text="NA">
      <formula>NOT(ISERROR(SEARCH("NA",#REF!)))</formula>
    </cfRule>
    <cfRule type="containsText" dxfId="7177" priority="5269" operator="containsText" text="Pending">
      <formula>NOT(ISERROR(SEARCH("Pending",#REF!)))</formula>
    </cfRule>
    <cfRule type="containsText" dxfId="7176" priority="123417" operator="containsText" text="Pending">
      <formula>NOT(ISERROR(SEARCH("Pending",W30)))</formula>
    </cfRule>
    <cfRule type="containsText" dxfId="7175" priority="123418" operator="containsText" text="Done">
      <formula>NOT(ISERROR(SEARCH("Done",W30)))</formula>
    </cfRule>
    <cfRule type="containsText" dxfId="7174" priority="123422" operator="containsText" text="NA">
      <formula>NOT(ISERROR(SEARCH("NA",#REF!)))</formula>
    </cfRule>
    <cfRule type="containsText" dxfId="7173" priority="5270" operator="containsText" text="NA">
      <formula>NOT(ISERROR(SEARCH("NA",#REF!)))</formula>
    </cfRule>
    <cfRule type="containsText" dxfId="7172" priority="123420" operator="containsText" text="Done">
      <formula>NOT(ISERROR(SEARCH("Done",#REF!)))</formula>
    </cfRule>
    <cfRule type="containsText" dxfId="7171" priority="5268" operator="containsText" text="Done">
      <formula>NOT(ISERROR(SEARCH("Done",#REF!)))</formula>
    </cfRule>
    <cfRule type="containsText" dxfId="7170" priority="5267" operator="containsText" text="NA">
      <formula>NOT(ISERROR(SEARCH("NA",#REF!)))</formula>
    </cfRule>
    <cfRule type="containsText" dxfId="7169" priority="123421" operator="containsText" text="Pending">
      <formula>NOT(ISERROR(SEARCH("Pending",#REF!)))</formula>
    </cfRule>
  </conditionalFormatting>
  <conditionalFormatting sqref="W49:W50">
    <cfRule type="containsText" dxfId="7168" priority="123906" operator="containsText" text="NA">
      <formula>NOT(ISERROR(SEARCH("NA",#REF!)))</formula>
    </cfRule>
    <cfRule type="containsText" dxfId="7167" priority="123904" operator="containsText" text="Done">
      <formula>NOT(ISERROR(SEARCH("Done",#REF!)))</formula>
    </cfRule>
    <cfRule type="containsText" dxfId="7166" priority="123905" operator="containsText" text="Pending">
      <formula>NOT(ISERROR(SEARCH("Pending",#REF!)))</formula>
    </cfRule>
  </conditionalFormatting>
  <conditionalFormatting sqref="W51:W53">
    <cfRule type="containsText" dxfId="7165" priority="109420" operator="containsText" text="Done">
      <formula>NOT(ISERROR(SEARCH("Done",T114)))</formula>
    </cfRule>
    <cfRule type="containsText" dxfId="7164" priority="109421" operator="containsText" text="Pending">
      <formula>NOT(ISERROR(SEARCH("Pending",T114)))</formula>
    </cfRule>
    <cfRule type="containsText" dxfId="7163" priority="127371" operator="containsText" text="NA">
      <formula>NOT(ISERROR(SEARCH("NA",#REF!)))</formula>
    </cfRule>
    <cfRule type="containsText" dxfId="7162" priority="109422" operator="containsText" text="NA">
      <formula>NOT(ISERROR(SEARCH("NA",T114)))</formula>
    </cfRule>
  </conditionalFormatting>
  <conditionalFormatting sqref="W53">
    <cfRule type="containsText" dxfId="7161" priority="5442" operator="containsText" text="Pending">
      <formula>NOT(ISERROR(SEARCH("Pending",T116)))</formula>
    </cfRule>
    <cfRule type="containsText" dxfId="7160" priority="5441" operator="containsText" text="Done">
      <formula>NOT(ISERROR(SEARCH("Done",T116)))</formula>
    </cfRule>
    <cfRule type="containsText" dxfId="7159" priority="5443" operator="containsText" text="NA">
      <formula>NOT(ISERROR(SEARCH("NA",T116)))</formula>
    </cfRule>
  </conditionalFormatting>
  <conditionalFormatting sqref="W76:W77">
    <cfRule type="containsText" dxfId="7158" priority="985" operator="containsText" text="NA">
      <formula>NOT(ISERROR(SEARCH("NA",#REF!)))</formula>
    </cfRule>
    <cfRule type="containsText" dxfId="7157" priority="977" operator="containsText" text="NA">
      <formula>NOT(ISERROR(SEARCH("NA",#REF!)))</formula>
    </cfRule>
    <cfRule type="containsText" dxfId="7156" priority="984" operator="containsText" text="Pending">
      <formula>NOT(ISERROR(SEARCH("Pending",#REF!)))</formula>
    </cfRule>
    <cfRule type="containsText" dxfId="7155" priority="983" operator="containsText" text="Done">
      <formula>NOT(ISERROR(SEARCH("Done",#REF!)))</formula>
    </cfRule>
    <cfRule type="containsText" dxfId="7154" priority="982" operator="containsText" text="NA">
      <formula>NOT(ISERROR(SEARCH("NA",#REF!)))</formula>
    </cfRule>
    <cfRule type="containsText" dxfId="7153" priority="981" operator="containsText" text="Pending">
      <formula>NOT(ISERROR(SEARCH("Pending",#REF!)))</formula>
    </cfRule>
    <cfRule type="containsText" dxfId="7152" priority="980" operator="containsText" text="Done">
      <formula>NOT(ISERROR(SEARCH("Done",#REF!)))</formula>
    </cfRule>
    <cfRule type="containsText" dxfId="7151" priority="978" operator="containsText" text="NA">
      <formula>NOT(ISERROR(SEARCH("NA",W76)))</formula>
    </cfRule>
    <cfRule type="containsText" dxfId="7150" priority="976" operator="containsText" text="Pending">
      <formula>NOT(ISERROR(SEARCH("Pending",#REF!)))</formula>
    </cfRule>
    <cfRule type="containsText" dxfId="7149" priority="975" operator="containsText" text="Done">
      <formula>NOT(ISERROR(SEARCH("Done",#REF!)))</formula>
    </cfRule>
    <cfRule type="containsText" dxfId="7148" priority="974" operator="containsText" text="Done">
      <formula>NOT(ISERROR(SEARCH("Done",W76)))</formula>
    </cfRule>
    <cfRule type="containsText" dxfId="7147" priority="973" operator="containsText" text="NA">
      <formula>NOT(ISERROR(SEARCH("NA",W76)))</formula>
    </cfRule>
    <cfRule type="containsText" dxfId="7146" priority="979" operator="containsText" text="Done">
      <formula>NOT(ISERROR(SEARCH("Done",W76)))</formula>
    </cfRule>
  </conditionalFormatting>
  <conditionalFormatting sqref="W79:W81">
    <cfRule type="containsText" dxfId="7145" priority="396" operator="containsText" text="Pending">
      <formula>NOT(ISERROR(SEARCH("Pending",#REF!)))</formula>
    </cfRule>
    <cfRule type="containsText" dxfId="7144" priority="394" operator="containsText" text="Done">
      <formula>NOT(ISERROR(SEARCH("Done",W79)))</formula>
    </cfRule>
    <cfRule type="containsText" dxfId="7143" priority="395" operator="containsText" text="Done">
      <formula>NOT(ISERROR(SEARCH("Done",#REF!)))</formula>
    </cfRule>
    <cfRule type="containsText" dxfId="7142" priority="397" operator="containsText" text="NA">
      <formula>NOT(ISERROR(SEARCH("NA",#REF!)))</formula>
    </cfRule>
    <cfRule type="containsText" dxfId="7141" priority="388" operator="containsText" text="NA">
      <formula>NOT(ISERROR(SEARCH("NA",W79)))</formula>
    </cfRule>
    <cfRule type="containsText" dxfId="7140" priority="389" operator="containsText" text="Done">
      <formula>NOT(ISERROR(SEARCH("Done",W79)))</formula>
    </cfRule>
    <cfRule type="containsText" dxfId="7139" priority="390" operator="containsText" text="Done">
      <formula>NOT(ISERROR(SEARCH("Done",#REF!)))</formula>
    </cfRule>
    <cfRule type="containsText" dxfId="7138" priority="391" operator="containsText" text="Pending">
      <formula>NOT(ISERROR(SEARCH("Pending",#REF!)))</formula>
    </cfRule>
    <cfRule type="containsText" dxfId="7137" priority="392" operator="containsText" text="NA">
      <formula>NOT(ISERROR(SEARCH("NA",#REF!)))</formula>
    </cfRule>
    <cfRule type="containsText" dxfId="7136" priority="393" operator="containsText" text="NA">
      <formula>NOT(ISERROR(SEARCH("NA",W79)))</formula>
    </cfRule>
    <cfRule type="containsText" dxfId="7135" priority="400" operator="containsText" text="NA">
      <formula>NOT(ISERROR(SEARCH("NA",#REF!)))</formula>
    </cfRule>
    <cfRule type="containsText" dxfId="7134" priority="399" operator="containsText" text="Pending">
      <formula>NOT(ISERROR(SEARCH("Pending",#REF!)))</formula>
    </cfRule>
    <cfRule type="containsText" dxfId="7133" priority="398" operator="containsText" text="Done">
      <formula>NOT(ISERROR(SEARCH("Done",#REF!)))</formula>
    </cfRule>
  </conditionalFormatting>
  <conditionalFormatting sqref="W86:W88">
    <cfRule type="containsText" dxfId="7132" priority="1165" operator="containsText" text="NA">
      <formula>NOT(ISERROR(SEARCH("NA",#REF!)))</formula>
    </cfRule>
    <cfRule type="containsText" dxfId="7131" priority="1166" operator="containsText" text="NA">
      <formula>NOT(ISERROR(SEARCH("NA",W86)))</formula>
    </cfRule>
    <cfRule type="containsText" dxfId="7130" priority="1167" operator="containsText" text="Done">
      <formula>NOT(ISERROR(SEARCH("Done",W86)))</formula>
    </cfRule>
    <cfRule type="containsText" dxfId="7129" priority="1168" operator="containsText" text="Done">
      <formula>NOT(ISERROR(SEARCH("Done",#REF!)))</formula>
    </cfRule>
    <cfRule type="containsText" dxfId="7128" priority="1169" operator="containsText" text="Pending">
      <formula>NOT(ISERROR(SEARCH("Pending",#REF!)))</formula>
    </cfRule>
    <cfRule type="containsText" dxfId="7127" priority="1170" operator="containsText" text="NA">
      <formula>NOT(ISERROR(SEARCH("NA",#REF!)))</formula>
    </cfRule>
    <cfRule type="containsText" dxfId="7126" priority="1171" operator="containsText" text="Done">
      <formula>NOT(ISERROR(SEARCH("Done",#REF!)))</formula>
    </cfRule>
    <cfRule type="containsText" dxfId="7125" priority="1172" operator="containsText" text="Pending">
      <formula>NOT(ISERROR(SEARCH("Pending",#REF!)))</formula>
    </cfRule>
    <cfRule type="containsText" dxfId="7124" priority="1173" operator="containsText" text="NA">
      <formula>NOT(ISERROR(SEARCH("NA",#REF!)))</formula>
    </cfRule>
    <cfRule type="containsText" dxfId="7123" priority="1161" operator="containsText" text="NA">
      <formula>NOT(ISERROR(SEARCH("NA",W86)))</formula>
    </cfRule>
    <cfRule type="containsText" dxfId="7122" priority="1162" operator="containsText" text="Done">
      <formula>NOT(ISERROR(SEARCH("Done",W86)))</formula>
    </cfRule>
    <cfRule type="containsText" dxfId="7121" priority="1163" operator="containsText" text="Done">
      <formula>NOT(ISERROR(SEARCH("Done",#REF!)))</formula>
    </cfRule>
    <cfRule type="containsText" dxfId="7120" priority="1164" operator="containsText" text="Pending">
      <formula>NOT(ISERROR(SEARCH("Pending",#REF!)))</formula>
    </cfRule>
  </conditionalFormatting>
  <conditionalFormatting sqref="W88:W89">
    <cfRule type="containsText" dxfId="7119" priority="77347" operator="containsText" text="Done">
      <formula>NOT(ISERROR(SEARCH("Done",W88)))</formula>
    </cfRule>
    <cfRule type="containsText" dxfId="7118" priority="77346" operator="containsText" text="NA">
      <formula>NOT(ISERROR(SEARCH("NA",W88)))</formula>
    </cfRule>
  </conditionalFormatting>
  <conditionalFormatting sqref="W89">
    <cfRule type="containsText" dxfId="7117" priority="4188" operator="containsText" text="NA">
      <formula>NOT(ISERROR(SEARCH("NA",#REF!)))</formula>
    </cfRule>
    <cfRule type="containsText" dxfId="7116" priority="4187" operator="containsText" text="Pending">
      <formula>NOT(ISERROR(SEARCH("Pending",#REF!)))</formula>
    </cfRule>
    <cfRule type="containsText" dxfId="7115" priority="4189" operator="containsText" text="NA">
      <formula>NOT(ISERROR(SEARCH("NA",W89)))</formula>
    </cfRule>
    <cfRule type="containsText" dxfId="7114" priority="4192" operator="containsText" text="Pending">
      <formula>NOT(ISERROR(SEARCH("Pending",#REF!)))</formula>
    </cfRule>
    <cfRule type="containsText" dxfId="7113" priority="4184" operator="containsText" text="NA">
      <formula>NOT(ISERROR(SEARCH("NA",W89)))</formula>
    </cfRule>
    <cfRule type="containsText" dxfId="7112" priority="4185" operator="containsText" text="Done">
      <formula>NOT(ISERROR(SEARCH("Done",W89)))</formula>
    </cfRule>
    <cfRule type="containsText" dxfId="7111" priority="4186" operator="containsText" text="Done">
      <formula>NOT(ISERROR(SEARCH("Done",#REF!)))</formula>
    </cfRule>
    <cfRule type="containsText" dxfId="7110" priority="4190" operator="containsText" text="Done">
      <formula>NOT(ISERROR(SEARCH("Done",W89)))</formula>
    </cfRule>
    <cfRule type="containsText" dxfId="7109" priority="4193" operator="containsText" text="NA">
      <formula>NOT(ISERROR(SEARCH("NA",#REF!)))</formula>
    </cfRule>
    <cfRule type="containsText" dxfId="7108" priority="4191" operator="containsText" text="Done">
      <formula>NOT(ISERROR(SEARCH("Done",#REF!)))</formula>
    </cfRule>
  </conditionalFormatting>
  <conditionalFormatting sqref="W30:X32">
    <cfRule type="containsText" dxfId="7107" priority="3344" operator="containsText" text="Done">
      <formula>NOT(ISERROR(SEARCH("Done",#REF!)))</formula>
    </cfRule>
    <cfRule type="containsText" dxfId="7106" priority="3348" operator="containsText" text="Done">
      <formula>NOT(ISERROR(SEARCH("Done",#REF!)))</formula>
    </cfRule>
    <cfRule type="containsText" dxfId="7105" priority="3349" operator="containsText" text="Pending">
      <formula>NOT(ISERROR(SEARCH("Pending",#REF!)))</formula>
    </cfRule>
    <cfRule type="containsText" dxfId="7104" priority="3345" operator="containsText" text="Pending">
      <formula>NOT(ISERROR(SEARCH("Pending",#REF!)))</formula>
    </cfRule>
    <cfRule type="containsText" dxfId="7103" priority="3353" operator="containsText" text="NA">
      <formula>NOT(ISERROR(SEARCH("NA",#REF!)))</formula>
    </cfRule>
    <cfRule type="containsText" dxfId="7102" priority="3340" operator="containsText" text="Done">
      <formula>NOT(ISERROR(SEARCH("Done",#REF!)))</formula>
    </cfRule>
    <cfRule type="containsText" dxfId="7101" priority="3341" operator="containsText" text="Pending">
      <formula>NOT(ISERROR(SEARCH("Pending",#REF!)))</formula>
    </cfRule>
    <cfRule type="containsText" dxfId="7100" priority="3350" operator="containsText" text="NA">
      <formula>NOT(ISERROR(SEARCH("NA",#REF!)))</formula>
    </cfRule>
    <cfRule type="containsText" dxfId="7099" priority="3342" operator="containsText" text="NA">
      <formula>NOT(ISERROR(SEARCH("NA",#REF!)))</formula>
    </cfRule>
    <cfRule type="containsText" dxfId="7098" priority="3343" operator="containsText" text="NA">
      <formula>NOT(ISERROR(SEARCH("NA",#REF!)))</formula>
    </cfRule>
    <cfRule type="containsText" dxfId="7097" priority="3346" operator="containsText" text="NA">
      <formula>NOT(ISERROR(SEARCH("NA",#REF!)))</formula>
    </cfRule>
    <cfRule type="containsText" dxfId="7096" priority="3339" operator="containsText" text="NA">
      <formula>NOT(ISERROR(SEARCH("NA",#REF!)))</formula>
    </cfRule>
    <cfRule type="containsText" dxfId="7095" priority="3351" operator="containsText" text="Done">
      <formula>NOT(ISERROR(SEARCH("Done",#REF!)))</formula>
    </cfRule>
    <cfRule type="containsText" dxfId="7094" priority="3352" operator="containsText" text="Pending">
      <formula>NOT(ISERROR(SEARCH("Pending",#REF!)))</formula>
    </cfRule>
    <cfRule type="containsText" dxfId="7093" priority="3347" operator="containsText" text="NA">
      <formula>NOT(ISERROR(SEARCH("NA",#REF!)))</formula>
    </cfRule>
  </conditionalFormatting>
  <conditionalFormatting sqref="W42:X42">
    <cfRule type="containsText" dxfId="7092" priority="75725" operator="containsText" text="Done">
      <formula>NOT(ISERROR(SEARCH("Done",#REF!)))</formula>
    </cfRule>
    <cfRule type="containsText" dxfId="7091" priority="75726" operator="containsText" text="Pending">
      <formula>NOT(ISERROR(SEARCH("Pending",#REF!)))</formula>
    </cfRule>
    <cfRule type="containsText" dxfId="7090" priority="75727" operator="containsText" text="NA">
      <formula>NOT(ISERROR(SEARCH("NA",#REF!)))</formula>
    </cfRule>
  </conditionalFormatting>
  <conditionalFormatting sqref="W49:X49">
    <cfRule type="containsText" dxfId="7089" priority="75330" operator="containsText" text="Done">
      <formula>NOT(ISERROR(SEARCH("Done",T112)))</formula>
    </cfRule>
    <cfRule type="containsText" dxfId="7088" priority="75331" operator="containsText" text="Pending">
      <formula>NOT(ISERROR(SEARCH("Pending",T112)))</formula>
    </cfRule>
    <cfRule type="containsText" dxfId="7087" priority="75332" operator="containsText" text="NA">
      <formula>NOT(ISERROR(SEARCH("NA",T112)))</formula>
    </cfRule>
  </conditionalFormatting>
  <conditionalFormatting sqref="W51:X51">
    <cfRule type="containsText" dxfId="7086" priority="75328" operator="containsText" text="Pending">
      <formula>NOT(ISERROR(SEARCH("Pending",T114)))</formula>
    </cfRule>
    <cfRule type="containsText" dxfId="7085" priority="75327" operator="containsText" text="Done">
      <formula>NOT(ISERROR(SEARCH("Done",T114)))</formula>
    </cfRule>
    <cfRule type="containsText" dxfId="7084" priority="75329" operator="containsText" text="NA">
      <formula>NOT(ISERROR(SEARCH("NA",T114)))</formula>
    </cfRule>
  </conditionalFormatting>
  <conditionalFormatting sqref="W51:X53 R53:Y53">
    <cfRule type="containsText" dxfId="7083" priority="127354" operator="containsText" text="Pending">
      <formula>NOT(ISERROR(SEARCH("Pending",O115)))</formula>
    </cfRule>
    <cfRule type="containsText" dxfId="7082" priority="127353" operator="containsText" text="NA">
      <formula>NOT(ISERROR(SEARCH("NA",O115)))</formula>
    </cfRule>
    <cfRule type="containsText" dxfId="7081" priority="127361" operator="containsText" text="Done">
      <formula>NOT(ISERROR(SEARCH("Done",#REF!)))</formula>
    </cfRule>
    <cfRule type="containsText" dxfId="7080" priority="127355" operator="containsText" text="Done">
      <formula>NOT(ISERROR(SEARCH("Done",O115)))</formula>
    </cfRule>
  </conditionalFormatting>
  <conditionalFormatting sqref="W51:X53">
    <cfRule type="containsText" dxfId="7079" priority="127366" operator="containsText" text="Pending">
      <formula>NOT(ISERROR(SEARCH("Pending",#REF!)))</formula>
    </cfRule>
  </conditionalFormatting>
  <conditionalFormatting sqref="W66:X66 W67:W73">
    <cfRule type="containsText" dxfId="7078" priority="119569" operator="containsText" text="Pending">
      <formula>NOT(ISERROR(SEARCH("Pending",#REF!)))</formula>
    </cfRule>
    <cfRule type="containsText" dxfId="7077" priority="119568" operator="containsText" text="Pending">
      <formula>NOT(ISERROR(SEARCH("Pending",#REF!)))</formula>
    </cfRule>
    <cfRule type="containsText" dxfId="7076" priority="119566" operator="containsText" text="Done">
      <formula>NOT(ISERROR(SEARCH("Done",#REF!)))</formula>
    </cfRule>
    <cfRule type="containsText" dxfId="7075" priority="119570" operator="containsText" text="NA">
      <formula>NOT(ISERROR(SEARCH("NA",#REF!)))</formula>
    </cfRule>
    <cfRule type="containsText" dxfId="7074" priority="119571" operator="containsText" text="NA">
      <formula>NOT(ISERROR(SEARCH("NA",#REF!)))</formula>
    </cfRule>
  </conditionalFormatting>
  <conditionalFormatting sqref="W78:X78">
    <cfRule type="containsText" dxfId="7073" priority="746" operator="containsText" text="NA">
      <formula>NOT(ISERROR(SEARCH("NA",W78)))</formula>
    </cfRule>
    <cfRule type="containsText" dxfId="7072" priority="749" operator="containsText" text="Pending">
      <formula>NOT(ISERROR(SEARCH("Pending",#REF!)))</formula>
    </cfRule>
    <cfRule type="containsText" dxfId="7071" priority="747" operator="containsText" text="Done">
      <formula>NOT(ISERROR(SEARCH("Done",W78)))</formula>
    </cfRule>
    <cfRule type="containsText" dxfId="7070" priority="751" operator="containsText" text="NA">
      <formula>NOT(ISERROR(SEARCH("NA",W78)))</formula>
    </cfRule>
    <cfRule type="containsText" dxfId="7069" priority="752" operator="containsText" text="Done">
      <formula>NOT(ISERROR(SEARCH("Done",W78)))</formula>
    </cfRule>
    <cfRule type="containsText" dxfId="7068" priority="753" operator="containsText" text="Done">
      <formula>NOT(ISERROR(SEARCH("Done",#REF!)))</formula>
    </cfRule>
    <cfRule type="containsText" dxfId="7067" priority="754" operator="containsText" text="Pending">
      <formula>NOT(ISERROR(SEARCH("Pending",#REF!)))</formula>
    </cfRule>
    <cfRule type="containsText" dxfId="7066" priority="755" operator="containsText" text="NA">
      <formula>NOT(ISERROR(SEARCH("NA",#REF!)))</formula>
    </cfRule>
    <cfRule type="containsText" dxfId="7065" priority="756" operator="containsText" text="Done">
      <formula>NOT(ISERROR(SEARCH("Done",#REF!)))</formula>
    </cfRule>
    <cfRule type="containsText" dxfId="7064" priority="750" operator="containsText" text="NA">
      <formula>NOT(ISERROR(SEARCH("NA",#REF!)))</formula>
    </cfRule>
    <cfRule type="containsText" dxfId="7063" priority="758" operator="containsText" text="NA">
      <formula>NOT(ISERROR(SEARCH("NA",#REF!)))</formula>
    </cfRule>
    <cfRule type="containsText" dxfId="7062" priority="748" operator="containsText" text="Done">
      <formula>NOT(ISERROR(SEARCH("Done",#REF!)))</formula>
    </cfRule>
    <cfRule type="containsText" dxfId="7061" priority="757" operator="containsText" text="Pending">
      <formula>NOT(ISERROR(SEARCH("Pending",#REF!)))</formula>
    </cfRule>
  </conditionalFormatting>
  <conditionalFormatting sqref="W82:X82 X83:Y83">
    <cfRule type="containsText" dxfId="7060" priority="411" operator="containsText" text="Pending">
      <formula>NOT(ISERROR(SEARCH("Pending",#REF!)))</formula>
    </cfRule>
    <cfRule type="containsText" dxfId="7059" priority="412" operator="containsText" text="Pending">
      <formula>NOT(ISERROR(SEARCH("Pending",#REF!)))</formula>
    </cfRule>
    <cfRule type="containsText" dxfId="7058" priority="413" operator="containsText" text="NA">
      <formula>NOT(ISERROR(SEARCH("NA",#REF!)))</formula>
    </cfRule>
    <cfRule type="containsText" dxfId="7057" priority="414" operator="containsText" text="NA">
      <formula>NOT(ISERROR(SEARCH("NA",#REF!)))</formula>
    </cfRule>
    <cfRule type="containsText" dxfId="7056" priority="415" operator="containsText" text="NA">
      <formula>NOT(ISERROR(SEARCH("NA",W82)))</formula>
    </cfRule>
    <cfRule type="containsText" dxfId="7055" priority="476" operator="containsText" text="NA">
      <formula>NOT(ISERROR(SEARCH("NA",#REF!)))</formula>
    </cfRule>
    <cfRule type="containsText" dxfId="7054" priority="475" operator="containsText" text="Pending">
      <formula>NOT(ISERROR(SEARCH("Pending",#REF!)))</formula>
    </cfRule>
    <cfRule type="containsText" dxfId="7053" priority="474" operator="containsText" text="Pending">
      <formula>NOT(ISERROR(SEARCH("Pending",#REF!)))</formula>
    </cfRule>
    <cfRule type="containsText" dxfId="7052" priority="473" operator="containsText" text="Pending">
      <formula>NOT(ISERROR(SEARCH("Pending",#REF!)))</formula>
    </cfRule>
    <cfRule type="containsText" dxfId="7051" priority="455" operator="containsText" text="NA">
      <formula>NOT(ISERROR(SEARCH("NA",#REF!)))</formula>
    </cfRule>
    <cfRule type="containsText" dxfId="7050" priority="472" operator="containsText" text="Done">
      <formula>NOT(ISERROR(SEARCH("Done",#REF!)))</formula>
    </cfRule>
    <cfRule type="containsText" dxfId="7049" priority="471" operator="containsText" text="Done">
      <formula>NOT(ISERROR(SEARCH("Done",#REF!)))</formula>
    </cfRule>
    <cfRule type="containsText" dxfId="7048" priority="416" operator="containsText" text="Done">
      <formula>NOT(ISERROR(SEARCH("Done",W82)))</formula>
    </cfRule>
    <cfRule type="containsText" dxfId="7047" priority="417" operator="containsText" text="Done">
      <formula>NOT(ISERROR(SEARCH("Done",#REF!)))</formula>
    </cfRule>
    <cfRule type="containsText" dxfId="7046" priority="418" operator="containsText" text="Pending">
      <formula>NOT(ISERROR(SEARCH("Pending",#REF!)))</formula>
    </cfRule>
    <cfRule type="containsText" dxfId="7045" priority="419" operator="containsText" text="NA">
      <formula>NOT(ISERROR(SEARCH("NA",#REF!)))</formula>
    </cfRule>
    <cfRule type="containsText" dxfId="7044" priority="470" operator="containsText" text="NA">
      <formula>NOT(ISERROR(SEARCH("NA",#REF!)))</formula>
    </cfRule>
    <cfRule type="containsText" dxfId="7043" priority="469" operator="containsText" text="NA">
      <formula>NOT(ISERROR(SEARCH("NA",#REF!)))</formula>
    </cfRule>
    <cfRule type="containsText" dxfId="7042" priority="468" operator="containsText" text="Pending">
      <formula>NOT(ISERROR(SEARCH("Pending",#REF!)))</formula>
    </cfRule>
    <cfRule type="containsText" dxfId="7041" priority="467" operator="containsText" text="Pending">
      <formula>NOT(ISERROR(SEARCH("Pending",#REF!)))</formula>
    </cfRule>
    <cfRule type="containsText" dxfId="7040" priority="421" operator="containsText" text="Done">
      <formula>NOT(ISERROR(SEARCH("Done",W82)))</formula>
    </cfRule>
    <cfRule type="containsText" dxfId="7039" priority="466" operator="containsText" text="Done">
      <formula>NOT(ISERROR(SEARCH("Done",#REF!)))</formula>
    </cfRule>
    <cfRule type="containsText" dxfId="7038" priority="465" operator="containsText" text="NA">
      <formula>NOT(ISERROR(SEARCH("NA",#REF!)))</formula>
    </cfRule>
    <cfRule type="containsText" dxfId="7037" priority="464" operator="containsText" text="Pending">
      <formula>NOT(ISERROR(SEARCH("Pending",#REF!)))</formula>
    </cfRule>
    <cfRule type="containsText" dxfId="7036" priority="463" operator="containsText" text="NA">
      <formula>NOT(ISERROR(SEARCH("NA",#REF!)))</formula>
    </cfRule>
    <cfRule type="containsText" dxfId="7035" priority="461" operator="containsText" text="Pending">
      <formula>NOT(ISERROR(SEARCH("Pending",#REF!)))</formula>
    </cfRule>
    <cfRule type="containsText" dxfId="7034" priority="460" operator="containsText" text="Pending">
      <formula>NOT(ISERROR(SEARCH("Pending",#REF!)))</formula>
    </cfRule>
    <cfRule type="containsText" dxfId="7033" priority="459" operator="containsText" text="Done">
      <formula>NOT(ISERROR(SEARCH("Done",#REF!)))</formula>
    </cfRule>
    <cfRule type="containsText" dxfId="7032" priority="458" operator="containsText" text="NA">
      <formula>NOT(ISERROR(SEARCH("NA",#REF!)))</formula>
    </cfRule>
    <cfRule type="containsText" dxfId="7031" priority="457" operator="containsText" text="Pending">
      <formula>NOT(ISERROR(SEARCH("Pending",#REF!)))</formula>
    </cfRule>
    <cfRule type="containsText" dxfId="7030" priority="456" operator="containsText" text="NA">
      <formula>NOT(ISERROR(SEARCH("NA",#REF!)))</formula>
    </cfRule>
    <cfRule type="containsText" dxfId="7029" priority="454" operator="containsText" text="Pending">
      <formula>NOT(ISERROR(SEARCH("Pending",#REF!)))</formula>
    </cfRule>
    <cfRule type="containsText" dxfId="7028" priority="453" operator="containsText" text="Pending">
      <formula>NOT(ISERROR(SEARCH("Pending",#REF!)))</formula>
    </cfRule>
    <cfRule type="containsText" dxfId="7027" priority="452" operator="containsText" text="Done">
      <formula>NOT(ISERROR(SEARCH("Done",#REF!)))</formula>
    </cfRule>
    <cfRule type="containsText" dxfId="7026" priority="451" operator="containsText" text="NA">
      <formula>NOT(ISERROR(SEARCH("NA",#REF!)))</formula>
    </cfRule>
    <cfRule type="containsText" dxfId="7025" priority="450" operator="containsText" text="Pending">
      <formula>NOT(ISERROR(SEARCH("Pending",#REF!)))</formula>
    </cfRule>
    <cfRule type="containsText" dxfId="7024" priority="449" operator="containsText" text="NA">
      <formula>NOT(ISERROR(SEARCH("NA",#REF!)))</formula>
    </cfRule>
    <cfRule type="containsText" dxfId="7023" priority="448" operator="containsText" text="NA">
      <formula>NOT(ISERROR(SEARCH("NA",#REF!)))</formula>
    </cfRule>
    <cfRule type="containsText" dxfId="7022" priority="447" operator="containsText" text="Pending">
      <formula>NOT(ISERROR(SEARCH("Pending",#REF!)))</formula>
    </cfRule>
    <cfRule type="containsText" dxfId="7021" priority="446" operator="containsText" text="Pending">
      <formula>NOT(ISERROR(SEARCH("Pending",#REF!)))</formula>
    </cfRule>
    <cfRule type="containsText" dxfId="7020" priority="445" operator="containsText" text="Done">
      <formula>NOT(ISERROR(SEARCH("Done",#REF!)))</formula>
    </cfRule>
    <cfRule type="containsText" dxfId="7019" priority="444" operator="containsText" text="NA">
      <formula>NOT(ISERROR(SEARCH("NA",#REF!)))</formula>
    </cfRule>
    <cfRule type="containsText" dxfId="7018" priority="462" operator="containsText" text="NA">
      <formula>NOT(ISERROR(SEARCH("NA",#REF!)))</formula>
    </cfRule>
    <cfRule type="containsText" dxfId="7017" priority="401" operator="containsText" text="Pending">
      <formula>NOT(ISERROR(SEARCH("Pending",#REF!)))</formula>
    </cfRule>
    <cfRule type="containsText" dxfId="7016" priority="402" operator="containsText" text="NA">
      <formula>NOT(ISERROR(SEARCH("NA",#REF!)))</formula>
    </cfRule>
    <cfRule type="containsText" dxfId="7015" priority="404" operator="containsText" text="Pending">
      <formula>NOT(ISERROR(SEARCH("Pending",#REF!)))</formula>
    </cfRule>
    <cfRule type="containsText" dxfId="7014" priority="443" operator="containsText" text="Pending">
      <formula>NOT(ISERROR(SEARCH("Pending",#REF!)))</formula>
    </cfRule>
    <cfRule type="containsText" dxfId="7013" priority="403" operator="containsText" text="Done">
      <formula>NOT(ISERROR(SEARCH("Done",#REF!)))</formula>
    </cfRule>
    <cfRule type="containsText" dxfId="7012" priority="407" operator="containsText" text="NA">
      <formula>NOT(ISERROR(SEARCH("NA",#REF!)))</formula>
    </cfRule>
    <cfRule type="containsText" dxfId="7011" priority="442" operator="containsText" text="NA">
      <formula>NOT(ISERROR(SEARCH("NA",#REF!)))</formula>
    </cfRule>
    <cfRule type="containsText" dxfId="7010" priority="441" operator="containsText" text="NA">
      <formula>NOT(ISERROR(SEARCH("NA",#REF!)))</formula>
    </cfRule>
    <cfRule type="containsText" dxfId="7009" priority="440" operator="containsText" text="NA">
      <formula>NOT(ISERROR(SEARCH("NA",#REF!)))</formula>
    </cfRule>
    <cfRule type="containsText" dxfId="7008" priority="439" operator="containsText" text="Pending">
      <formula>NOT(ISERROR(SEARCH("Pending",#REF!)))</formula>
    </cfRule>
    <cfRule type="containsText" dxfId="7007" priority="438" operator="containsText" text="Pending">
      <formula>NOT(ISERROR(SEARCH("Pending",#REF!)))</formula>
    </cfRule>
    <cfRule type="containsText" dxfId="7006" priority="437" operator="containsText" text="Pending">
      <formula>NOT(ISERROR(SEARCH("Pending",#REF!)))</formula>
    </cfRule>
    <cfRule type="containsText" dxfId="7005" priority="436" operator="containsText" text="Done">
      <formula>NOT(ISERROR(SEARCH("Done",#REF!)))</formula>
    </cfRule>
    <cfRule type="containsText" dxfId="7004" priority="435" operator="containsText" text="Done">
      <formula>NOT(ISERROR(SEARCH("Done",#REF!)))</formula>
    </cfRule>
    <cfRule type="containsText" dxfId="7003" priority="434" operator="containsText" text="NA">
      <formula>NOT(ISERROR(SEARCH("NA",#REF!)))</formula>
    </cfRule>
    <cfRule type="containsText" dxfId="7002" priority="433" operator="containsText" text="NA">
      <formula>NOT(ISERROR(SEARCH("NA",#REF!)))</formula>
    </cfRule>
    <cfRule type="containsText" dxfId="7001" priority="406" operator="containsText" text="NA">
      <formula>NOT(ISERROR(SEARCH("NA",#REF!)))</formula>
    </cfRule>
    <cfRule type="containsText" dxfId="7000" priority="405" operator="containsText" text="Pending">
      <formula>NOT(ISERROR(SEARCH("Pending",#REF!)))</formula>
    </cfRule>
    <cfRule type="containsText" dxfId="6999" priority="432" operator="containsText" text="Pending">
      <formula>NOT(ISERROR(SEARCH("Pending",#REF!)))</formula>
    </cfRule>
    <cfRule type="containsText" dxfId="6998" priority="431" operator="containsText" text="Pending">
      <formula>NOT(ISERROR(SEARCH("Pending",#REF!)))</formula>
    </cfRule>
    <cfRule type="containsText" dxfId="6997" priority="430" operator="containsText" text="Done">
      <formula>NOT(ISERROR(SEARCH("Done",#REF!)))</formula>
    </cfRule>
    <cfRule type="containsText" dxfId="6996" priority="429" operator="containsText" text="NA">
      <formula>NOT(ISERROR(SEARCH("NA",#REF!)))</formula>
    </cfRule>
    <cfRule type="containsText" dxfId="6995" priority="428" operator="containsText" text="Pending">
      <formula>NOT(ISERROR(SEARCH("Pending",#REF!)))</formula>
    </cfRule>
    <cfRule type="containsText" dxfId="6994" priority="490" operator="containsText" text="Pending">
      <formula>NOT(ISERROR(SEARCH("Pending",#REF!)))</formula>
    </cfRule>
    <cfRule type="containsText" dxfId="6993" priority="478" operator="containsText" text="NA">
      <formula>NOT(ISERROR(SEARCH("NA",#REF!)))</formula>
    </cfRule>
    <cfRule type="containsText" dxfId="6992" priority="479" operator="containsText" text="Pending">
      <formula>NOT(ISERROR(SEARCH("Pending",#REF!)))</formula>
    </cfRule>
    <cfRule type="containsText" dxfId="6991" priority="480" operator="containsText" text="NA">
      <formula>NOT(ISERROR(SEARCH("NA",#REF!)))</formula>
    </cfRule>
    <cfRule type="containsText" dxfId="6990" priority="481" operator="containsText" text="Done">
      <formula>NOT(ISERROR(SEARCH("Done",#REF!)))</formula>
    </cfRule>
    <cfRule type="containsText" dxfId="6989" priority="482" operator="containsText" text="Pending">
      <formula>NOT(ISERROR(SEARCH("Pending",#REF!)))</formula>
    </cfRule>
    <cfRule type="containsText" dxfId="6988" priority="483" operator="containsText" text="Pending">
      <formula>NOT(ISERROR(SEARCH("Pending",#REF!)))</formula>
    </cfRule>
    <cfRule type="containsText" dxfId="6987" priority="484" operator="containsText" text="NA">
      <formula>NOT(ISERROR(SEARCH("NA",#REF!)))</formula>
    </cfRule>
    <cfRule type="containsText" dxfId="6986" priority="485" operator="containsText" text="NA">
      <formula>NOT(ISERROR(SEARCH("NA",#REF!)))</formula>
    </cfRule>
    <cfRule type="containsText" dxfId="6985" priority="486" operator="containsText" text="Pending">
      <formula>NOT(ISERROR(SEARCH("Pending",#REF!)))</formula>
    </cfRule>
    <cfRule type="containsText" dxfId="6984" priority="487" operator="containsText" text="NA">
      <formula>NOT(ISERROR(SEARCH("NA",#REF!)))</formula>
    </cfRule>
    <cfRule type="containsText" dxfId="6983" priority="488" operator="containsText" text="Done">
      <formula>NOT(ISERROR(SEARCH("Done",#REF!)))</formula>
    </cfRule>
    <cfRule type="containsText" dxfId="6982" priority="489" operator="containsText" text="Pending">
      <formula>NOT(ISERROR(SEARCH("Pending",#REF!)))</formula>
    </cfRule>
    <cfRule type="containsText" dxfId="6981" priority="491" operator="containsText" text="NA">
      <formula>NOT(ISERROR(SEARCH("NA",#REF!)))</formula>
    </cfRule>
    <cfRule type="containsText" dxfId="6980" priority="492" operator="containsText" text="NA">
      <formula>NOT(ISERROR(SEARCH("NA",#REF!)))</formula>
    </cfRule>
    <cfRule type="containsText" dxfId="6979" priority="493" operator="containsText" text="Pending">
      <formula>NOT(ISERROR(SEARCH("Pending",#REF!)))</formula>
    </cfRule>
    <cfRule type="containsText" dxfId="6978" priority="494" operator="containsText" text="NA">
      <formula>NOT(ISERROR(SEARCH("NA",#REF!)))</formula>
    </cfRule>
    <cfRule type="containsText" dxfId="6977" priority="495" operator="containsText" text="Done">
      <formula>NOT(ISERROR(SEARCH("Done",#REF!)))</formula>
    </cfRule>
    <cfRule type="containsText" dxfId="6976" priority="496" operator="containsText" text="Pending">
      <formula>NOT(ISERROR(SEARCH("Pending",#REF!)))</formula>
    </cfRule>
    <cfRule type="containsText" dxfId="6975" priority="497" operator="containsText" text="Pending">
      <formula>NOT(ISERROR(SEARCH("Pending",#REF!)))</formula>
    </cfRule>
    <cfRule type="containsText" dxfId="6974" priority="498" operator="containsText" text="NA">
      <formula>NOT(ISERROR(SEARCH("NA",#REF!)))</formula>
    </cfRule>
    <cfRule type="containsText" dxfId="6973" priority="499" operator="containsText" text="NA">
      <formula>NOT(ISERROR(SEARCH("NA",#REF!)))</formula>
    </cfRule>
    <cfRule type="containsText" dxfId="6972" priority="500" operator="containsText" text="Done">
      <formula>NOT(ISERROR(SEARCH("Done",#REF!)))</formula>
    </cfRule>
    <cfRule type="containsText" dxfId="6971" priority="501" operator="containsText" text="Done">
      <formula>NOT(ISERROR(SEARCH("Done",#REF!)))</formula>
    </cfRule>
    <cfRule type="containsText" dxfId="6970" priority="502" operator="containsText" text="Pending">
      <formula>NOT(ISERROR(SEARCH("Pending",#REF!)))</formula>
    </cfRule>
    <cfRule type="containsText" dxfId="6969" priority="503" operator="containsText" text="Pending">
      <formula>NOT(ISERROR(SEARCH("Pending",#REF!)))</formula>
    </cfRule>
    <cfRule type="containsText" dxfId="6968" priority="504" operator="containsText" text="Pending">
      <formula>NOT(ISERROR(SEARCH("Pending",#REF!)))</formula>
    </cfRule>
    <cfRule type="containsText" dxfId="6967" priority="505" operator="containsText" text="NA">
      <formula>NOT(ISERROR(SEARCH("NA",#REF!)))</formula>
    </cfRule>
    <cfRule type="containsText" dxfId="6966" priority="506" operator="containsText" text="NA">
      <formula>NOT(ISERROR(SEARCH("NA",#REF!)))</formula>
    </cfRule>
    <cfRule type="containsText" dxfId="6965" priority="507" operator="containsText" text="NA">
      <formula>NOT(ISERROR(SEARCH("NA",#REF!)))</formula>
    </cfRule>
    <cfRule type="containsText" dxfId="6964" priority="508" operator="containsText" text="Pending">
      <formula>NOT(ISERROR(SEARCH("Pending",#REF!)))</formula>
    </cfRule>
    <cfRule type="containsText" dxfId="6963" priority="509" operator="containsText" text="NA">
      <formula>NOT(ISERROR(SEARCH("NA",#REF!)))</formula>
    </cfRule>
    <cfRule type="containsText" dxfId="6962" priority="427" operator="containsText" text="NA">
      <formula>NOT(ISERROR(SEARCH("NA",#REF!)))</formula>
    </cfRule>
    <cfRule type="containsText" dxfId="6961" priority="426" operator="containsText" text="Pending">
      <formula>NOT(ISERROR(SEARCH("Pending",#REF!)))</formula>
    </cfRule>
    <cfRule type="containsText" dxfId="6960" priority="425" operator="containsText" text="Done">
      <formula>NOT(ISERROR(SEARCH("Done",#REF!)))</formula>
    </cfRule>
    <cfRule type="containsText" dxfId="6959" priority="510" operator="containsText" text="Done">
      <formula>NOT(ISERROR(SEARCH("Done",#REF!)))</formula>
    </cfRule>
    <cfRule type="containsText" dxfId="6958" priority="424" operator="containsText" text="NA">
      <formula>NOT(ISERROR(SEARCH("NA",#REF!)))</formula>
    </cfRule>
    <cfRule type="containsText" dxfId="6957" priority="511" operator="containsText" text="Pending">
      <formula>NOT(ISERROR(SEARCH("Pending",#REF!)))</formula>
    </cfRule>
    <cfRule type="containsText" dxfId="6956" priority="512" operator="containsText" text="Pending">
      <formula>NOT(ISERROR(SEARCH("Pending",#REF!)))</formula>
    </cfRule>
    <cfRule type="containsText" dxfId="6955" priority="423" operator="containsText" text="Pending">
      <formula>NOT(ISERROR(SEARCH("Pending",#REF!)))</formula>
    </cfRule>
    <cfRule type="containsText" dxfId="6954" priority="422" operator="containsText" text="Done">
      <formula>NOT(ISERROR(SEARCH("Done",#REF!)))</formula>
    </cfRule>
    <cfRule type="containsText" dxfId="6953" priority="513" operator="containsText" text="NA">
      <formula>NOT(ISERROR(SEARCH("NA",#REF!)))</formula>
    </cfRule>
    <cfRule type="containsText" dxfId="6952" priority="514" operator="containsText" text="NA">
      <formula>NOT(ISERROR(SEARCH("NA",#REF!)))</formula>
    </cfRule>
    <cfRule type="containsText" dxfId="6951" priority="515" operator="containsText" text="Done">
      <formula>NOT(ISERROR(SEARCH("Done",#REF!)))</formula>
    </cfRule>
    <cfRule type="containsText" dxfId="6950" priority="420" operator="containsText" text="NA">
      <formula>NOT(ISERROR(SEARCH("NA",W82)))</formula>
    </cfRule>
    <cfRule type="containsText" dxfId="6949" priority="477" operator="containsText" text="NA">
      <formula>NOT(ISERROR(SEARCH("NA",#REF!)))</formula>
    </cfRule>
    <cfRule type="containsText" dxfId="6948" priority="408" operator="containsText" text="Pending">
      <formula>NOT(ISERROR(SEARCH("Pending",#REF!)))</formula>
    </cfRule>
    <cfRule type="containsText" dxfId="6947" priority="409" operator="containsText" text="NA">
      <formula>NOT(ISERROR(SEARCH("NA",#REF!)))</formula>
    </cfRule>
    <cfRule type="containsText" dxfId="6946" priority="410" operator="containsText" text="Done">
      <formula>NOT(ISERROR(SEARCH("Done",#REF!)))</formula>
    </cfRule>
  </conditionalFormatting>
  <conditionalFormatting sqref="W8:Y8 W9:W15">
    <cfRule type="containsText" dxfId="6945" priority="135456" operator="containsText" text="NA">
      <formula>NOT(ISERROR(SEARCH("NA",#REF!)))</formula>
    </cfRule>
    <cfRule type="containsText" dxfId="6944" priority="135355" operator="containsText" text="Pending">
      <formula>NOT(ISERROR(SEARCH("Pending",#REF!)))</formula>
    </cfRule>
    <cfRule type="containsText" dxfId="6943" priority="135254" operator="containsText" text="Done">
      <formula>NOT(ISERROR(SEARCH("Done",#REF!)))</formula>
    </cfRule>
  </conditionalFormatting>
  <conditionalFormatting sqref="W29:Y29">
    <cfRule type="containsText" dxfId="6942" priority="109571" operator="containsText" text="Done">
      <formula>NOT(ISERROR(SEARCH("Done",#REF!)))</formula>
    </cfRule>
    <cfRule type="containsText" dxfId="6941" priority="109572" operator="containsText" text="Pending">
      <formula>NOT(ISERROR(SEARCH("Pending",#REF!)))</formula>
    </cfRule>
    <cfRule type="containsText" dxfId="6940" priority="109573" operator="containsText" text="NA">
      <formula>NOT(ISERROR(SEARCH("NA",#REF!)))</formula>
    </cfRule>
    <cfRule type="containsText" dxfId="6939" priority="109570" operator="containsText" text="NA">
      <formula>NOT(ISERROR(SEARCH("NA",#REF!)))</formula>
    </cfRule>
  </conditionalFormatting>
  <conditionalFormatting sqref="W83:Y83">
    <cfRule type="containsText" dxfId="6938" priority="521" operator="containsText" text="NA">
      <formula>NOT(ISERROR(SEARCH("NA",W83)))</formula>
    </cfRule>
    <cfRule type="containsText" dxfId="6937" priority="522" operator="containsText" text="Done">
      <formula>NOT(ISERROR(SEARCH("Done",W83)))</formula>
    </cfRule>
    <cfRule type="containsText" dxfId="6936" priority="523" operator="containsText" text="Done">
      <formula>NOT(ISERROR(SEARCH("Done",#REF!)))</formula>
    </cfRule>
    <cfRule type="containsText" dxfId="6935" priority="524" operator="containsText" text="Pending">
      <formula>NOT(ISERROR(SEARCH("Pending",#REF!)))</formula>
    </cfRule>
    <cfRule type="containsText" dxfId="6934" priority="525" operator="containsText" text="NA">
      <formula>NOT(ISERROR(SEARCH("NA",#REF!)))</formula>
    </cfRule>
    <cfRule type="containsText" dxfId="6933" priority="526" operator="containsText" text="Done">
      <formula>NOT(ISERROR(SEARCH("Done",#REF!)))</formula>
    </cfRule>
    <cfRule type="containsText" dxfId="6932" priority="527" operator="containsText" text="Pending">
      <formula>NOT(ISERROR(SEARCH("Pending",#REF!)))</formula>
    </cfRule>
    <cfRule type="containsText" dxfId="6931" priority="528" operator="containsText" text="NA">
      <formula>NOT(ISERROR(SEARCH("NA",#REF!)))</formula>
    </cfRule>
    <cfRule type="containsText" dxfId="6930" priority="519" operator="containsText" text="Pending">
      <formula>NOT(ISERROR(SEARCH("Pending",#REF!)))</formula>
    </cfRule>
    <cfRule type="containsText" dxfId="6929" priority="516" operator="containsText" text="NA">
      <formula>NOT(ISERROR(SEARCH("NA",W83)))</formula>
    </cfRule>
    <cfRule type="containsText" dxfId="6928" priority="517" operator="containsText" text="Done">
      <formula>NOT(ISERROR(SEARCH("Done",W83)))</formula>
    </cfRule>
    <cfRule type="containsText" dxfId="6927" priority="518" operator="containsText" text="Done">
      <formula>NOT(ISERROR(SEARCH("Done",#REF!)))</formula>
    </cfRule>
    <cfRule type="containsText" dxfId="6926" priority="520" operator="containsText" text="NA">
      <formula>NOT(ISERROR(SEARCH("NA",#REF!)))</formula>
    </cfRule>
  </conditionalFormatting>
  <conditionalFormatting sqref="W32:Z32">
    <cfRule type="containsText" dxfId="6925" priority="2567" operator="containsText" text="Pending">
      <formula>NOT(ISERROR(SEARCH("Pending",#REF!)))</formula>
    </cfRule>
    <cfRule type="containsText" dxfId="6924" priority="2565" operator="containsText" text="NA">
      <formula>NOT(ISERROR(SEARCH("NA",#REF!)))</formula>
    </cfRule>
    <cfRule type="containsText" dxfId="6923" priority="2568" operator="containsText" text="NA">
      <formula>NOT(ISERROR(SEARCH("NA",#REF!)))</formula>
    </cfRule>
    <cfRule type="containsText" dxfId="6922" priority="2566" operator="containsText" text="Done">
      <formula>NOT(ISERROR(SEARCH("Done",#REF!)))</formula>
    </cfRule>
  </conditionalFormatting>
  <conditionalFormatting sqref="X19:X20 AE19:AG20 Z19:AB20 R19:U20">
    <cfRule type="containsText" dxfId="6921" priority="128416" operator="containsText" text="Pending">
      <formula>NOT(ISERROR(SEARCH("Pending",O91)))</formula>
    </cfRule>
    <cfRule type="containsText" dxfId="6920" priority="128417" operator="containsText" text="Done">
      <formula>NOT(ISERROR(SEARCH("Done",O91)))</formula>
    </cfRule>
    <cfRule type="containsText" dxfId="6919" priority="128415" operator="containsText" text="NA">
      <formula>NOT(ISERROR(SEARCH("NA",O91)))</formula>
    </cfRule>
  </conditionalFormatting>
  <conditionalFormatting sqref="X20">
    <cfRule type="containsText" dxfId="6918" priority="135975" operator="containsText" text="NA">
      <formula>NOT(ISERROR(SEARCH("NA",#REF!)))</formula>
    </cfRule>
  </conditionalFormatting>
  <conditionalFormatting sqref="X20:X22">
    <cfRule type="containsText" dxfId="6917" priority="135757" operator="containsText" text="Pending">
      <formula>NOT(ISERROR(SEARCH("Pending",#REF!)))</formula>
    </cfRule>
  </conditionalFormatting>
  <conditionalFormatting sqref="X21">
    <cfRule type="containsText" dxfId="6916" priority="135976" operator="containsText" text="NA">
      <formula>NOT(ISERROR(SEARCH("NA",#REF!)))</formula>
    </cfRule>
    <cfRule type="containsText" dxfId="6915" priority="135977" operator="containsText" text="NA">
      <formula>NOT(ISERROR(SEARCH("NA",#REF!)))</formula>
    </cfRule>
    <cfRule type="containsText" dxfId="6914" priority="135978" operator="containsText" text="NA">
      <formula>NOT(ISERROR(SEARCH("NA",#REF!)))</formula>
    </cfRule>
    <cfRule type="containsText" dxfId="6913" priority="135759" operator="containsText" text="Pending">
      <formula>NOT(ISERROR(SEARCH("Pending",#REF!)))</formula>
    </cfRule>
    <cfRule type="containsText" dxfId="6912" priority="135760" operator="containsText" text="Pending">
      <formula>NOT(ISERROR(SEARCH("Pending",#REF!)))</formula>
    </cfRule>
  </conditionalFormatting>
  <conditionalFormatting sqref="X22">
    <cfRule type="containsText" dxfId="6911" priority="135790" operator="containsText" text="Pending">
      <formula>NOT(ISERROR(SEARCH("Pending",#REF!)))</formula>
    </cfRule>
    <cfRule type="containsText" dxfId="6910" priority="135791" operator="containsText" text="Pending">
      <formula>NOT(ISERROR(SEARCH("Pending",#REF!)))</formula>
    </cfRule>
    <cfRule type="containsText" dxfId="6909" priority="136007" operator="containsText" text="NA">
      <formula>NOT(ISERROR(SEARCH("NA",#REF!)))</formula>
    </cfRule>
    <cfRule type="containsText" dxfId="6908" priority="136008" operator="containsText" text="NA">
      <formula>NOT(ISERROR(SEARCH("NA",#REF!)))</formula>
    </cfRule>
    <cfRule type="containsText" dxfId="6907" priority="136009" operator="containsText" text="NA">
      <formula>NOT(ISERROR(SEARCH("NA",#REF!)))</formula>
    </cfRule>
  </conditionalFormatting>
  <conditionalFormatting sqref="X29">
    <cfRule type="containsText" dxfId="6906" priority="77206" operator="containsText" text="Done">
      <formula>NOT(ISERROR(SEARCH("Done",#REF!)))</formula>
    </cfRule>
    <cfRule type="containsText" dxfId="6905" priority="77205" operator="containsText" text="NA">
      <formula>NOT(ISERROR(SEARCH("NA",#REF!)))</formula>
    </cfRule>
    <cfRule type="containsText" dxfId="6904" priority="77204" operator="containsText" text="NA">
      <formula>NOT(ISERROR(SEARCH("NA",#REF!)))</formula>
    </cfRule>
    <cfRule type="containsText" dxfId="6903" priority="77203" operator="containsText" text="Pending">
      <formula>NOT(ISERROR(SEARCH("Pending",#REF!)))</formula>
    </cfRule>
    <cfRule type="containsText" dxfId="6902" priority="77202" operator="containsText" text="Done">
      <formula>NOT(ISERROR(SEARCH("Done",#REF!)))</formula>
    </cfRule>
    <cfRule type="containsText" dxfId="6901" priority="77201" operator="containsText" text="NA">
      <formula>NOT(ISERROR(SEARCH("NA",#REF!)))</formula>
    </cfRule>
    <cfRule type="containsText" dxfId="6900" priority="77200" operator="containsText" text="NA">
      <formula>NOT(ISERROR(SEARCH("NA",#REF!)))</formula>
    </cfRule>
    <cfRule type="containsText" dxfId="6899" priority="77199" operator="containsText" text="Pending">
      <formula>NOT(ISERROR(SEARCH("Pending",#REF!)))</formula>
    </cfRule>
    <cfRule type="containsText" dxfId="6898" priority="77198" operator="containsText" text="Done">
      <formula>NOT(ISERROR(SEARCH("Done",#REF!)))</formula>
    </cfRule>
    <cfRule type="containsText" dxfId="6897" priority="77197" operator="containsText" text="NA">
      <formula>NOT(ISERROR(SEARCH("NA",#REF!)))</formula>
    </cfRule>
    <cfRule type="containsText" dxfId="6896" priority="124369" operator="containsText" text="Pending">
      <formula>NOT(ISERROR(SEARCH("Pending",#REF!)))</formula>
    </cfRule>
    <cfRule type="containsText" dxfId="6895" priority="124368" operator="containsText" text="Done">
      <formula>NOT(ISERROR(SEARCH("Done",#REF!)))</formula>
    </cfRule>
    <cfRule type="containsText" dxfId="6894" priority="124367" operator="containsText" text="NA">
      <formula>NOT(ISERROR(SEARCH("NA",#REF!)))</formula>
    </cfRule>
    <cfRule type="containsText" dxfId="6893" priority="77196" operator="containsText" text="Done">
      <formula>NOT(ISERROR(SEARCH("Done",X29)))</formula>
    </cfRule>
    <cfRule type="containsText" dxfId="6892" priority="77195" operator="containsText" text="Pending">
      <formula>NOT(ISERROR(SEARCH("Pending",X29)))</formula>
    </cfRule>
    <cfRule type="containsText" dxfId="6891" priority="77194" operator="containsText" text="NA">
      <formula>NOT(ISERROR(SEARCH("NA",X29)))</formula>
    </cfRule>
    <cfRule type="containsText" dxfId="6890" priority="118982" operator="containsText" text="NA">
      <formula>NOT(ISERROR(SEARCH("NA",#REF!)))</formula>
    </cfRule>
    <cfRule type="containsText" dxfId="6889" priority="118981" operator="containsText" text="Pending">
      <formula>NOT(ISERROR(SEARCH("Pending",#REF!)))</formula>
    </cfRule>
    <cfRule type="containsText" dxfId="6888" priority="118980" operator="containsText" text="Done">
      <formula>NOT(ISERROR(SEARCH("Done",#REF!)))</formula>
    </cfRule>
    <cfRule type="containsText" dxfId="6887" priority="118979" operator="containsText" text="NA">
      <formula>NOT(ISERROR(SEARCH("NA",#REF!)))</formula>
    </cfRule>
    <cfRule type="containsText" dxfId="6886" priority="118978" operator="containsText" text="Done">
      <formula>NOT(ISERROR(SEARCH("Done",X29)))</formula>
    </cfRule>
    <cfRule type="containsText" dxfId="6885" priority="118977" operator="containsText" text="Pending">
      <formula>NOT(ISERROR(SEARCH("Pending",X29)))</formula>
    </cfRule>
    <cfRule type="containsText" dxfId="6884" priority="118976" operator="containsText" text="NA">
      <formula>NOT(ISERROR(SEARCH("NA",X29)))</formula>
    </cfRule>
    <cfRule type="containsText" dxfId="6883" priority="123475" operator="containsText" text="NA">
      <formula>NOT(ISERROR(SEARCH("NA",#REF!)))</formula>
    </cfRule>
    <cfRule type="containsText" dxfId="6882" priority="123474" operator="containsText" text="Pending">
      <formula>NOT(ISERROR(SEARCH("Pending",#REF!)))</formula>
    </cfRule>
    <cfRule type="containsText" dxfId="6881" priority="123473" operator="containsText" text="Done">
      <formula>NOT(ISERROR(SEARCH("Done",#REF!)))</formula>
    </cfRule>
    <cfRule type="containsText" dxfId="6880" priority="123472" operator="containsText" text="NA">
      <formula>NOT(ISERROR(SEARCH("NA",#REF!)))</formula>
    </cfRule>
    <cfRule type="containsText" dxfId="6879" priority="123471" operator="containsText" text="Done">
      <formula>NOT(ISERROR(SEARCH("Done",X29)))</formula>
    </cfRule>
    <cfRule type="containsText" dxfId="6878" priority="123470" operator="containsText" text="Pending">
      <formula>NOT(ISERROR(SEARCH("Pending",X29)))</formula>
    </cfRule>
    <cfRule type="containsText" dxfId="6877" priority="123469" operator="containsText" text="NA">
      <formula>NOT(ISERROR(SEARCH("NA",X29)))</formula>
    </cfRule>
    <cfRule type="containsText" dxfId="6876" priority="124370" operator="containsText" text="NA">
      <formula>NOT(ISERROR(SEARCH("NA",#REF!)))</formula>
    </cfRule>
    <cfRule type="containsText" dxfId="6875" priority="77208" operator="containsText" text="NA">
      <formula>NOT(ISERROR(SEARCH("NA",#REF!)))</formula>
    </cfRule>
    <cfRule type="containsText" dxfId="6874" priority="77207" operator="containsText" text="Pending">
      <formula>NOT(ISERROR(SEARCH("Pending",#REF!)))</formula>
    </cfRule>
  </conditionalFormatting>
  <conditionalFormatting sqref="X30:X32">
    <cfRule type="containsText" dxfId="6873" priority="124364" operator="containsText" text="Done">
      <formula>NOT(ISERROR(SEARCH("Done",#REF!)))</formula>
    </cfRule>
    <cfRule type="containsText" dxfId="6872" priority="5199" operator="containsText" text="NA">
      <formula>NOT(ISERROR(SEARCH("NA",#REF!)))</formula>
    </cfRule>
    <cfRule type="containsText" dxfId="6871" priority="5198" operator="containsText" text="NA">
      <formula>NOT(ISERROR(SEARCH("NA",#REF!)))</formula>
    </cfRule>
    <cfRule type="containsText" dxfId="6870" priority="5197" operator="containsText" text="Pending">
      <formula>NOT(ISERROR(SEARCH("Pending",#REF!)))</formula>
    </cfRule>
    <cfRule type="containsText" dxfId="6869" priority="4978" operator="containsText" text="NA">
      <formula>NOT(ISERROR(SEARCH("NA",#REF!)))</formula>
    </cfRule>
    <cfRule type="containsText" dxfId="6868" priority="4977" operator="containsText" text="NA">
      <formula>NOT(ISERROR(SEARCH("NA",#REF!)))</formula>
    </cfRule>
    <cfRule type="containsText" dxfId="6867" priority="4976" operator="containsText" text="Pending">
      <formula>NOT(ISERROR(SEARCH("Pending",#REF!)))</formula>
    </cfRule>
    <cfRule type="containsText" dxfId="6866" priority="4975" operator="containsText" text="Done">
      <formula>NOT(ISERROR(SEARCH("Done",#REF!)))</formula>
    </cfRule>
    <cfRule type="containsText" dxfId="6865" priority="4974" operator="containsText" text="NA">
      <formula>NOT(ISERROR(SEARCH("NA",#REF!)))</formula>
    </cfRule>
    <cfRule type="containsText" dxfId="6864" priority="4973" operator="containsText" text="NA">
      <formula>NOT(ISERROR(SEARCH("NA",#REF!)))</formula>
    </cfRule>
    <cfRule type="containsText" dxfId="6863" priority="4972" operator="containsText" text="Pending">
      <formula>NOT(ISERROR(SEARCH("Pending",#REF!)))</formula>
    </cfRule>
    <cfRule type="containsText" dxfId="6862" priority="4971" operator="containsText" text="Done">
      <formula>NOT(ISERROR(SEARCH("Done",#REF!)))</formula>
    </cfRule>
    <cfRule type="containsText" dxfId="6861" priority="4970" operator="containsText" text="NA">
      <formula>NOT(ISERROR(SEARCH("NA",#REF!)))</formula>
    </cfRule>
    <cfRule type="containsText" dxfId="6860" priority="5196" operator="containsText" text="Done">
      <formula>NOT(ISERROR(SEARCH("Done",#REF!)))</formula>
    </cfRule>
    <cfRule type="containsText" dxfId="6859" priority="5195" operator="containsText" text="NA">
      <formula>NOT(ISERROR(SEARCH("NA",#REF!)))</formula>
    </cfRule>
    <cfRule type="containsText" dxfId="6858" priority="118970" operator="containsText" text="Pending">
      <formula>NOT(ISERROR(SEARCH("Pending",X30)))</formula>
    </cfRule>
    <cfRule type="containsText" dxfId="6857" priority="118971" operator="containsText" text="Done">
      <formula>NOT(ISERROR(SEARCH("Done",X30)))</formula>
    </cfRule>
    <cfRule type="containsText" dxfId="6856" priority="118973" operator="containsText" text="Done">
      <formula>NOT(ISERROR(SEARCH("Done",#REF!)))</formula>
    </cfRule>
    <cfRule type="containsText" dxfId="6855" priority="118974" operator="containsText" text="Pending">
      <formula>NOT(ISERROR(SEARCH("Pending",#REF!)))</formula>
    </cfRule>
    <cfRule type="containsText" dxfId="6854" priority="118975" operator="containsText" text="NA">
      <formula>NOT(ISERROR(SEARCH("NA",#REF!)))</formula>
    </cfRule>
    <cfRule type="containsText" dxfId="6853" priority="118969" operator="containsText" text="NA">
      <formula>NOT(ISERROR(SEARCH("NA",X30)))</formula>
    </cfRule>
    <cfRule type="containsText" dxfId="6852" priority="77160" operator="containsText" text="NA">
      <formula>NOT(ISERROR(SEARCH("NA",#REF!)))</formula>
    </cfRule>
    <cfRule type="containsText" dxfId="6851" priority="77161" operator="containsText" text="Done">
      <formula>NOT(ISERROR(SEARCH("Done",#REF!)))</formula>
    </cfRule>
    <cfRule type="containsText" dxfId="6850" priority="77162" operator="containsText" text="Pending">
      <formula>NOT(ISERROR(SEARCH("Pending",#REF!)))</formula>
    </cfRule>
    <cfRule type="containsText" dxfId="6849" priority="77163" operator="containsText" text="NA">
      <formula>NOT(ISERROR(SEARCH("NA",#REF!)))</formula>
    </cfRule>
    <cfRule type="containsText" dxfId="6848" priority="77164" operator="containsText" text="NA">
      <formula>NOT(ISERROR(SEARCH("NA",#REF!)))</formula>
    </cfRule>
    <cfRule type="containsText" dxfId="6847" priority="77165" operator="containsText" text="Done">
      <formula>NOT(ISERROR(SEARCH("Done",#REF!)))</formula>
    </cfRule>
    <cfRule type="containsText" dxfId="6846" priority="77166" operator="containsText" text="Pending">
      <formula>NOT(ISERROR(SEARCH("Pending",#REF!)))</formula>
    </cfRule>
    <cfRule type="containsText" dxfId="6845" priority="77167" operator="containsText" text="NA">
      <formula>NOT(ISERROR(SEARCH("NA",#REF!)))</formula>
    </cfRule>
    <cfRule type="containsText" dxfId="6844" priority="77168" operator="containsText" text="Done">
      <formula>NOT(ISERROR(SEARCH("Done",#REF!)))</formula>
    </cfRule>
    <cfRule type="containsText" dxfId="6843" priority="77169" operator="containsText" text="Pending">
      <formula>NOT(ISERROR(SEARCH("Pending",#REF!)))</formula>
    </cfRule>
    <cfRule type="containsText" dxfId="6842" priority="77170" operator="containsText" text="NA">
      <formula>NOT(ISERROR(SEARCH("NA",#REF!)))</formula>
    </cfRule>
    <cfRule type="containsText" dxfId="6841" priority="77171" operator="containsText" text="NA">
      <formula>NOT(ISERROR(SEARCH("NA",#REF!)))</formula>
    </cfRule>
    <cfRule type="containsText" dxfId="6840" priority="77172" operator="containsText" text="Done">
      <formula>NOT(ISERROR(SEARCH("Done",#REF!)))</formula>
    </cfRule>
    <cfRule type="containsText" dxfId="6839" priority="77173" operator="containsText" text="Pending">
      <formula>NOT(ISERROR(SEARCH("Pending",#REF!)))</formula>
    </cfRule>
    <cfRule type="containsText" dxfId="6838" priority="77174" operator="containsText" text="NA">
      <formula>NOT(ISERROR(SEARCH("NA",#REF!)))</formula>
    </cfRule>
    <cfRule type="containsText" dxfId="6837" priority="77175" operator="containsText" text="NA">
      <formula>NOT(ISERROR(SEARCH("NA",#REF!)))</formula>
    </cfRule>
    <cfRule type="containsText" dxfId="6836" priority="77176" operator="containsText" text="Done">
      <formula>NOT(ISERROR(SEARCH("Done",#REF!)))</formula>
    </cfRule>
    <cfRule type="containsText" dxfId="6835" priority="77177" operator="containsText" text="Pending">
      <formula>NOT(ISERROR(SEARCH("Pending",#REF!)))</formula>
    </cfRule>
    <cfRule type="containsText" dxfId="6834" priority="77178" operator="containsText" text="NA">
      <formula>NOT(ISERROR(SEARCH("NA",#REF!)))</formula>
    </cfRule>
    <cfRule type="containsText" dxfId="6833" priority="77179" operator="containsText" text="NA">
      <formula>NOT(ISERROR(SEARCH("NA",#REF!)))</formula>
    </cfRule>
    <cfRule type="containsText" dxfId="6832" priority="77180" operator="containsText" text="Done">
      <formula>NOT(ISERROR(SEARCH("Done",#REF!)))</formula>
    </cfRule>
    <cfRule type="containsText" dxfId="6831" priority="77181" operator="containsText" text="Pending">
      <formula>NOT(ISERROR(SEARCH("Pending",#REF!)))</formula>
    </cfRule>
    <cfRule type="containsText" dxfId="6830" priority="124366" operator="containsText" text="NA">
      <formula>NOT(ISERROR(SEARCH("NA",#REF!)))</formula>
    </cfRule>
    <cfRule type="containsText" dxfId="6829" priority="124365" operator="containsText" text="Pending">
      <formula>NOT(ISERROR(SEARCH("Pending",#REF!)))</formula>
    </cfRule>
    <cfRule type="containsText" dxfId="6828" priority="4990" operator="containsText" text="Done">
      <formula>NOT(ISERROR(SEARCH("Done",#REF!)))</formula>
    </cfRule>
    <cfRule type="containsText" dxfId="6827" priority="124363" operator="containsText" text="NA">
      <formula>NOT(ISERROR(SEARCH("NA",#REF!)))</formula>
    </cfRule>
    <cfRule type="containsText" dxfId="6826" priority="77182" operator="containsText" text="NA">
      <formula>NOT(ISERROR(SEARCH("NA",#REF!)))</formula>
    </cfRule>
    <cfRule type="containsText" dxfId="6825" priority="77183" operator="containsText" text="NA">
      <formula>NOT(ISERROR(SEARCH("NA",#REF!)))</formula>
    </cfRule>
    <cfRule type="containsText" dxfId="6824" priority="77184" operator="containsText" text="Done">
      <formula>NOT(ISERROR(SEARCH("Done",#REF!)))</formula>
    </cfRule>
    <cfRule type="containsText" dxfId="6823" priority="77185" operator="containsText" text="Pending">
      <formula>NOT(ISERROR(SEARCH("Pending",#REF!)))</formula>
    </cfRule>
    <cfRule type="containsText" dxfId="6822" priority="77186" operator="containsText" text="NA">
      <formula>NOT(ISERROR(SEARCH("NA",#REF!)))</formula>
    </cfRule>
    <cfRule type="containsText" dxfId="6821" priority="77187" operator="containsText" text="Done">
      <formula>NOT(ISERROR(SEARCH("Done",#REF!)))</formula>
    </cfRule>
    <cfRule type="containsText" dxfId="6820" priority="77188" operator="containsText" text="Pending">
      <formula>NOT(ISERROR(SEARCH("Pending",#REF!)))</formula>
    </cfRule>
    <cfRule type="containsText" dxfId="6819" priority="77189" operator="containsText" text="NA">
      <formula>NOT(ISERROR(SEARCH("NA",#REF!)))</formula>
    </cfRule>
    <cfRule type="containsText" dxfId="6818" priority="5226" operator="containsText" text="NA">
      <formula>NOT(ISERROR(SEARCH("NA",#REF!)))</formula>
    </cfRule>
    <cfRule type="containsText" dxfId="6817" priority="5225" operator="containsText" text="Pending">
      <formula>NOT(ISERROR(SEARCH("Pending",#REF!)))</formula>
    </cfRule>
    <cfRule type="containsText" dxfId="6816" priority="5224" operator="containsText" text="Done">
      <formula>NOT(ISERROR(SEARCH("Done",#REF!)))</formula>
    </cfRule>
    <cfRule type="containsText" dxfId="6815" priority="5223" operator="containsText" text="NA">
      <formula>NOT(ISERROR(SEARCH("NA",#REF!)))</formula>
    </cfRule>
    <cfRule type="containsText" dxfId="6814" priority="5222" operator="containsText" text="Pending">
      <formula>NOT(ISERROR(SEARCH("Pending",#REF!)))</formula>
    </cfRule>
    <cfRule type="containsText" dxfId="6813" priority="5221" operator="containsText" text="Done">
      <formula>NOT(ISERROR(SEARCH("Done",#REF!)))</formula>
    </cfRule>
    <cfRule type="containsText" dxfId="6812" priority="77190" operator="containsText" text="NA">
      <formula>NOT(ISERROR(SEARCH("NA",#REF!)))</formula>
    </cfRule>
    <cfRule type="containsText" dxfId="6811" priority="77191" operator="containsText" text="Done">
      <formula>NOT(ISERROR(SEARCH("Done",#REF!)))</formula>
    </cfRule>
    <cfRule type="containsText" dxfId="6810" priority="118972" operator="containsText" text="NA">
      <formula>NOT(ISERROR(SEARCH("NA",#REF!)))</formula>
    </cfRule>
    <cfRule type="containsText" dxfId="6809" priority="77192" operator="containsText" text="Pending">
      <formula>NOT(ISERROR(SEARCH("Pending",#REF!)))</formula>
    </cfRule>
    <cfRule type="containsText" dxfId="6808" priority="77193" operator="containsText" text="NA">
      <formula>NOT(ISERROR(SEARCH("NA",#REF!)))</formula>
    </cfRule>
    <cfRule type="containsText" dxfId="6807" priority="4992" operator="containsText" text="NA">
      <formula>NOT(ISERROR(SEARCH("NA",#REF!)))</formula>
    </cfRule>
    <cfRule type="containsText" dxfId="6806" priority="5217" operator="containsText" text="NA">
      <formula>NOT(ISERROR(SEARCH("NA",#REF!)))</formula>
    </cfRule>
    <cfRule type="containsText" dxfId="6805" priority="5216" operator="containsText" text="NA">
      <formula>NOT(ISERROR(SEARCH("NA",#REF!)))</formula>
    </cfRule>
    <cfRule type="containsText" dxfId="6804" priority="5215" operator="containsText" text="Pending">
      <formula>NOT(ISERROR(SEARCH("Pending",#REF!)))</formula>
    </cfRule>
    <cfRule type="containsText" dxfId="6803" priority="5214" operator="containsText" text="Done">
      <formula>NOT(ISERROR(SEARCH("Done",#REF!)))</formula>
    </cfRule>
    <cfRule type="containsText" dxfId="6802" priority="5213" operator="containsText" text="NA">
      <formula>NOT(ISERROR(SEARCH("NA",#REF!)))</formula>
    </cfRule>
    <cfRule type="containsText" dxfId="6801" priority="5212" operator="containsText" text="Pending">
      <formula>NOT(ISERROR(SEARCH("Pending",#REF!)))</formula>
    </cfRule>
    <cfRule type="containsText" dxfId="6800" priority="5211" operator="containsText" text="Done">
      <formula>NOT(ISERROR(SEARCH("Done",#REF!)))</formula>
    </cfRule>
    <cfRule type="containsText" dxfId="6799" priority="123381" operator="containsText" text="Pending">
      <formula>NOT(ISERROR(SEARCH("Pending",#REF!)))</formula>
    </cfRule>
    <cfRule type="containsText" dxfId="6798" priority="123382" operator="containsText" text="NA">
      <formula>NOT(ISERROR(SEARCH("NA",#REF!)))</formula>
    </cfRule>
    <cfRule type="containsText" dxfId="6797" priority="5210" operator="containsText" text="NA">
      <formula>NOT(ISERROR(SEARCH("NA",#REF!)))</formula>
    </cfRule>
    <cfRule type="containsText" dxfId="6796" priority="5209" operator="containsText" text="NA">
      <formula>NOT(ISERROR(SEARCH("NA",#REF!)))</formula>
    </cfRule>
    <cfRule type="containsText" dxfId="6795" priority="5208" operator="containsText" text="Pending">
      <formula>NOT(ISERROR(SEARCH("Pending",#REF!)))</formula>
    </cfRule>
    <cfRule type="containsText" dxfId="6794" priority="5207" operator="containsText" text="Done">
      <formula>NOT(ISERROR(SEARCH("Done",#REF!)))</formula>
    </cfRule>
    <cfRule type="containsText" dxfId="6793" priority="5220" operator="containsText" text="NA">
      <formula>NOT(ISERROR(SEARCH("NA",#REF!)))</formula>
    </cfRule>
    <cfRule type="containsText" dxfId="6792" priority="5219" operator="containsText" text="Done">
      <formula>NOT(ISERROR(SEARCH("Done",X30)))</formula>
    </cfRule>
    <cfRule type="containsText" dxfId="6791" priority="5218" operator="containsText" text="NA">
      <formula>NOT(ISERROR(SEARCH("NA",X30)))</formula>
    </cfRule>
    <cfRule type="containsText" dxfId="6790" priority="5206" operator="containsText" text="NA">
      <formula>NOT(ISERROR(SEARCH("NA",#REF!)))</formula>
    </cfRule>
    <cfRule type="containsText" dxfId="6789" priority="5205" operator="containsText" text="NA">
      <formula>NOT(ISERROR(SEARCH("NA",#REF!)))</formula>
    </cfRule>
    <cfRule type="containsText" dxfId="6788" priority="5204" operator="containsText" text="Pending">
      <formula>NOT(ISERROR(SEARCH("Pending",#REF!)))</formula>
    </cfRule>
    <cfRule type="containsText" dxfId="6787" priority="5203" operator="containsText" text="Done">
      <formula>NOT(ISERROR(SEARCH("Done",#REF!)))</formula>
    </cfRule>
    <cfRule type="containsText" dxfId="6786" priority="5202" operator="containsText" text="NA">
      <formula>NOT(ISERROR(SEARCH("NA",#REF!)))</formula>
    </cfRule>
    <cfRule type="containsText" dxfId="6785" priority="5201" operator="containsText" text="Pending">
      <formula>NOT(ISERROR(SEARCH("Pending",#REF!)))</formula>
    </cfRule>
    <cfRule type="containsText" dxfId="6784" priority="4991" operator="containsText" text="Pending">
      <formula>NOT(ISERROR(SEARCH("Pending",#REF!)))</formula>
    </cfRule>
    <cfRule type="containsText" dxfId="6783" priority="5200" operator="containsText" text="Done">
      <formula>NOT(ISERROR(SEARCH("Done",#REF!)))</formula>
    </cfRule>
    <cfRule type="containsText" dxfId="6782" priority="4989" operator="containsText" text="NA">
      <formula>NOT(ISERROR(SEARCH("NA",#REF!)))</formula>
    </cfRule>
    <cfRule type="containsText" dxfId="6781" priority="4988" operator="containsText" text="Pending">
      <formula>NOT(ISERROR(SEARCH("Pending",#REF!)))</formula>
    </cfRule>
    <cfRule type="containsText" dxfId="6780" priority="4987" operator="containsText" text="Done">
      <formula>NOT(ISERROR(SEARCH("Done",#REF!)))</formula>
    </cfRule>
    <cfRule type="containsText" dxfId="6779" priority="4986" operator="containsText" text="NA">
      <formula>NOT(ISERROR(SEARCH("NA",#REF!)))</formula>
    </cfRule>
    <cfRule type="containsText" dxfId="6778" priority="4985" operator="containsText" text="NA">
      <formula>NOT(ISERROR(SEARCH("NA",#REF!)))</formula>
    </cfRule>
    <cfRule type="containsText" dxfId="6777" priority="4984" operator="containsText" text="Pending">
      <formula>NOT(ISERROR(SEARCH("Pending",#REF!)))</formula>
    </cfRule>
    <cfRule type="containsText" dxfId="6776" priority="4983" operator="containsText" text="Done">
      <formula>NOT(ISERROR(SEARCH("Done",#REF!)))</formula>
    </cfRule>
    <cfRule type="containsText" dxfId="6775" priority="4982" operator="containsText" text="NA">
      <formula>NOT(ISERROR(SEARCH("NA",#REF!)))</formula>
    </cfRule>
    <cfRule type="containsText" dxfId="6774" priority="4981" operator="containsText" text="NA">
      <formula>NOT(ISERROR(SEARCH("NA",#REF!)))</formula>
    </cfRule>
    <cfRule type="containsText" dxfId="6773" priority="4980" operator="containsText" text="Pending">
      <formula>NOT(ISERROR(SEARCH("Pending",#REF!)))</formula>
    </cfRule>
    <cfRule type="containsText" dxfId="6772" priority="4979" operator="containsText" text="Done">
      <formula>NOT(ISERROR(SEARCH("Done",#REF!)))</formula>
    </cfRule>
  </conditionalFormatting>
  <conditionalFormatting sqref="X32">
    <cfRule type="containsText" dxfId="6771" priority="77159" operator="containsText" text="NA">
      <formula>NOT(ISERROR(SEARCH("NA",#REF!)))</formula>
    </cfRule>
    <cfRule type="containsText" dxfId="6770" priority="77158" operator="containsText" text="Pending">
      <formula>NOT(ISERROR(SEARCH("Pending",#REF!)))</formula>
    </cfRule>
    <cfRule type="containsText" dxfId="6769" priority="77157" operator="containsText" text="Done">
      <formula>NOT(ISERROR(SEARCH("Done",#REF!)))</formula>
    </cfRule>
    <cfRule type="containsText" dxfId="6768" priority="77156" operator="containsText" text="NA">
      <formula>NOT(ISERROR(SEARCH("NA",#REF!)))</formula>
    </cfRule>
    <cfRule type="containsText" dxfId="6767" priority="77155" operator="containsText" text="Done">
      <formula>NOT(ISERROR(SEARCH("Done",X32)))</formula>
    </cfRule>
    <cfRule type="containsText" dxfId="6766" priority="77154" operator="containsText" text="Pending">
      <formula>NOT(ISERROR(SEARCH("Pending",X32)))</formula>
    </cfRule>
    <cfRule type="containsText" dxfId="6765" priority="77153" operator="containsText" text="NA">
      <formula>NOT(ISERROR(SEARCH("NA",X32)))</formula>
    </cfRule>
    <cfRule type="containsText" dxfId="6764" priority="77152" operator="containsText" text="NA">
      <formula>NOT(ISERROR(SEARCH("NA",#REF!)))</formula>
    </cfRule>
    <cfRule type="containsText" dxfId="6763" priority="77151" operator="containsText" text="Pending">
      <formula>NOT(ISERROR(SEARCH("Pending",#REF!)))</formula>
    </cfRule>
    <cfRule type="containsText" dxfId="6762" priority="77150" operator="containsText" text="Done">
      <formula>NOT(ISERROR(SEARCH("Done",#REF!)))</formula>
    </cfRule>
    <cfRule type="containsText" dxfId="6761" priority="77149" operator="containsText" text="NA">
      <formula>NOT(ISERROR(SEARCH("NA",#REF!)))</formula>
    </cfRule>
    <cfRule type="containsText" dxfId="6760" priority="77148" operator="containsText" text="Done">
      <formula>NOT(ISERROR(SEARCH("Done",X32)))</formula>
    </cfRule>
    <cfRule type="containsText" dxfId="6759" priority="77147" operator="containsText" text="Pending">
      <formula>NOT(ISERROR(SEARCH("Pending",X32)))</formula>
    </cfRule>
    <cfRule type="containsText" dxfId="6758" priority="77146" operator="containsText" text="NA">
      <formula>NOT(ISERROR(SEARCH("NA",X32)))</formula>
    </cfRule>
    <cfRule type="containsText" dxfId="6757" priority="77145" operator="containsText" text="NA">
      <formula>NOT(ISERROR(SEARCH("NA",#REF!)))</formula>
    </cfRule>
    <cfRule type="containsText" dxfId="6756" priority="77144" operator="containsText" text="Pending">
      <formula>NOT(ISERROR(SEARCH("Pending",#REF!)))</formula>
    </cfRule>
    <cfRule type="containsText" dxfId="6755" priority="77143" operator="containsText" text="Done">
      <formula>NOT(ISERROR(SEARCH("Done",#REF!)))</formula>
    </cfRule>
    <cfRule type="containsText" dxfId="6754" priority="77142" operator="containsText" text="NA">
      <formula>NOT(ISERROR(SEARCH("NA",#REF!)))</formula>
    </cfRule>
    <cfRule type="containsText" dxfId="6753" priority="77141" operator="containsText" text="NA">
      <formula>NOT(ISERROR(SEARCH("NA",#REF!)))</formula>
    </cfRule>
    <cfRule type="containsText" dxfId="6752" priority="77140" operator="containsText" text="Pending">
      <formula>NOT(ISERROR(SEARCH("Pending",#REF!)))</formula>
    </cfRule>
    <cfRule type="containsText" dxfId="6751" priority="77139" operator="containsText" text="Done">
      <formula>NOT(ISERROR(SEARCH("Done",#REF!)))</formula>
    </cfRule>
    <cfRule type="containsText" dxfId="6750" priority="77138" operator="containsText" text="NA">
      <formula>NOT(ISERROR(SEARCH("NA",#REF!)))</formula>
    </cfRule>
    <cfRule type="containsText" dxfId="6749" priority="77137" operator="containsText" text="NA">
      <formula>NOT(ISERROR(SEARCH("NA",#REF!)))</formula>
    </cfRule>
    <cfRule type="containsText" dxfId="6748" priority="77135" operator="containsText" text="Done">
      <formula>NOT(ISERROR(SEARCH("Done",#REF!)))</formula>
    </cfRule>
    <cfRule type="containsText" dxfId="6747" priority="77134" operator="containsText" text="NA">
      <formula>NOT(ISERROR(SEARCH("NA",#REF!)))</formula>
    </cfRule>
    <cfRule type="containsText" dxfId="6746" priority="77133" operator="containsText" text="NA">
      <formula>NOT(ISERROR(SEARCH("NA",#REF!)))</formula>
    </cfRule>
    <cfRule type="containsText" dxfId="6745" priority="77132" operator="containsText" text="Pending">
      <formula>NOT(ISERROR(SEARCH("Pending",#REF!)))</formula>
    </cfRule>
    <cfRule type="containsText" dxfId="6744" priority="77131" operator="containsText" text="Done">
      <formula>NOT(ISERROR(SEARCH("Done",#REF!)))</formula>
    </cfRule>
    <cfRule type="containsText" dxfId="6743" priority="77130" operator="containsText" text="NA">
      <formula>NOT(ISERROR(SEARCH("NA",#REF!)))</formula>
    </cfRule>
    <cfRule type="containsText" dxfId="6742" priority="77129" operator="containsText" text="NA">
      <formula>NOT(ISERROR(SEARCH("NA",#REF!)))</formula>
    </cfRule>
    <cfRule type="containsText" dxfId="6741" priority="77128" operator="containsText" text="Pending">
      <formula>NOT(ISERROR(SEARCH("Pending",#REF!)))</formula>
    </cfRule>
    <cfRule type="containsText" dxfId="6740" priority="77127" operator="containsText" text="Done">
      <formula>NOT(ISERROR(SEARCH("Done",#REF!)))</formula>
    </cfRule>
    <cfRule type="containsText" dxfId="6739" priority="77126" operator="containsText" text="NA">
      <formula>NOT(ISERROR(SEARCH("NA",#REF!)))</formula>
    </cfRule>
    <cfRule type="containsText" dxfId="6738" priority="77125" operator="containsText" text="NA">
      <formula>NOT(ISERROR(SEARCH("NA",#REF!)))</formula>
    </cfRule>
    <cfRule type="containsText" dxfId="6737" priority="77124" operator="containsText" text="Pending">
      <formula>NOT(ISERROR(SEARCH("Pending",#REF!)))</formula>
    </cfRule>
    <cfRule type="containsText" dxfId="6736" priority="77123" operator="containsText" text="Done">
      <formula>NOT(ISERROR(SEARCH("Done",#REF!)))</formula>
    </cfRule>
    <cfRule type="containsText" dxfId="6735" priority="77122" operator="containsText" text="NA">
      <formula>NOT(ISERROR(SEARCH("NA",#REF!)))</formula>
    </cfRule>
    <cfRule type="containsText" dxfId="6734" priority="77121" operator="containsText" text="Done">
      <formula>NOT(ISERROR(SEARCH("Done",X32)))</formula>
    </cfRule>
    <cfRule type="containsText" dxfId="6733" priority="77120" operator="containsText" text="Pending">
      <formula>NOT(ISERROR(SEARCH("Pending",X32)))</formula>
    </cfRule>
    <cfRule type="containsText" dxfId="6732" priority="77119" operator="containsText" text="NA">
      <formula>NOT(ISERROR(SEARCH("NA",X32)))</formula>
    </cfRule>
    <cfRule type="containsText" dxfId="6731" priority="77136" operator="containsText" text="Pending">
      <formula>NOT(ISERROR(SEARCH("Pending",#REF!)))</formula>
    </cfRule>
  </conditionalFormatting>
  <conditionalFormatting sqref="X46">
    <cfRule type="containsText" dxfId="6730" priority="138085" operator="containsText" text="Pending">
      <formula>NOT(ISERROR(SEARCH("Pending",#REF!)))</formula>
    </cfRule>
    <cfRule type="containsText" dxfId="6729" priority="138928" operator="containsText" text="NA">
      <formula>NOT(ISERROR(SEARCH("NA",#REF!)))</formula>
    </cfRule>
  </conditionalFormatting>
  <conditionalFormatting sqref="X48">
    <cfRule type="containsText" dxfId="6728" priority="140167" operator="containsText" text="NA">
      <formula>NOT(ISERROR(SEARCH("NA",#REF!)))</formula>
    </cfRule>
    <cfRule type="containsText" dxfId="6727" priority="139992" operator="containsText" text="Done">
      <formula>NOT(ISERROR(SEARCH("Done",#REF!)))</formula>
    </cfRule>
    <cfRule type="containsText" dxfId="6726" priority="140079" operator="containsText" text="Pending">
      <formula>NOT(ISERROR(SEARCH("Pending",#REF!)))</formula>
    </cfRule>
    <cfRule type="containsText" dxfId="6725" priority="140080" operator="containsText" text="Pending">
      <formula>NOT(ISERROR(SEARCH("Pending",#REF!)))</formula>
    </cfRule>
    <cfRule type="containsText" dxfId="6724" priority="140166" operator="containsText" text="NA">
      <formula>NOT(ISERROR(SEARCH("NA",#REF!)))</formula>
    </cfRule>
  </conditionalFormatting>
  <conditionalFormatting sqref="X49:X50">
    <cfRule type="containsText" dxfId="6723" priority="109415" operator="containsText" text="Pending">
      <formula>NOT(ISERROR(SEARCH("Pending",#REF!)))</formula>
    </cfRule>
    <cfRule type="containsText" dxfId="6722" priority="2097" operator="containsText" text="Done">
      <formula>NOT(ISERROR(SEARCH("Done",#REF!)))</formula>
    </cfRule>
    <cfRule type="containsText" dxfId="6721" priority="120750" operator="containsText" text="NA">
      <formula>NOT(ISERROR(SEARCH("NA",#REF!)))</formula>
    </cfRule>
    <cfRule type="containsText" dxfId="6720" priority="120749" operator="containsText" text="Pending">
      <formula>NOT(ISERROR(SEARCH("Pending",#REF!)))</formula>
    </cfRule>
    <cfRule type="containsText" dxfId="6719" priority="109414" operator="containsText" text="Done">
      <formula>NOT(ISERROR(SEARCH("Done",#REF!)))</formula>
    </cfRule>
    <cfRule type="containsText" dxfId="6718" priority="2099" operator="containsText" text="NA">
      <formula>NOT(ISERROR(SEARCH("NA",#REF!)))</formula>
    </cfRule>
    <cfRule type="containsText" dxfId="6717" priority="2098" operator="containsText" text="Pending">
      <formula>NOT(ISERROR(SEARCH("Pending",#REF!)))</formula>
    </cfRule>
    <cfRule type="containsText" dxfId="6716" priority="109416" operator="containsText" text="NA">
      <formula>NOT(ISERROR(SEARCH("NA",#REF!)))</formula>
    </cfRule>
  </conditionalFormatting>
  <conditionalFormatting sqref="X49:X52">
    <cfRule type="containsText" dxfId="6715" priority="2090" operator="containsText" text="NA">
      <formula>NOT(ISERROR(SEARCH("NA",#REF!)))</formula>
    </cfRule>
    <cfRule type="containsText" dxfId="6714" priority="2080" operator="containsText" text="NA">
      <formula>NOT(ISERROR(SEARCH("NA",X49)))</formula>
    </cfRule>
    <cfRule type="containsText" dxfId="6713" priority="2084" operator="containsText" text="Pending">
      <formula>NOT(ISERROR(SEARCH("Pending",#REF!)))</formula>
    </cfRule>
    <cfRule type="containsText" dxfId="6712" priority="2079" operator="containsText" text="NA">
      <formula>NOT(ISERROR(SEARCH("NA",#REF!)))</formula>
    </cfRule>
    <cfRule type="containsText" dxfId="6711" priority="2082" operator="containsText" text="Done">
      <formula>NOT(ISERROR(SEARCH("Done",X49)))</formula>
    </cfRule>
    <cfRule type="containsText" dxfId="6710" priority="2085" operator="containsText" text="Pending">
      <formula>NOT(ISERROR(SEARCH("Pending",#REF!)))</formula>
    </cfRule>
    <cfRule type="containsText" dxfId="6709" priority="2091" operator="containsText" text="NA">
      <formula>NOT(ISERROR(SEARCH("NA",#REF!)))</formula>
    </cfRule>
    <cfRule type="containsText" dxfId="6708" priority="2086" operator="containsText" text="Pending">
      <formula>NOT(ISERROR(SEARCH("Pending",#REF!)))</formula>
    </cfRule>
    <cfRule type="containsText" dxfId="6707" priority="2087" operator="containsText" text="Pending">
      <formula>NOT(ISERROR(SEARCH("Pending",#REF!)))</formula>
    </cfRule>
    <cfRule type="containsText" dxfId="6706" priority="2088" operator="containsText" text="NA">
      <formula>NOT(ISERROR(SEARCH("NA",#REF!)))</formula>
    </cfRule>
    <cfRule type="containsText" dxfId="6705" priority="2089" operator="containsText" text="NA">
      <formula>NOT(ISERROR(SEARCH("NA",#REF!)))</formula>
    </cfRule>
    <cfRule type="containsText" dxfId="6704" priority="2081" operator="containsText" text="Pending">
      <formula>NOT(ISERROR(SEARCH("Pending",X49)))</formula>
    </cfRule>
    <cfRule type="containsText" dxfId="6703" priority="2083" operator="containsText" text="Done">
      <formula>NOT(ISERROR(SEARCH("Done",#REF!)))</formula>
    </cfRule>
  </conditionalFormatting>
  <conditionalFormatting sqref="X49:X53 R53:Y53">
    <cfRule type="containsText" dxfId="6702" priority="120748" operator="containsText" text="Done">
      <formula>NOT(ISERROR(SEARCH("Done",#REF!)))</formula>
    </cfRule>
  </conditionalFormatting>
  <conditionalFormatting sqref="X51:X52">
    <cfRule type="containsText" dxfId="6701" priority="2096" operator="containsText" text="NA">
      <formula>NOT(ISERROR(SEARCH("NA",#REF!)))</formula>
    </cfRule>
    <cfRule type="containsText" dxfId="6700" priority="2095" operator="containsText" text="Pending">
      <formula>NOT(ISERROR(SEARCH("Pending",#REF!)))</formula>
    </cfRule>
    <cfRule type="containsText" dxfId="6699" priority="2094" operator="containsText" text="NA">
      <formula>NOT(ISERROR(SEARCH("NA",U114)))</formula>
    </cfRule>
    <cfRule type="containsText" dxfId="6698" priority="2093" operator="containsText" text="Pending">
      <formula>NOT(ISERROR(SEARCH("Pending",U114)))</formula>
    </cfRule>
    <cfRule type="containsText" dxfId="6697" priority="2092" operator="containsText" text="Done">
      <formula>NOT(ISERROR(SEARCH("Done",U114)))</formula>
    </cfRule>
  </conditionalFormatting>
  <conditionalFormatting sqref="X51:X53 R53:Y53">
    <cfRule type="containsText" dxfId="6696" priority="120752" operator="containsText" text="Pending">
      <formula>NOT(ISERROR(SEARCH("Pending",#REF!)))</formula>
    </cfRule>
    <cfRule type="containsText" dxfId="6695" priority="109417" operator="containsText" text="Done">
      <formula>NOT(ISERROR(SEARCH("Done",O114)))</formula>
    </cfRule>
    <cfRule type="containsText" dxfId="6694" priority="120753" operator="containsText" text="NA">
      <formula>NOT(ISERROR(SEARCH("NA",#REF!)))</formula>
    </cfRule>
    <cfRule type="containsText" dxfId="6693" priority="109419" operator="containsText" text="NA">
      <formula>NOT(ISERROR(SEARCH("NA",O114)))</formula>
    </cfRule>
    <cfRule type="containsText" dxfId="6692" priority="127373" operator="containsText" text="NA">
      <formula>NOT(ISERROR(SEARCH("NA",#REF!)))</formula>
    </cfRule>
    <cfRule type="containsText" dxfId="6691" priority="127372" operator="containsText" text="NA">
      <formula>NOT(ISERROR(SEARCH("NA",#REF!)))</formula>
    </cfRule>
    <cfRule type="containsText" dxfId="6690" priority="127368" operator="containsText" text="Pending">
      <formula>NOT(ISERROR(SEARCH("Pending",#REF!)))</formula>
    </cfRule>
    <cfRule type="containsText" dxfId="6689" priority="109418" operator="containsText" text="Pending">
      <formula>NOT(ISERROR(SEARCH("Pending",O114)))</formula>
    </cfRule>
  </conditionalFormatting>
  <conditionalFormatting sqref="X76:X77">
    <cfRule type="containsText" dxfId="6688" priority="1067" operator="containsText" text="Done">
      <formula>NOT(ISERROR(SEARCH("Done",#REF!)))</formula>
    </cfRule>
    <cfRule type="containsText" dxfId="6687" priority="1065" operator="containsText" text="NA">
      <formula>NOT(ISERROR(SEARCH("NA",#REF!)))</formula>
    </cfRule>
    <cfRule type="containsText" dxfId="6686" priority="1073" operator="containsText" text="NA">
      <formula>NOT(ISERROR(SEARCH("NA",#REF!)))</formula>
    </cfRule>
    <cfRule type="containsText" dxfId="6685" priority="1071" operator="containsText" text="NA">
      <formula>NOT(ISERROR(SEARCH("NA",#REF!)))</formula>
    </cfRule>
    <cfRule type="containsText" dxfId="6684" priority="1064" operator="containsText" text="NA">
      <formula>NOT(ISERROR(SEARCH("NA",#REF!)))</formula>
    </cfRule>
    <cfRule type="containsText" dxfId="6683" priority="1070" operator="containsText" text="Pending">
      <formula>NOT(ISERROR(SEARCH("Pending",#REF!)))</formula>
    </cfRule>
    <cfRule type="containsText" dxfId="6682" priority="1066" operator="containsText" text="Done">
      <formula>NOT(ISERROR(SEARCH("Done",#REF!)))</formula>
    </cfRule>
    <cfRule type="containsText" dxfId="6681" priority="1069" operator="containsText" text="Pending">
      <formula>NOT(ISERROR(SEARCH("Pending",#REF!)))</formula>
    </cfRule>
    <cfRule type="containsText" dxfId="6680" priority="1072" operator="containsText" text="NA">
      <formula>NOT(ISERROR(SEARCH("NA",#REF!)))</formula>
    </cfRule>
    <cfRule type="containsText" dxfId="6679" priority="1059" operator="containsText" text="Pending">
      <formula>NOT(ISERROR(SEARCH("Pending",#REF!)))</formula>
    </cfRule>
    <cfRule type="containsText" dxfId="6678" priority="1060" operator="containsText" text="NA">
      <formula>NOT(ISERROR(SEARCH("NA",#REF!)))</formula>
    </cfRule>
    <cfRule type="containsText" dxfId="6677" priority="1062" operator="containsText" text="Pending">
      <formula>NOT(ISERROR(SEARCH("Pending",#REF!)))</formula>
    </cfRule>
    <cfRule type="containsText" dxfId="6676" priority="1061" operator="containsText" text="Done">
      <formula>NOT(ISERROR(SEARCH("Done",#REF!)))</formula>
    </cfRule>
    <cfRule type="containsText" dxfId="6675" priority="1068" operator="containsText" text="Pending">
      <formula>NOT(ISERROR(SEARCH("Pending",#REF!)))</formula>
    </cfRule>
    <cfRule type="containsText" dxfId="6674" priority="1063" operator="containsText" text="Pending">
      <formula>NOT(ISERROR(SEARCH("Pending",#REF!)))</formula>
    </cfRule>
  </conditionalFormatting>
  <conditionalFormatting sqref="X76:X81">
    <cfRule type="containsText" dxfId="6673" priority="4781" operator="containsText" text="Pending">
      <formula>NOT(ISERROR(SEARCH("Pending",#REF!)))</formula>
    </cfRule>
    <cfRule type="containsText" dxfId="6672" priority="4786" operator="containsText" text="Pending">
      <formula>NOT(ISERROR(SEARCH("Pending",#REF!)))</formula>
    </cfRule>
    <cfRule type="containsText" dxfId="6671" priority="4784" operator="containsText" text="Done">
      <formula>NOT(ISERROR(SEARCH("Done",#REF!)))</formula>
    </cfRule>
    <cfRule type="containsText" dxfId="6670" priority="4783" operator="containsText" text="NA">
      <formula>NOT(ISERROR(SEARCH("NA",#REF!)))</formula>
    </cfRule>
    <cfRule type="containsText" dxfId="6669" priority="4782" operator="containsText" text="NA">
      <formula>NOT(ISERROR(SEARCH("NA",#REF!)))</formula>
    </cfRule>
    <cfRule type="containsText" dxfId="6668" priority="4780" operator="containsText" text="Pending">
      <formula>NOT(ISERROR(SEARCH("Pending",#REF!)))</formula>
    </cfRule>
    <cfRule type="containsText" dxfId="6667" priority="4779" operator="containsText" text="Done">
      <formula>NOT(ISERROR(SEARCH("Done",#REF!)))</formula>
    </cfRule>
    <cfRule type="containsText" dxfId="6666" priority="4778" operator="containsText" text="NA">
      <formula>NOT(ISERROR(SEARCH("NA",#REF!)))</formula>
    </cfRule>
    <cfRule type="containsText" dxfId="6665" priority="4777" operator="containsText" text="Pending">
      <formula>NOT(ISERROR(SEARCH("Pending",#REF!)))</formula>
    </cfRule>
    <cfRule type="containsText" dxfId="6664" priority="4785" operator="containsText" text="Done">
      <formula>NOT(ISERROR(SEARCH("Done",#REF!)))</formula>
    </cfRule>
    <cfRule type="containsText" dxfId="6663" priority="4790" operator="containsText" text="NA">
      <formula>NOT(ISERROR(SEARCH("NA",#REF!)))</formula>
    </cfRule>
    <cfRule type="containsText" dxfId="6662" priority="4789" operator="containsText" text="NA">
      <formula>NOT(ISERROR(SEARCH("NA",#REF!)))</formula>
    </cfRule>
    <cfRule type="containsText" dxfId="6661" priority="4788" operator="containsText" text="Pending">
      <formula>NOT(ISERROR(SEARCH("Pending",#REF!)))</formula>
    </cfRule>
    <cfRule type="containsText" dxfId="6660" priority="4787" operator="containsText" text="Pending">
      <formula>NOT(ISERROR(SEARCH("Pending",#REF!)))</formula>
    </cfRule>
    <cfRule type="containsText" dxfId="6659" priority="4791" operator="containsText" text="NA">
      <formula>NOT(ISERROR(SEARCH("NA",#REF!)))</formula>
    </cfRule>
  </conditionalFormatting>
  <conditionalFormatting sqref="X76:X83">
    <cfRule type="containsText" dxfId="6658" priority="109399" operator="containsText" text="Pending">
      <formula>NOT(ISERROR(SEARCH("Pending",#REF!)))</formula>
    </cfRule>
    <cfRule type="containsText" dxfId="6657" priority="119330" operator="containsText" text="Pending">
      <formula>NOT(ISERROR(SEARCH("Pending",#REF!)))</formula>
    </cfRule>
    <cfRule type="containsText" dxfId="6656" priority="119360" operator="containsText" text="NA">
      <formula>NOT(ISERROR(SEARCH("NA",#REF!)))</formula>
    </cfRule>
    <cfRule type="containsText" dxfId="6655" priority="119329" operator="containsText" text="Pending">
      <formula>NOT(ISERROR(SEARCH("Pending",#REF!)))</formula>
    </cfRule>
    <cfRule type="containsText" dxfId="6654" priority="119328" operator="containsText" text="Pending">
      <formula>NOT(ISERROR(SEARCH("Pending",#REF!)))</formula>
    </cfRule>
    <cfRule type="containsText" dxfId="6653" priority="119298" operator="containsText" text="Done">
      <formula>NOT(ISERROR(SEARCH("Done",#REF!)))</formula>
    </cfRule>
    <cfRule type="containsText" dxfId="6652" priority="119359" operator="containsText" text="NA">
      <formula>NOT(ISERROR(SEARCH("NA",#REF!)))</formula>
    </cfRule>
    <cfRule type="containsText" dxfId="6651" priority="119358" operator="containsText" text="NA">
      <formula>NOT(ISERROR(SEARCH("NA",#REF!)))</formula>
    </cfRule>
    <cfRule type="containsText" dxfId="6650" priority="109400" operator="containsText" text="NA">
      <formula>NOT(ISERROR(SEARCH("NA",#REF!)))</formula>
    </cfRule>
    <cfRule type="containsText" dxfId="6649" priority="109401" operator="containsText" text="Done">
      <formula>NOT(ISERROR(SEARCH("Done",#REF!)))</formula>
    </cfRule>
  </conditionalFormatting>
  <conditionalFormatting sqref="X77:X81">
    <cfRule type="containsText" dxfId="6648" priority="4039" operator="containsText" text="Pending">
      <formula>NOT(ISERROR(SEARCH("Pending",#REF!)))</formula>
    </cfRule>
    <cfRule type="containsText" dxfId="6647" priority="4040" operator="containsText" text="NA">
      <formula>NOT(ISERROR(SEARCH("NA",#REF!)))</formula>
    </cfRule>
    <cfRule type="containsText" dxfId="6646" priority="4041" operator="containsText" text="Done">
      <formula>NOT(ISERROR(SEARCH("Done",#REF!)))</formula>
    </cfRule>
  </conditionalFormatting>
  <conditionalFormatting sqref="X77:X83">
    <cfRule type="containsText" dxfId="6645" priority="75678" operator="containsText" text="Pending">
      <formula>NOT(ISERROR(SEARCH("Pending",#REF!)))</formula>
    </cfRule>
    <cfRule type="containsText" dxfId="6644" priority="75679" operator="containsText" text="NA">
      <formula>NOT(ISERROR(SEARCH("NA",#REF!)))</formula>
    </cfRule>
    <cfRule type="containsText" dxfId="6643" priority="75680" operator="containsText" text="Done">
      <formula>NOT(ISERROR(SEARCH("Done",#REF!)))</formula>
    </cfRule>
  </conditionalFormatting>
  <conditionalFormatting sqref="X78:X81">
    <cfRule type="containsText" dxfId="6642" priority="4038" operator="containsText" text="Done">
      <formula>NOT(ISERROR(SEARCH("Done",#REF!)))</formula>
    </cfRule>
    <cfRule type="containsText" dxfId="6641" priority="4036" operator="containsText" text="Pending">
      <formula>NOT(ISERROR(SEARCH("Pending",#REF!)))</formula>
    </cfRule>
    <cfRule type="containsText" dxfId="6640" priority="4037" operator="containsText" text="NA">
      <formula>NOT(ISERROR(SEARCH("NA",#REF!)))</formula>
    </cfRule>
  </conditionalFormatting>
  <conditionalFormatting sqref="X86">
    <cfRule type="containsText" dxfId="6639" priority="1159" operator="containsText" text="Pending">
      <formula>NOT(ISERROR(SEARCH("Pending",#REF!)))</formula>
    </cfRule>
    <cfRule type="containsText" dxfId="6638" priority="77395" operator="containsText" text="NA">
      <formula>NOT(ISERROR(SEARCH("NA",#REF!)))</formula>
    </cfRule>
    <cfRule type="containsText" dxfId="6637" priority="77392" operator="containsText" text="Pending">
      <formula>NOT(ISERROR(SEARCH("Pending",#REF!)))</formula>
    </cfRule>
    <cfRule type="containsText" dxfId="6636" priority="1150" operator="containsText" text="Done">
      <formula>NOT(ISERROR(SEARCH("Done",#REF!)))</formula>
    </cfRule>
    <cfRule type="containsText" dxfId="6635" priority="1157" operator="containsText" text="NA">
      <formula>NOT(ISERROR(SEARCH("NA",#REF!)))</formula>
    </cfRule>
    <cfRule type="containsText" dxfId="6634" priority="1156" operator="containsText" text="Pending">
      <formula>NOT(ISERROR(SEARCH("Pending",#REF!)))</formula>
    </cfRule>
    <cfRule type="containsText" dxfId="6633" priority="1155" operator="containsText" text="Done">
      <formula>NOT(ISERROR(SEARCH("Done",#REF!)))</formula>
    </cfRule>
    <cfRule type="containsText" dxfId="6632" priority="77397" operator="containsText" text="NA">
      <formula>NOT(ISERROR(SEARCH("NA",#REF!)))</formula>
    </cfRule>
    <cfRule type="containsText" dxfId="6631" priority="1154" operator="containsText" text="Done">
      <formula>NOT(ISERROR(SEARCH("Done",X86)))</formula>
    </cfRule>
    <cfRule type="containsText" dxfId="6630" priority="1153" operator="containsText" text="NA">
      <formula>NOT(ISERROR(SEARCH("NA",X86)))</formula>
    </cfRule>
    <cfRule type="containsText" dxfId="6629" priority="1152" operator="containsText" text="NA">
      <formula>NOT(ISERROR(SEARCH("NA",#REF!)))</formula>
    </cfRule>
    <cfRule type="containsText" dxfId="6628" priority="77390" operator="containsText" text="Pending">
      <formula>NOT(ISERROR(SEARCH("Pending",#REF!)))</formula>
    </cfRule>
    <cfRule type="containsText" dxfId="6627" priority="1151" operator="containsText" text="Pending">
      <formula>NOT(ISERROR(SEARCH("Pending",#REF!)))</formula>
    </cfRule>
    <cfRule type="containsText" dxfId="6626" priority="77391" operator="containsText" text="Pending">
      <formula>NOT(ISERROR(SEARCH("Pending",#REF!)))</formula>
    </cfRule>
    <cfRule type="containsText" dxfId="6625" priority="1149" operator="containsText" text="Done">
      <formula>NOT(ISERROR(SEARCH("Done",X86)))</formula>
    </cfRule>
    <cfRule type="containsText" dxfId="6624" priority="77388" operator="containsText" text="Done">
      <formula>NOT(ISERROR(SEARCH("Done",#REF!)))</formula>
    </cfRule>
    <cfRule type="containsText" dxfId="6623" priority="1148" operator="containsText" text="NA">
      <formula>NOT(ISERROR(SEARCH("NA",X86)))</formula>
    </cfRule>
    <cfRule type="containsText" dxfId="6622" priority="1158" operator="containsText" text="Done">
      <formula>NOT(ISERROR(SEARCH("Done",#REF!)))</formula>
    </cfRule>
    <cfRule type="containsText" dxfId="6621" priority="77396" operator="containsText" text="NA">
      <formula>NOT(ISERROR(SEARCH("NA",#REF!)))</formula>
    </cfRule>
    <cfRule type="containsText" dxfId="6620" priority="1160" operator="containsText" text="NA">
      <formula>NOT(ISERROR(SEARCH("NA",#REF!)))</formula>
    </cfRule>
  </conditionalFormatting>
  <conditionalFormatting sqref="X87:X88">
    <cfRule type="containsText" dxfId="6619" priority="4896" operator="containsText" text="Pending">
      <formula>NOT(ISERROR(SEARCH("Pending",#REF!)))</formula>
    </cfRule>
    <cfRule type="containsText" dxfId="6618" priority="4900" operator="containsText" text="NA">
      <formula>NOT(ISERROR(SEARCH("NA",#REF!)))</formula>
    </cfRule>
    <cfRule type="containsText" dxfId="6617" priority="4898" operator="containsText" text="NA">
      <formula>NOT(ISERROR(SEARCH("NA",#REF!)))</formula>
    </cfRule>
    <cfRule type="containsText" dxfId="6616" priority="4897" operator="containsText" text="Pending">
      <formula>NOT(ISERROR(SEARCH("Pending",#REF!)))</formula>
    </cfRule>
    <cfRule type="containsText" dxfId="6615" priority="4895" operator="containsText" text="Pending">
      <formula>NOT(ISERROR(SEARCH("Pending",#REF!)))</formula>
    </cfRule>
    <cfRule type="containsText" dxfId="6614" priority="4894" operator="containsText" text="Done">
      <formula>NOT(ISERROR(SEARCH("Done",#REF!)))</formula>
    </cfRule>
    <cfRule type="containsText" dxfId="6613" priority="4899" operator="containsText" text="NA">
      <formula>NOT(ISERROR(SEARCH("NA",#REF!)))</formula>
    </cfRule>
    <cfRule type="containsText" dxfId="6612" priority="4890" operator="containsText" text="Pending">
      <formula>NOT(ISERROR(SEARCH("Pending",#REF!)))</formula>
    </cfRule>
    <cfRule type="containsText" dxfId="6611" priority="4887" operator="containsText" text="NA">
      <formula>NOT(ISERROR(SEARCH("NA",#REF!)))</formula>
    </cfRule>
    <cfRule type="containsText" dxfId="6610" priority="4888" operator="containsText" text="Done">
      <formula>NOT(ISERROR(SEARCH("Done",#REF!)))</formula>
    </cfRule>
    <cfRule type="containsText" dxfId="6609" priority="4889" operator="containsText" text="Pending">
      <formula>NOT(ISERROR(SEARCH("Pending",#REF!)))</formula>
    </cfRule>
    <cfRule type="containsText" dxfId="6608" priority="4891" operator="containsText" text="NA">
      <formula>NOT(ISERROR(SEARCH("NA",#REF!)))</formula>
    </cfRule>
    <cfRule type="containsText" dxfId="6607" priority="4892" operator="containsText" text="NA">
      <formula>NOT(ISERROR(SEARCH("NA",#REF!)))</formula>
    </cfRule>
    <cfRule type="containsText" dxfId="6606" priority="4893" operator="containsText" text="Done">
      <formula>NOT(ISERROR(SEARCH("Done",#REF!)))</formula>
    </cfRule>
  </conditionalFormatting>
  <conditionalFormatting sqref="X87:X89">
    <cfRule type="containsText" dxfId="6605" priority="4202" operator="containsText" text="Pending">
      <formula>NOT(ISERROR(SEARCH("Pending",#REF!)))</formula>
    </cfRule>
  </conditionalFormatting>
  <conditionalFormatting sqref="X88:X89">
    <cfRule type="containsText" dxfId="6604" priority="77344" operator="containsText" text="NA">
      <formula>NOT(ISERROR(SEARCH("NA",X88)))</formula>
    </cfRule>
    <cfRule type="containsText" dxfId="6603" priority="77345" operator="containsText" text="Done">
      <formula>NOT(ISERROR(SEARCH("Done",X88)))</formula>
    </cfRule>
  </conditionalFormatting>
  <conditionalFormatting sqref="X89">
    <cfRule type="containsText" dxfId="6602" priority="4195" operator="containsText" text="Done">
      <formula>NOT(ISERROR(SEARCH("Done",X89)))</formula>
    </cfRule>
    <cfRule type="containsText" dxfId="6601" priority="4196" operator="containsText" text="Done">
      <formula>NOT(ISERROR(SEARCH("Done",#REF!)))</formula>
    </cfRule>
    <cfRule type="containsText" dxfId="6600" priority="4194" operator="containsText" text="NA">
      <formula>NOT(ISERROR(SEARCH("NA",X89)))</formula>
    </cfRule>
    <cfRule type="containsText" dxfId="6599" priority="4203" operator="containsText" text="NA">
      <formula>NOT(ISERROR(SEARCH("NA",#REF!)))</formula>
    </cfRule>
    <cfRule type="containsText" dxfId="6598" priority="4201" operator="containsText" text="Done">
      <formula>NOT(ISERROR(SEARCH("Done",#REF!)))</formula>
    </cfRule>
    <cfRule type="containsText" dxfId="6597" priority="4200" operator="containsText" text="Done">
      <formula>NOT(ISERROR(SEARCH("Done",X89)))</formula>
    </cfRule>
    <cfRule type="containsText" dxfId="6596" priority="4199" operator="containsText" text="NA">
      <formula>NOT(ISERROR(SEARCH("NA",X89)))</formula>
    </cfRule>
    <cfRule type="containsText" dxfId="6595" priority="4198" operator="containsText" text="NA">
      <formula>NOT(ISERROR(SEARCH("NA",#REF!)))</formula>
    </cfRule>
    <cfRule type="containsText" dxfId="6594" priority="4197" operator="containsText" text="Pending">
      <formula>NOT(ISERROR(SEARCH("Pending",#REF!)))</formula>
    </cfRule>
  </conditionalFormatting>
  <conditionalFormatting sqref="X30:Y32 Y30:Z30">
    <cfRule type="containsText" dxfId="6593" priority="123317" operator="containsText" text="Done">
      <formula>NOT(ISERROR(SEARCH("Done",#REF!)))</formula>
    </cfRule>
  </conditionalFormatting>
  <conditionalFormatting sqref="X77:Y77">
    <cfRule type="containsText" dxfId="6592" priority="759" operator="containsText" text="Pending">
      <formula>NOT(ISERROR(SEARCH("Pending",#REF!)))</formula>
    </cfRule>
    <cfRule type="containsText" dxfId="6591" priority="760" operator="containsText" text="NA">
      <formula>NOT(ISERROR(SEARCH("NA",#REF!)))</formula>
    </cfRule>
    <cfRule type="containsText" dxfId="6590" priority="761" operator="containsText" text="Done">
      <formula>NOT(ISERROR(SEARCH("Done",#REF!)))</formula>
    </cfRule>
  </conditionalFormatting>
  <conditionalFormatting sqref="X79:Y81">
    <cfRule type="containsText" dxfId="6589" priority="382" operator="containsText" text="Done">
      <formula>NOT(ISERROR(SEARCH("Done",#REF!)))</formula>
    </cfRule>
    <cfRule type="containsText" dxfId="6588" priority="383" operator="containsText" text="Pending">
      <formula>NOT(ISERROR(SEARCH("Pending",#REF!)))</formula>
    </cfRule>
    <cfRule type="containsText" dxfId="6587" priority="384" operator="containsText" text="NA">
      <formula>NOT(ISERROR(SEARCH("NA",#REF!)))</formula>
    </cfRule>
    <cfRule type="containsText" dxfId="6586" priority="385" operator="containsText" text="Done">
      <formula>NOT(ISERROR(SEARCH("Done",#REF!)))</formula>
    </cfRule>
    <cfRule type="containsText" dxfId="6585" priority="378" operator="containsText" text="Pending">
      <formula>NOT(ISERROR(SEARCH("Pending",#REF!)))</formula>
    </cfRule>
    <cfRule type="containsText" dxfId="6584" priority="377" operator="containsText" text="Done">
      <formula>NOT(ISERROR(SEARCH("Done",#REF!)))</formula>
    </cfRule>
    <cfRule type="containsText" dxfId="6583" priority="380" operator="containsText" text="NA">
      <formula>NOT(ISERROR(SEARCH("NA",X79)))</formula>
    </cfRule>
    <cfRule type="containsText" dxfId="6582" priority="376" operator="containsText" text="Done">
      <formula>NOT(ISERROR(SEARCH("Done",X79)))</formula>
    </cfRule>
    <cfRule type="containsText" dxfId="6581" priority="375" operator="containsText" text="NA">
      <formula>NOT(ISERROR(SEARCH("NA",X79)))</formula>
    </cfRule>
    <cfRule type="containsText" dxfId="6580" priority="379" operator="containsText" text="NA">
      <formula>NOT(ISERROR(SEARCH("NA",#REF!)))</formula>
    </cfRule>
    <cfRule type="containsText" dxfId="6579" priority="386" operator="containsText" text="Pending">
      <formula>NOT(ISERROR(SEARCH("Pending",#REF!)))</formula>
    </cfRule>
    <cfRule type="containsText" dxfId="6578" priority="387" operator="containsText" text="NA">
      <formula>NOT(ISERROR(SEARCH("NA",#REF!)))</formula>
    </cfRule>
    <cfRule type="containsText" dxfId="6577" priority="381" operator="containsText" text="Done">
      <formula>NOT(ISERROR(SEARCH("Done",X79)))</formula>
    </cfRule>
  </conditionalFormatting>
  <conditionalFormatting sqref="X83:Y83 P82:X82">
    <cfRule type="containsText" dxfId="6576" priority="3733" operator="containsText" text="Pending">
      <formula>NOT(ISERROR(SEARCH("Pending",#REF!)))</formula>
    </cfRule>
  </conditionalFormatting>
  <conditionalFormatting sqref="X83:Y83">
    <cfRule type="containsText" dxfId="6575" priority="3727" operator="containsText" text="Pending">
      <formula>NOT(ISERROR(SEARCH("Pending",#REF!)))</formula>
    </cfRule>
    <cfRule type="containsText" dxfId="6574" priority="3716" operator="containsText" text="NA">
      <formula>NOT(ISERROR(SEARCH("NA",#REF!)))</formula>
    </cfRule>
    <cfRule type="containsText" dxfId="6573" priority="3732" operator="containsText" text="NA">
      <formula>NOT(ISERROR(SEARCH("NA",#REF!)))</formula>
    </cfRule>
    <cfRule type="containsText" dxfId="6572" priority="3731" operator="containsText" text="NA">
      <formula>NOT(ISERROR(SEARCH("NA",#REF!)))</formula>
    </cfRule>
    <cfRule type="containsText" dxfId="6571" priority="3730" operator="containsText" text="NA">
      <formula>NOT(ISERROR(SEARCH("NA",#REF!)))</formula>
    </cfRule>
    <cfRule type="containsText" dxfId="6570" priority="3729" operator="containsText" text="Pending">
      <formula>NOT(ISERROR(SEARCH("Pending",#REF!)))</formula>
    </cfRule>
    <cfRule type="containsText" dxfId="6569" priority="3728" operator="containsText" text="Pending">
      <formula>NOT(ISERROR(SEARCH("Pending",#REF!)))</formula>
    </cfRule>
    <cfRule type="containsText" dxfId="6568" priority="3718" operator="containsText" text="Pending">
      <formula>NOT(ISERROR(SEARCH("Pending",#REF!)))</formula>
    </cfRule>
    <cfRule type="containsText" dxfId="6567" priority="3726" operator="containsText" text="Done">
      <formula>NOT(ISERROR(SEARCH("Done",#REF!)))</formula>
    </cfRule>
    <cfRule type="containsText" dxfId="6566" priority="3725" operator="containsText" text="Done">
      <formula>NOT(ISERROR(SEARCH("Done",#REF!)))</formula>
    </cfRule>
    <cfRule type="containsText" dxfId="6565" priority="3723" operator="containsText" text="NA">
      <formula>NOT(ISERROR(SEARCH("NA",#REF!)))</formula>
    </cfRule>
    <cfRule type="containsText" dxfId="6564" priority="3722" operator="containsText" text="Pending">
      <formula>NOT(ISERROR(SEARCH("Pending",#REF!)))</formula>
    </cfRule>
    <cfRule type="containsText" dxfId="6563" priority="3721" operator="containsText" text="Pending">
      <formula>NOT(ISERROR(SEARCH("Pending",#REF!)))</formula>
    </cfRule>
    <cfRule type="containsText" dxfId="6562" priority="3720" operator="containsText" text="Done">
      <formula>NOT(ISERROR(SEARCH("Done",#REF!)))</formula>
    </cfRule>
    <cfRule type="containsText" dxfId="6561" priority="3719" operator="containsText" text="NA">
      <formula>NOT(ISERROR(SEARCH("NA",#REF!)))</formula>
    </cfRule>
    <cfRule type="containsText" dxfId="6560" priority="3712" operator="containsText" text="Pending">
      <formula>NOT(ISERROR(SEARCH("Pending",#REF!)))</formula>
    </cfRule>
    <cfRule type="containsText" dxfId="6559" priority="3717" operator="containsText" text="Done">
      <formula>NOT(ISERROR(SEARCH("Done",#REF!)))</formula>
    </cfRule>
    <cfRule type="containsText" dxfId="6558" priority="3715" operator="containsText" text="Pending">
      <formula>NOT(ISERROR(SEARCH("Pending",#REF!)))</formula>
    </cfRule>
    <cfRule type="containsText" dxfId="6557" priority="3724" operator="containsText" text="NA">
      <formula>NOT(ISERROR(SEARCH("NA",#REF!)))</formula>
    </cfRule>
    <cfRule type="containsText" dxfId="6556" priority="3714" operator="containsText" text="Done">
      <formula>NOT(ISERROR(SEARCH("Done",#REF!)))</formula>
    </cfRule>
    <cfRule type="containsText" dxfId="6555" priority="3713" operator="containsText" text="NA">
      <formula>NOT(ISERROR(SEARCH("NA",#REF!)))</formula>
    </cfRule>
  </conditionalFormatting>
  <conditionalFormatting sqref="X57:Z57">
    <cfRule type="containsText" dxfId="6554" priority="119833" operator="containsText" text="NA">
      <formula>NOT(ISERROR(SEARCH("NA",#REF!)))</formula>
    </cfRule>
    <cfRule type="containsText" dxfId="6553" priority="119827" operator="containsText" text="Pending">
      <formula>NOT(ISERROR(SEARCH("Pending",#REF!)))</formula>
    </cfRule>
    <cfRule type="containsText" dxfId="6552" priority="119862" operator="containsText" text="NA">
      <formula>NOT(ISERROR(SEARCH("NA",#REF!)))</formula>
    </cfRule>
    <cfRule type="containsText" dxfId="6551" priority="119829" operator="containsText" text="Done">
      <formula>NOT(ISERROR(SEARCH("Done",#REF!)))</formula>
    </cfRule>
    <cfRule type="containsText" dxfId="6550" priority="119830" operator="containsText" text="Pending">
      <formula>NOT(ISERROR(SEARCH("Pending",#REF!)))</formula>
    </cfRule>
    <cfRule type="containsText" dxfId="6549" priority="119828" operator="containsText" text="NA">
      <formula>NOT(ISERROR(SEARCH("NA",#REF!)))</formula>
    </cfRule>
    <cfRule type="containsText" dxfId="6548" priority="119831" operator="containsText" text="Done">
      <formula>NOT(ISERROR(SEARCH("Done",#REF!)))</formula>
    </cfRule>
    <cfRule type="containsText" dxfId="6547" priority="119832" operator="containsText" text="Pending">
      <formula>NOT(ISERROR(SEARCH("Pending",#REF!)))</formula>
    </cfRule>
    <cfRule type="containsText" dxfId="6546" priority="119826" operator="containsText" text="Done">
      <formula>NOT(ISERROR(SEARCH("Done",#REF!)))</formula>
    </cfRule>
    <cfRule type="containsText" dxfId="6545" priority="119843" operator="containsText" text="Done">
      <formula>NOT(ISERROR(SEARCH("Done",#REF!)))</formula>
    </cfRule>
    <cfRule type="containsText" dxfId="6544" priority="119845" operator="containsText" text="Pending">
      <formula>NOT(ISERROR(SEARCH("Pending",#REF!)))</formula>
    </cfRule>
    <cfRule type="containsText" dxfId="6543" priority="119856" operator="containsText" text="Pending">
      <formula>NOT(ISERROR(SEARCH("Pending",#REF!)))</formula>
    </cfRule>
  </conditionalFormatting>
  <conditionalFormatting sqref="X59:Z59">
    <cfRule type="containsText" dxfId="6542" priority="119003" operator="containsText" text="Pending">
      <formula>NOT(ISERROR(SEARCH("Pending",#REF!)))</formula>
    </cfRule>
    <cfRule type="containsText" dxfId="6541" priority="119001" operator="containsText" text="NA">
      <formula>NOT(ISERROR(SEARCH("NA",#REF!)))</formula>
    </cfRule>
    <cfRule type="containsText" dxfId="6540" priority="119002" operator="containsText" text="Done">
      <formula>NOT(ISERROR(SEARCH("Done",#REF!)))</formula>
    </cfRule>
    <cfRule type="containsText" dxfId="6539" priority="119004" operator="containsText" text="Done">
      <formula>NOT(ISERROR(SEARCH("Done",#REF!)))</formula>
    </cfRule>
    <cfRule type="containsText" dxfId="6538" priority="119006" operator="containsText" text="NA">
      <formula>NOT(ISERROR(SEARCH("NA",#REF!)))</formula>
    </cfRule>
    <cfRule type="containsText" dxfId="6537" priority="119005" operator="containsText" text="Pending">
      <formula>NOT(ISERROR(SEARCH("Pending",#REF!)))</formula>
    </cfRule>
    <cfRule type="containsText" dxfId="6536" priority="118999" operator="containsText" text="Done">
      <formula>NOT(ISERROR(SEARCH("Done",#REF!)))</formula>
    </cfRule>
    <cfRule type="containsText" dxfId="6535" priority="119000" operator="containsText" text="Pending">
      <formula>NOT(ISERROR(SEARCH("Pending",#REF!)))</formula>
    </cfRule>
  </conditionalFormatting>
  <conditionalFormatting sqref="X57:AA57">
    <cfRule type="containsText" dxfId="6534" priority="119850" operator="containsText" text="Done">
      <formula>NOT(ISERROR(SEARCH("Done",#REF!)))</formula>
    </cfRule>
  </conditionalFormatting>
  <conditionalFormatting sqref="X59:AG59 P59:Q59 S59:V59">
    <cfRule type="containsText" dxfId="6533" priority="119010" operator="containsText" text="Pending">
      <formula>NOT(ISERROR(SEARCH("Pending",#REF!)))</formula>
    </cfRule>
  </conditionalFormatting>
  <conditionalFormatting sqref="Y7">
    <cfRule type="containsText" dxfId="6532" priority="135324" operator="containsText" text="Pending">
      <formula>NOT(ISERROR(SEARCH("Pending",#REF!)))</formula>
    </cfRule>
    <cfRule type="containsText" dxfId="6531" priority="135223" operator="containsText" text="Done">
      <formula>NOT(ISERROR(SEARCH("Done",#REF!)))</formula>
    </cfRule>
    <cfRule type="containsText" dxfId="6530" priority="135425" operator="containsText" text="NA">
      <formula>NOT(ISERROR(SEARCH("NA",#REF!)))</formula>
    </cfRule>
  </conditionalFormatting>
  <conditionalFormatting sqref="Y14">
    <cfRule type="containsText" dxfId="6529" priority="5342" operator="containsText" text="Done">
      <formula>NOT(ISERROR(SEARCH("Done",#REF!)))</formula>
    </cfRule>
    <cfRule type="containsText" dxfId="6528" priority="5334" operator="containsText" text="Pending">
      <formula>NOT(ISERROR(SEARCH("Pending",#REF!)))</formula>
    </cfRule>
    <cfRule type="containsText" dxfId="6527" priority="5333" operator="containsText" text="Done">
      <formula>NOT(ISERROR(SEARCH("Done",#REF!)))</formula>
    </cfRule>
    <cfRule type="containsText" dxfId="6526" priority="5332" operator="containsText" text="NA">
      <formula>NOT(ISERROR(SEARCH("NA",#REF!)))</formula>
    </cfRule>
    <cfRule type="containsText" dxfId="6525" priority="5331" operator="containsText" text="Pending">
      <formula>NOT(ISERROR(SEARCH("Pending",#REF!)))</formula>
    </cfRule>
    <cfRule type="containsText" dxfId="6524" priority="5335" operator="containsText" text="NA">
      <formula>NOT(ISERROR(SEARCH("NA",#REF!)))</formula>
    </cfRule>
    <cfRule type="containsText" dxfId="6523" priority="5341" operator="containsText" text="NA">
      <formula>NOT(ISERROR(SEARCH("NA",#REF!)))</formula>
    </cfRule>
    <cfRule type="containsText" dxfId="6522" priority="5339" operator="containsText" text="Done">
      <formula>NOT(ISERROR(SEARCH("Done",#REF!)))</formula>
    </cfRule>
    <cfRule type="containsText" dxfId="6521" priority="5336" operator="containsText" text="Done">
      <formula>NOT(ISERROR(SEARCH("Done",#REF!)))</formula>
    </cfRule>
    <cfRule type="containsText" dxfId="6520" priority="5337" operator="containsText" text="Pending">
      <formula>NOT(ISERROR(SEARCH("Pending",#REF!)))</formula>
    </cfRule>
    <cfRule type="containsText" dxfId="6519" priority="5338" operator="containsText" text="NA">
      <formula>NOT(ISERROR(SEARCH("NA",#REF!)))</formula>
    </cfRule>
    <cfRule type="containsText" dxfId="6518" priority="5340" operator="containsText" text="Pending">
      <formula>NOT(ISERROR(SEARCH("Pending",#REF!)))</formula>
    </cfRule>
  </conditionalFormatting>
  <conditionalFormatting sqref="Y18:Y26 AC18:AD26 AE19:AE25 AC26:AE26 R40:S40">
    <cfRule type="containsText" dxfId="6517" priority="138357" operator="containsText" text="Pending">
      <formula>NOT(ISERROR(SEARCH("Pending",#REF!)))</formula>
    </cfRule>
  </conditionalFormatting>
  <conditionalFormatting sqref="Y18:Y26">
    <cfRule type="containsText" dxfId="6516" priority="75633" operator="containsText" text="Pending">
      <formula>NOT(ISERROR(SEARCH("Pending",#REF!)))</formula>
    </cfRule>
    <cfRule type="containsText" dxfId="6515" priority="75632" operator="containsText" text="Done">
      <formula>NOT(ISERROR(SEARCH("Done",#REF!)))</formula>
    </cfRule>
    <cfRule type="containsText" dxfId="6514" priority="75636" operator="containsText" text="NA">
      <formula>NOT(ISERROR(SEARCH("NA",#REF!)))</formula>
    </cfRule>
    <cfRule type="containsText" dxfId="6513" priority="75635" operator="containsText" text="NA">
      <formula>NOT(ISERROR(SEARCH("NA",#REF!)))</formula>
    </cfRule>
    <cfRule type="containsText" dxfId="6512" priority="75634" operator="containsText" text="Pending">
      <formula>NOT(ISERROR(SEARCH("Pending",#REF!)))</formula>
    </cfRule>
  </conditionalFormatting>
  <conditionalFormatting sqref="Y19:Y26">
    <cfRule type="containsText" dxfId="6511" priority="75639" operator="containsText" text="NA">
      <formula>NOT(ISERROR(SEARCH("NA",#REF!)))</formula>
    </cfRule>
    <cfRule type="containsText" dxfId="6510" priority="75640" operator="containsText" text="NA">
      <formula>NOT(ISERROR(SEARCH("NA",#REF!)))</formula>
    </cfRule>
    <cfRule type="containsText" dxfId="6509" priority="75637" operator="containsText" text="Pending">
      <formula>NOT(ISERROR(SEARCH("Pending",#REF!)))</formula>
    </cfRule>
    <cfRule type="containsText" dxfId="6508" priority="75638" operator="containsText" text="Pending">
      <formula>NOT(ISERROR(SEARCH("Pending",#REF!)))</formula>
    </cfRule>
  </conditionalFormatting>
  <conditionalFormatting sqref="Y29">
    <cfRule type="containsText" dxfId="6507" priority="124327" operator="containsText" text="NA">
      <formula>NOT(ISERROR(SEARCH("NA",#REF!)))</formula>
    </cfRule>
    <cfRule type="containsText" dxfId="6506" priority="124328" operator="containsText" text="Done">
      <formula>NOT(ISERROR(SEARCH("Done",#REF!)))</formula>
    </cfRule>
    <cfRule type="containsText" dxfId="6505" priority="124329" operator="containsText" text="Pending">
      <formula>NOT(ISERROR(SEARCH("Pending",#REF!)))</formula>
    </cfRule>
    <cfRule type="containsText" dxfId="6504" priority="124330" operator="containsText" text="NA">
      <formula>NOT(ISERROR(SEARCH("NA",#REF!)))</formula>
    </cfRule>
    <cfRule type="containsText" dxfId="6503" priority="77118" operator="containsText" text="NA">
      <formula>NOT(ISERROR(SEARCH("NA",#REF!)))</formula>
    </cfRule>
    <cfRule type="containsText" dxfId="6502" priority="118962" operator="containsText" text="NA">
      <formula>NOT(ISERROR(SEARCH("NA",Y29)))</formula>
    </cfRule>
    <cfRule type="containsText" dxfId="6501" priority="77117" operator="containsText" text="Pending">
      <formula>NOT(ISERROR(SEARCH("Pending",#REF!)))</formula>
    </cfRule>
    <cfRule type="containsText" dxfId="6500" priority="77116" operator="containsText" text="Done">
      <formula>NOT(ISERROR(SEARCH("Done",#REF!)))</formula>
    </cfRule>
    <cfRule type="containsText" dxfId="6499" priority="77115" operator="containsText" text="NA">
      <formula>NOT(ISERROR(SEARCH("NA",#REF!)))</formula>
    </cfRule>
    <cfRule type="containsText" dxfId="6498" priority="77114" operator="containsText" text="Done">
      <formula>NOT(ISERROR(SEARCH("Done",Y29)))</formula>
    </cfRule>
    <cfRule type="containsText" dxfId="6497" priority="77113" operator="containsText" text="Pending">
      <formula>NOT(ISERROR(SEARCH("Pending",Y29)))</formula>
    </cfRule>
    <cfRule type="containsText" dxfId="6496" priority="77112" operator="containsText" text="NA">
      <formula>NOT(ISERROR(SEARCH("NA",Y29)))</formula>
    </cfRule>
    <cfRule type="containsText" dxfId="6495" priority="77111" operator="containsText" text="NA">
      <formula>NOT(ISERROR(SEARCH("NA",#REF!)))</formula>
    </cfRule>
    <cfRule type="containsText" dxfId="6494" priority="77110" operator="containsText" text="Pending">
      <formula>NOT(ISERROR(SEARCH("Pending",#REF!)))</formula>
    </cfRule>
    <cfRule type="containsText" dxfId="6493" priority="77109" operator="containsText" text="Done">
      <formula>NOT(ISERROR(SEARCH("Done",#REF!)))</formula>
    </cfRule>
    <cfRule type="containsText" dxfId="6492" priority="77108" operator="containsText" text="NA">
      <formula>NOT(ISERROR(SEARCH("NA",#REF!)))</formula>
    </cfRule>
    <cfRule type="containsText" dxfId="6491" priority="77107" operator="containsText" text="Done">
      <formula>NOT(ISERROR(SEARCH("Done",Y29)))</formula>
    </cfRule>
    <cfRule type="containsText" dxfId="6490" priority="77106" operator="containsText" text="Pending">
      <formula>NOT(ISERROR(SEARCH("Pending",Y29)))</formula>
    </cfRule>
    <cfRule type="containsText" dxfId="6489" priority="77105" operator="containsText" text="NA">
      <formula>NOT(ISERROR(SEARCH("NA",Y29)))</formula>
    </cfRule>
    <cfRule type="containsText" dxfId="6488" priority="77104" operator="containsText" text="NA">
      <formula>NOT(ISERROR(SEARCH("NA",#REF!)))</formula>
    </cfRule>
    <cfRule type="containsText" dxfId="6487" priority="77103" operator="containsText" text="Pending">
      <formula>NOT(ISERROR(SEARCH("Pending",#REF!)))</formula>
    </cfRule>
    <cfRule type="containsText" dxfId="6486" priority="77102" operator="containsText" text="Done">
      <formula>NOT(ISERROR(SEARCH("Done",#REF!)))</formula>
    </cfRule>
    <cfRule type="containsText" dxfId="6485" priority="77101" operator="containsText" text="NA">
      <formula>NOT(ISERROR(SEARCH("NA",#REF!)))</formula>
    </cfRule>
    <cfRule type="containsText" dxfId="6484" priority="77100" operator="containsText" text="NA">
      <formula>NOT(ISERROR(SEARCH("NA",#REF!)))</formula>
    </cfRule>
    <cfRule type="containsText" dxfId="6483" priority="77099" operator="containsText" text="Pending">
      <formula>NOT(ISERROR(SEARCH("Pending",#REF!)))</formula>
    </cfRule>
    <cfRule type="containsText" dxfId="6482" priority="77098" operator="containsText" text="Done">
      <formula>NOT(ISERROR(SEARCH("Done",#REF!)))</formula>
    </cfRule>
    <cfRule type="containsText" dxfId="6481" priority="77097" operator="containsText" text="NA">
      <formula>NOT(ISERROR(SEARCH("NA",#REF!)))</formula>
    </cfRule>
    <cfRule type="containsText" dxfId="6480" priority="77096" operator="containsText" text="Pending">
      <formula>NOT(ISERROR(SEARCH("Pending",#REF!)))</formula>
    </cfRule>
    <cfRule type="containsText" dxfId="6479" priority="77095" operator="containsText" text="Done">
      <formula>NOT(ISERROR(SEARCH("Done",#REF!)))</formula>
    </cfRule>
    <cfRule type="containsText" dxfId="6478" priority="77094" operator="containsText" text="NA">
      <formula>NOT(ISERROR(SEARCH("NA",#REF!)))</formula>
    </cfRule>
    <cfRule type="containsText" dxfId="6477" priority="77093" operator="containsText" text="NA">
      <formula>NOT(ISERROR(SEARCH("NA",#REF!)))</formula>
    </cfRule>
    <cfRule type="containsText" dxfId="6476" priority="77092" operator="containsText" text="Pending">
      <formula>NOT(ISERROR(SEARCH("Pending",#REF!)))</formula>
    </cfRule>
    <cfRule type="containsText" dxfId="6475" priority="77091" operator="containsText" text="Done">
      <formula>NOT(ISERROR(SEARCH("Done",#REF!)))</formula>
    </cfRule>
    <cfRule type="containsText" dxfId="6474" priority="77090" operator="containsText" text="NA">
      <formula>NOT(ISERROR(SEARCH("NA",#REF!)))</formula>
    </cfRule>
    <cfRule type="containsText" dxfId="6473" priority="77089" operator="containsText" text="NA">
      <formula>NOT(ISERROR(SEARCH("NA",#REF!)))</formula>
    </cfRule>
    <cfRule type="containsText" dxfId="6472" priority="77088" operator="containsText" text="Pending">
      <formula>NOT(ISERROR(SEARCH("Pending",#REF!)))</formula>
    </cfRule>
    <cfRule type="containsText" dxfId="6471" priority="77087" operator="containsText" text="Done">
      <formula>NOT(ISERROR(SEARCH("Done",#REF!)))</formula>
    </cfRule>
    <cfRule type="containsText" dxfId="6470" priority="77086" operator="containsText" text="NA">
      <formula>NOT(ISERROR(SEARCH("NA",#REF!)))</formula>
    </cfRule>
    <cfRule type="containsText" dxfId="6469" priority="77085" operator="containsText" text="NA">
      <formula>NOT(ISERROR(SEARCH("NA",#REF!)))</formula>
    </cfRule>
    <cfRule type="containsText" dxfId="6468" priority="77084" operator="containsText" text="Pending">
      <formula>NOT(ISERROR(SEARCH("Pending",#REF!)))</formula>
    </cfRule>
    <cfRule type="containsText" dxfId="6467" priority="77083" operator="containsText" text="Done">
      <formula>NOT(ISERROR(SEARCH("Done",#REF!)))</formula>
    </cfRule>
    <cfRule type="containsText" dxfId="6466" priority="77082" operator="containsText" text="NA">
      <formula>NOT(ISERROR(SEARCH("NA",#REF!)))</formula>
    </cfRule>
    <cfRule type="containsText" dxfId="6465" priority="77081" operator="containsText" text="NA">
      <formula>NOT(ISERROR(SEARCH("NA",#REF!)))</formula>
    </cfRule>
    <cfRule type="containsText" dxfId="6464" priority="77080" operator="containsText" text="Pending">
      <formula>NOT(ISERROR(SEARCH("Pending",#REF!)))</formula>
    </cfRule>
    <cfRule type="containsText" dxfId="6463" priority="77079" operator="containsText" text="Done">
      <formula>NOT(ISERROR(SEARCH("Done",#REF!)))</formula>
    </cfRule>
    <cfRule type="containsText" dxfId="6462" priority="77078" operator="containsText" text="NA">
      <formula>NOT(ISERROR(SEARCH("NA",#REF!)))</formula>
    </cfRule>
    <cfRule type="containsText" dxfId="6461" priority="77077" operator="containsText" text="NA">
      <formula>NOT(ISERROR(SEARCH("NA",#REF!)))</formula>
    </cfRule>
    <cfRule type="containsText" dxfId="6460" priority="77076" operator="containsText" text="Pending">
      <formula>NOT(ISERROR(SEARCH("Pending",#REF!)))</formula>
    </cfRule>
    <cfRule type="containsText" dxfId="6459" priority="77075" operator="containsText" text="Done">
      <formula>NOT(ISERROR(SEARCH("Done",#REF!)))</formula>
    </cfRule>
    <cfRule type="containsText" dxfId="6458" priority="77074" operator="containsText" text="NA">
      <formula>NOT(ISERROR(SEARCH("NA",#REF!)))</formula>
    </cfRule>
    <cfRule type="containsText" dxfId="6457" priority="77073" operator="containsText" text="NA">
      <formula>NOT(ISERROR(SEARCH("NA",#REF!)))</formula>
    </cfRule>
    <cfRule type="containsText" dxfId="6456" priority="77072" operator="containsText" text="Pending">
      <formula>NOT(ISERROR(SEARCH("Pending",#REF!)))</formula>
    </cfRule>
    <cfRule type="containsText" dxfId="6455" priority="77071" operator="containsText" text="Done">
      <formula>NOT(ISERROR(SEARCH("Done",#REF!)))</formula>
    </cfRule>
    <cfRule type="containsText" dxfId="6454" priority="77070" operator="containsText" text="NA">
      <formula>NOT(ISERROR(SEARCH("NA",#REF!)))</formula>
    </cfRule>
    <cfRule type="containsText" dxfId="6453" priority="77069" operator="containsText" text="Done">
      <formula>NOT(ISERROR(SEARCH("Done",Y29)))</formula>
    </cfRule>
    <cfRule type="containsText" dxfId="6452" priority="77068" operator="containsText" text="Pending">
      <formula>NOT(ISERROR(SEARCH("Pending",Y29)))</formula>
    </cfRule>
    <cfRule type="containsText" dxfId="6451" priority="77067" operator="containsText" text="NA">
      <formula>NOT(ISERROR(SEARCH("NA",Y29)))</formula>
    </cfRule>
    <cfRule type="containsText" dxfId="6450" priority="123462" operator="containsText" text="NA">
      <formula>NOT(ISERROR(SEARCH("NA",Y29)))</formula>
    </cfRule>
    <cfRule type="containsText" dxfId="6449" priority="123463" operator="containsText" text="Pending">
      <formula>NOT(ISERROR(SEARCH("Pending",Y29)))</formula>
    </cfRule>
    <cfRule type="containsText" dxfId="6448" priority="123464" operator="containsText" text="Done">
      <formula>NOT(ISERROR(SEARCH("Done",Y29)))</formula>
    </cfRule>
    <cfRule type="containsText" dxfId="6447" priority="123465" operator="containsText" text="NA">
      <formula>NOT(ISERROR(SEARCH("NA",#REF!)))</formula>
    </cfRule>
    <cfRule type="containsText" dxfId="6446" priority="123466" operator="containsText" text="Done">
      <formula>NOT(ISERROR(SEARCH("Done",#REF!)))</formula>
    </cfRule>
    <cfRule type="containsText" dxfId="6445" priority="123467" operator="containsText" text="Pending">
      <formula>NOT(ISERROR(SEARCH("Pending",#REF!)))</formula>
    </cfRule>
    <cfRule type="containsText" dxfId="6444" priority="123468" operator="containsText" text="NA">
      <formula>NOT(ISERROR(SEARCH("NA",#REF!)))</formula>
    </cfRule>
    <cfRule type="containsText" dxfId="6443" priority="118968" operator="containsText" text="NA">
      <formula>NOT(ISERROR(SEARCH("NA",#REF!)))</formula>
    </cfRule>
    <cfRule type="containsText" dxfId="6442" priority="118967" operator="containsText" text="Pending">
      <formula>NOT(ISERROR(SEARCH("Pending",#REF!)))</formula>
    </cfRule>
    <cfRule type="containsText" dxfId="6441" priority="118966" operator="containsText" text="Done">
      <formula>NOT(ISERROR(SEARCH("Done",#REF!)))</formula>
    </cfRule>
    <cfRule type="containsText" dxfId="6440" priority="118965" operator="containsText" text="NA">
      <formula>NOT(ISERROR(SEARCH("NA",#REF!)))</formula>
    </cfRule>
    <cfRule type="containsText" dxfId="6439" priority="118964" operator="containsText" text="Done">
      <formula>NOT(ISERROR(SEARCH("Done",Y29)))</formula>
    </cfRule>
    <cfRule type="containsText" dxfId="6438" priority="118963" operator="containsText" text="Pending">
      <formula>NOT(ISERROR(SEARCH("Pending",Y29)))</formula>
    </cfRule>
  </conditionalFormatting>
  <conditionalFormatting sqref="Y30">
    <cfRule type="containsText" dxfId="6437" priority="76989" operator="containsText" text="NA">
      <formula>NOT(ISERROR(SEARCH("NA",#REF!)))</formula>
    </cfRule>
    <cfRule type="containsText" dxfId="6436" priority="76988" operator="containsText" text="Pending">
      <formula>NOT(ISERROR(SEARCH("Pending",#REF!)))</formula>
    </cfRule>
    <cfRule type="containsText" dxfId="6435" priority="76987" operator="containsText" text="Done">
      <formula>NOT(ISERROR(SEARCH("Done",#REF!)))</formula>
    </cfRule>
    <cfRule type="containsText" dxfId="6434" priority="76986" operator="containsText" text="NA">
      <formula>NOT(ISERROR(SEARCH("NA",#REF!)))</formula>
    </cfRule>
    <cfRule type="containsText" dxfId="6433" priority="76985" operator="containsText" text="Pending">
      <formula>NOT(ISERROR(SEARCH("Pending",#REF!)))</formula>
    </cfRule>
    <cfRule type="containsText" dxfId="6432" priority="76984" operator="containsText" text="Done">
      <formula>NOT(ISERROR(SEARCH("Done",#REF!)))</formula>
    </cfRule>
    <cfRule type="containsText" dxfId="6431" priority="76983" operator="containsText" text="NA">
      <formula>NOT(ISERROR(SEARCH("NA",#REF!)))</formula>
    </cfRule>
    <cfRule type="containsText" dxfId="6430" priority="76982" operator="containsText" text="NA">
      <formula>NOT(ISERROR(SEARCH("NA",#REF!)))</formula>
    </cfRule>
    <cfRule type="containsText" dxfId="6429" priority="76981" operator="containsText" text="Pending">
      <formula>NOT(ISERROR(SEARCH("Pending",#REF!)))</formula>
    </cfRule>
    <cfRule type="containsText" dxfId="6428" priority="76980" operator="containsText" text="Done">
      <formula>NOT(ISERROR(SEARCH("Done",#REF!)))</formula>
    </cfRule>
    <cfRule type="containsText" dxfId="6427" priority="76979" operator="containsText" text="NA">
      <formula>NOT(ISERROR(SEARCH("NA",#REF!)))</formula>
    </cfRule>
    <cfRule type="containsText" dxfId="6426" priority="4655" operator="containsText" text="NA">
      <formula>NOT(ISERROR(SEARCH("NA",#REF!)))</formula>
    </cfRule>
    <cfRule type="containsText" dxfId="6425" priority="4654" operator="containsText" text="Pending">
      <formula>NOT(ISERROR(SEARCH("Pending",#REF!)))</formula>
    </cfRule>
    <cfRule type="containsText" dxfId="6424" priority="4653" operator="containsText" text="Done">
      <formula>NOT(ISERROR(SEARCH("Done",#REF!)))</formula>
    </cfRule>
    <cfRule type="containsText" dxfId="6423" priority="4652" operator="containsText" text="NA">
      <formula>NOT(ISERROR(SEARCH("NA",#REF!)))</formula>
    </cfRule>
    <cfRule type="containsText" dxfId="6422" priority="4651" operator="containsText" text="NA">
      <formula>NOT(ISERROR(SEARCH("NA",#REF!)))</formula>
    </cfRule>
    <cfRule type="containsText" dxfId="6421" priority="4650" operator="containsText" text="Pending">
      <formula>NOT(ISERROR(SEARCH("Pending",#REF!)))</formula>
    </cfRule>
    <cfRule type="containsText" dxfId="6420" priority="4649" operator="containsText" text="NA">
      <formula>NOT(ISERROR(SEARCH("NA",#REF!)))</formula>
    </cfRule>
    <cfRule type="containsText" dxfId="6419" priority="4648" operator="containsText" text="Pending">
      <formula>NOT(ISERROR(SEARCH("Pending",#REF!)))</formula>
    </cfRule>
    <cfRule type="containsText" dxfId="6418" priority="4647" operator="containsText" text="Done">
      <formula>NOT(ISERROR(SEARCH("Done",#REF!)))</formula>
    </cfRule>
    <cfRule type="containsText" dxfId="6417" priority="4646" operator="containsText" text="NA">
      <formula>NOT(ISERROR(SEARCH("NA",#REF!)))</formula>
    </cfRule>
    <cfRule type="containsText" dxfId="6416" priority="4645" operator="containsText" text="Done">
      <formula>NOT(ISERROR(SEARCH("Done",Y30)))</formula>
    </cfRule>
    <cfRule type="containsText" dxfId="6415" priority="4644" operator="containsText" text="Pending">
      <formula>NOT(ISERROR(SEARCH("Pending",Y30)))</formula>
    </cfRule>
    <cfRule type="containsText" dxfId="6414" priority="4643" operator="containsText" text="NA">
      <formula>NOT(ISERROR(SEARCH("NA",Y30)))</formula>
    </cfRule>
    <cfRule type="containsText" dxfId="6413" priority="4642" operator="containsText" text="Done">
      <formula>NOT(ISERROR(SEARCH("Done",#REF!)))</formula>
    </cfRule>
    <cfRule type="containsText" dxfId="6412" priority="4641" operator="containsText" text="NA">
      <formula>NOT(ISERROR(SEARCH("NA",#REF!)))</formula>
    </cfRule>
    <cfRule type="containsText" dxfId="6411" priority="4640" operator="containsText" text="Pending">
      <formula>NOT(ISERROR(SEARCH("Pending",#REF!)))</formula>
    </cfRule>
    <cfRule type="containsText" dxfId="6410" priority="4639" operator="containsText" text="Done">
      <formula>NOT(ISERROR(SEARCH("Done",#REF!)))</formula>
    </cfRule>
    <cfRule type="containsText" dxfId="6409" priority="4638" operator="containsText" text="NA">
      <formula>NOT(ISERROR(SEARCH("NA",#REF!)))</formula>
    </cfRule>
    <cfRule type="containsText" dxfId="6408" priority="4637" operator="containsText" text="NA">
      <formula>NOT(ISERROR(SEARCH("NA",#REF!)))</formula>
    </cfRule>
    <cfRule type="containsText" dxfId="6407" priority="4636" operator="containsText" text="Pending">
      <formula>NOT(ISERROR(SEARCH("Pending",#REF!)))</formula>
    </cfRule>
    <cfRule type="containsText" dxfId="6406" priority="77025" operator="containsText" text="NA">
      <formula>NOT(ISERROR(SEARCH("NA",#REF!)))</formula>
    </cfRule>
    <cfRule type="containsText" dxfId="6405" priority="77024" operator="containsText" text="Pending">
      <formula>NOT(ISERROR(SEARCH("Pending",#REF!)))</formula>
    </cfRule>
    <cfRule type="containsText" dxfId="6404" priority="77023" operator="containsText" text="Done">
      <formula>NOT(ISERROR(SEARCH("Done",#REF!)))</formula>
    </cfRule>
    <cfRule type="containsText" dxfId="6403" priority="77022" operator="containsText" text="NA">
      <formula>NOT(ISERROR(SEARCH("NA",#REF!)))</formula>
    </cfRule>
    <cfRule type="containsText" dxfId="6402" priority="77021" operator="containsText" text="NA">
      <formula>NOT(ISERROR(SEARCH("NA",#REF!)))</formula>
    </cfRule>
    <cfRule type="containsText" dxfId="6401" priority="77020" operator="containsText" text="Pending">
      <formula>NOT(ISERROR(SEARCH("Pending",#REF!)))</formula>
    </cfRule>
    <cfRule type="containsText" dxfId="6400" priority="77019" operator="containsText" text="NA">
      <formula>NOT(ISERROR(SEARCH("NA",#REF!)))</formula>
    </cfRule>
    <cfRule type="containsText" dxfId="6399" priority="4635" operator="containsText" text="Done">
      <formula>NOT(ISERROR(SEARCH("Done",#REF!)))</formula>
    </cfRule>
    <cfRule type="containsText" dxfId="6398" priority="4634" operator="containsText" text="NA">
      <formula>NOT(ISERROR(SEARCH("NA",#REF!)))</formula>
    </cfRule>
    <cfRule type="containsText" dxfId="6397" priority="4573" operator="containsText" text="NA">
      <formula>NOT(ISERROR(SEARCH("NA",#REF!)))</formula>
    </cfRule>
    <cfRule type="containsText" dxfId="6396" priority="4633" operator="containsText" text="Pending">
      <formula>NOT(ISERROR(SEARCH("Pending",#REF!)))</formula>
    </cfRule>
    <cfRule type="containsText" dxfId="6395" priority="4632" operator="containsText" text="Done">
      <formula>NOT(ISERROR(SEARCH("Done",#REF!)))</formula>
    </cfRule>
    <cfRule type="containsText" dxfId="6394" priority="4631" operator="containsText" text="NA">
      <formula>NOT(ISERROR(SEARCH("NA",#REF!)))</formula>
    </cfRule>
    <cfRule type="containsText" dxfId="6393" priority="4630" operator="containsText" text="NA">
      <formula>NOT(ISERROR(SEARCH("NA",#REF!)))</formula>
    </cfRule>
    <cfRule type="containsText" dxfId="6392" priority="4629" operator="containsText" text="Pending">
      <formula>NOT(ISERROR(SEARCH("Pending",#REF!)))</formula>
    </cfRule>
    <cfRule type="containsText" dxfId="6391" priority="4628" operator="containsText" text="Done">
      <formula>NOT(ISERROR(SEARCH("Done",#REF!)))</formula>
    </cfRule>
    <cfRule type="containsText" dxfId="6390" priority="4627" operator="containsText" text="NA">
      <formula>NOT(ISERROR(SEARCH("NA",#REF!)))</formula>
    </cfRule>
    <cfRule type="containsText" dxfId="6389" priority="4626" operator="containsText" text="Pending">
      <formula>NOT(ISERROR(SEARCH("Pending",#REF!)))</formula>
    </cfRule>
    <cfRule type="containsText" dxfId="6388" priority="4625" operator="containsText" text="Done">
      <formula>NOT(ISERROR(SEARCH("Done",#REF!)))</formula>
    </cfRule>
    <cfRule type="containsText" dxfId="6387" priority="4624" operator="containsText" text="NA">
      <formula>NOT(ISERROR(SEARCH("NA",#REF!)))</formula>
    </cfRule>
    <cfRule type="containsText" dxfId="6386" priority="4623" operator="containsText" text="NA">
      <formula>NOT(ISERROR(SEARCH("NA",#REF!)))</formula>
    </cfRule>
    <cfRule type="containsText" dxfId="6385" priority="4622" operator="containsText" text="Pending">
      <formula>NOT(ISERROR(SEARCH("Pending",#REF!)))</formula>
    </cfRule>
    <cfRule type="containsText" dxfId="6384" priority="4621" operator="containsText" text="Done">
      <formula>NOT(ISERROR(SEARCH("Done",#REF!)))</formula>
    </cfRule>
    <cfRule type="containsText" dxfId="6383" priority="4620" operator="containsText" text="NA">
      <formula>NOT(ISERROR(SEARCH("NA",#REF!)))</formula>
    </cfRule>
    <cfRule type="containsText" dxfId="6382" priority="4618" operator="containsText" text="Pending">
      <formula>NOT(ISERROR(SEARCH("Pending",#REF!)))</formula>
    </cfRule>
    <cfRule type="containsText" dxfId="6381" priority="4617" operator="containsText" text="Done">
      <formula>NOT(ISERROR(SEARCH("Done",#REF!)))</formula>
    </cfRule>
    <cfRule type="containsText" dxfId="6380" priority="4616" operator="containsText" text="NA">
      <formula>NOT(ISERROR(SEARCH("NA",#REF!)))</formula>
    </cfRule>
    <cfRule type="containsText" dxfId="6379" priority="4615" operator="containsText" text="NA">
      <formula>NOT(ISERROR(SEARCH("NA",#REF!)))</formula>
    </cfRule>
    <cfRule type="containsText" dxfId="6378" priority="4614" operator="containsText" text="Pending">
      <formula>NOT(ISERROR(SEARCH("Pending",#REF!)))</formula>
    </cfRule>
    <cfRule type="containsText" dxfId="6377" priority="4613" operator="containsText" text="Done">
      <formula>NOT(ISERROR(SEARCH("Done",#REF!)))</formula>
    </cfRule>
    <cfRule type="containsText" dxfId="6376" priority="4612" operator="containsText" text="NA">
      <formula>NOT(ISERROR(SEARCH("NA",#REF!)))</formula>
    </cfRule>
    <cfRule type="containsText" dxfId="6375" priority="4611" operator="containsText" text="Pending">
      <formula>NOT(ISERROR(SEARCH("Pending",#REF!)))</formula>
    </cfRule>
    <cfRule type="containsText" dxfId="6374" priority="4610" operator="containsText" text="Done">
      <formula>NOT(ISERROR(SEARCH("Done",#REF!)))</formula>
    </cfRule>
    <cfRule type="containsText" dxfId="6373" priority="4609" operator="containsText" text="NA">
      <formula>NOT(ISERROR(SEARCH("NA",#REF!)))</formula>
    </cfRule>
    <cfRule type="containsText" dxfId="6372" priority="4588" operator="containsText" text="NA">
      <formula>NOT(ISERROR(SEARCH("NA",#REF!)))</formula>
    </cfRule>
    <cfRule type="containsText" dxfId="6371" priority="4587" operator="containsText" text="NA">
      <formula>NOT(ISERROR(SEARCH("NA",#REF!)))</formula>
    </cfRule>
    <cfRule type="containsText" dxfId="6370" priority="4586" operator="containsText" text="Pending">
      <formula>NOT(ISERROR(SEARCH("Pending",#REF!)))</formula>
    </cfRule>
    <cfRule type="containsText" dxfId="6369" priority="4585" operator="containsText" text="Done">
      <formula>NOT(ISERROR(SEARCH("Done",#REF!)))</formula>
    </cfRule>
    <cfRule type="containsText" dxfId="6368" priority="4584" operator="containsText" text="NA">
      <formula>NOT(ISERROR(SEARCH("NA",#REF!)))</formula>
    </cfRule>
    <cfRule type="containsText" dxfId="6367" priority="4583" operator="containsText" text="NA">
      <formula>NOT(ISERROR(SEARCH("NA",#REF!)))</formula>
    </cfRule>
    <cfRule type="containsText" dxfId="6366" priority="4582" operator="containsText" text="Pending">
      <formula>NOT(ISERROR(SEARCH("Pending",#REF!)))</formula>
    </cfRule>
    <cfRule type="containsText" dxfId="6365" priority="4581" operator="containsText" text="Done">
      <formula>NOT(ISERROR(SEARCH("Done",#REF!)))</formula>
    </cfRule>
    <cfRule type="containsText" dxfId="6364" priority="4580" operator="containsText" text="NA">
      <formula>NOT(ISERROR(SEARCH("NA",#REF!)))</formula>
    </cfRule>
    <cfRule type="containsText" dxfId="6363" priority="4579" operator="containsText" text="Pending">
      <formula>NOT(ISERROR(SEARCH("Pending",#REF!)))</formula>
    </cfRule>
    <cfRule type="containsText" dxfId="6362" priority="4578" operator="containsText" text="Done">
      <formula>NOT(ISERROR(SEARCH("Done",#REF!)))</formula>
    </cfRule>
    <cfRule type="containsText" dxfId="6361" priority="4577" operator="containsText" text="NA">
      <formula>NOT(ISERROR(SEARCH("NA",#REF!)))</formula>
    </cfRule>
    <cfRule type="containsText" dxfId="6360" priority="4576" operator="containsText" text="NA">
      <formula>NOT(ISERROR(SEARCH("NA",#REF!)))</formula>
    </cfRule>
    <cfRule type="containsText" dxfId="6359" priority="4575" operator="containsText" text="Pending">
      <formula>NOT(ISERROR(SEARCH("Pending",#REF!)))</formula>
    </cfRule>
    <cfRule type="containsText" dxfId="6358" priority="4574" operator="containsText" text="Done">
      <formula>NOT(ISERROR(SEARCH("Done",#REF!)))</formula>
    </cfRule>
    <cfRule type="containsText" dxfId="6357" priority="4608" operator="containsText" text="Done">
      <formula>NOT(ISERROR(SEARCH("Done",Y30)))</formula>
    </cfRule>
    <cfRule type="containsText" dxfId="6356" priority="4572" operator="containsText" text="NA">
      <formula>NOT(ISERROR(SEARCH("NA",#REF!)))</formula>
    </cfRule>
    <cfRule type="containsText" dxfId="6355" priority="4571" operator="containsText" text="Pending">
      <formula>NOT(ISERROR(SEARCH("Pending",#REF!)))</formula>
    </cfRule>
    <cfRule type="containsText" dxfId="6354" priority="4570" operator="containsText" text="Done">
      <formula>NOT(ISERROR(SEARCH("Done",#REF!)))</formula>
    </cfRule>
    <cfRule type="containsText" dxfId="6353" priority="4569" operator="containsText" text="NA">
      <formula>NOT(ISERROR(SEARCH("NA",#REF!)))</formula>
    </cfRule>
    <cfRule type="containsText" dxfId="6352" priority="4567" operator="containsText" text="Pending">
      <formula>NOT(ISERROR(SEARCH("Pending",#REF!)))</formula>
    </cfRule>
    <cfRule type="containsText" dxfId="6351" priority="4566" operator="containsText" text="Done">
      <formula>NOT(ISERROR(SEARCH("Done",#REF!)))</formula>
    </cfRule>
    <cfRule type="containsText" dxfId="6350" priority="4565" operator="containsText" text="NA">
      <formula>NOT(ISERROR(SEARCH("NA",#REF!)))</formula>
    </cfRule>
    <cfRule type="containsText" dxfId="6349" priority="4607" operator="containsText" text="NA">
      <formula>NOT(ISERROR(SEARCH("NA",Y30)))</formula>
    </cfRule>
    <cfRule type="containsText" dxfId="6348" priority="4606" operator="containsText" text="NA">
      <formula>NOT(ISERROR(SEARCH("NA",#REF!)))</formula>
    </cfRule>
    <cfRule type="containsText" dxfId="6347" priority="4605" operator="containsText" text="NA">
      <formula>NOT(ISERROR(SEARCH("NA",#REF!)))</formula>
    </cfRule>
    <cfRule type="containsText" dxfId="6346" priority="4604" operator="containsText" text="Pending">
      <formula>NOT(ISERROR(SEARCH("Pending",#REF!)))</formula>
    </cfRule>
    <cfRule type="containsText" dxfId="6345" priority="4603" operator="containsText" text="Done">
      <formula>NOT(ISERROR(SEARCH("Done",#REF!)))</formula>
    </cfRule>
    <cfRule type="containsText" dxfId="6344" priority="4602" operator="containsText" text="NA">
      <formula>NOT(ISERROR(SEARCH("NA",#REF!)))</formula>
    </cfRule>
    <cfRule type="containsText" dxfId="6343" priority="4600" operator="containsText" text="Done">
      <formula>NOT(ISERROR(SEARCH("Done",#REF!)))</formula>
    </cfRule>
    <cfRule type="containsText" dxfId="6342" priority="4599" operator="containsText" text="NA">
      <formula>NOT(ISERROR(SEARCH("NA",#REF!)))</formula>
    </cfRule>
    <cfRule type="containsText" dxfId="6341" priority="5171" operator="containsText" text="Done">
      <formula>NOT(ISERROR(SEARCH("Done",#REF!)))</formula>
    </cfRule>
    <cfRule type="containsText" dxfId="6340" priority="5170" operator="containsText" text="NA">
      <formula>NOT(ISERROR(SEARCH("NA",#REF!)))</formula>
    </cfRule>
    <cfRule type="containsText" dxfId="6339" priority="5169" operator="containsText" text="Pending">
      <formula>NOT(ISERROR(SEARCH("Pending",#REF!)))</formula>
    </cfRule>
    <cfRule type="containsText" dxfId="6338" priority="5168" operator="containsText" text="Done">
      <formula>NOT(ISERROR(SEARCH("Done",#REF!)))</formula>
    </cfRule>
    <cfRule type="containsText" dxfId="6337" priority="5167" operator="containsText" text="NA">
      <formula>NOT(ISERROR(SEARCH("NA",#REF!)))</formula>
    </cfRule>
    <cfRule type="containsText" dxfId="6336" priority="5166" operator="containsText" text="NA">
      <formula>NOT(ISERROR(SEARCH("NA",#REF!)))</formula>
    </cfRule>
    <cfRule type="containsText" dxfId="6335" priority="4598" operator="containsText" text="NA">
      <formula>NOT(ISERROR(SEARCH("NA",#REF!)))</formula>
    </cfRule>
    <cfRule type="containsText" dxfId="6334" priority="4597" operator="containsText" text="Pending">
      <formula>NOT(ISERROR(SEARCH("Pending",#REF!)))</formula>
    </cfRule>
    <cfRule type="containsText" dxfId="6333" priority="4596" operator="containsText" text="Done">
      <formula>NOT(ISERROR(SEARCH("Done",#REF!)))</formula>
    </cfRule>
    <cfRule type="containsText" dxfId="6332" priority="4595" operator="containsText" text="NA">
      <formula>NOT(ISERROR(SEARCH("NA",#REF!)))</formula>
    </cfRule>
    <cfRule type="containsText" dxfId="6331" priority="4594" operator="containsText" text="NA">
      <formula>NOT(ISERROR(SEARCH("NA",#REF!)))</formula>
    </cfRule>
    <cfRule type="containsText" dxfId="6330" priority="77018" operator="containsText" text="Pending">
      <formula>NOT(ISERROR(SEARCH("Pending",#REF!)))</formula>
    </cfRule>
    <cfRule type="containsText" dxfId="6329" priority="4592" operator="containsText" text="Done">
      <formula>NOT(ISERROR(SEARCH("Done",#REF!)))</formula>
    </cfRule>
    <cfRule type="containsText" dxfId="6328" priority="4591" operator="containsText" text="NA">
      <formula>NOT(ISERROR(SEARCH("NA",#REF!)))</formula>
    </cfRule>
    <cfRule type="containsText" dxfId="6327" priority="4590" operator="containsText" text="Pending">
      <formula>NOT(ISERROR(SEARCH("Pending",#REF!)))</formula>
    </cfRule>
    <cfRule type="containsText" dxfId="6326" priority="4589" operator="containsText" text="Done">
      <formula>NOT(ISERROR(SEARCH("Done",#REF!)))</formula>
    </cfRule>
    <cfRule type="containsText" dxfId="6325" priority="77017" operator="containsText" text="Done">
      <formula>NOT(ISERROR(SEARCH("Done",#REF!)))</formula>
    </cfRule>
    <cfRule type="containsText" dxfId="6324" priority="77016" operator="containsText" text="NA">
      <formula>NOT(ISERROR(SEARCH("NA",#REF!)))</formula>
    </cfRule>
    <cfRule type="containsText" dxfId="6323" priority="77015" operator="containsText" text="Done">
      <formula>NOT(ISERROR(SEARCH("Done",Y30)))</formula>
    </cfRule>
    <cfRule type="containsText" dxfId="6322" priority="5165" operator="containsText" text="Pending">
      <formula>NOT(ISERROR(SEARCH("Pending",#REF!)))</formula>
    </cfRule>
    <cfRule type="containsText" dxfId="6321" priority="5164" operator="containsText" text="Done">
      <formula>NOT(ISERROR(SEARCH("Done",#REF!)))</formula>
    </cfRule>
    <cfRule type="containsText" dxfId="6320" priority="5163" operator="containsText" text="NA">
      <formula>NOT(ISERROR(SEARCH("NA",#REF!)))</formula>
    </cfRule>
    <cfRule type="containsText" dxfId="6319" priority="77014" operator="containsText" text="Pending">
      <formula>NOT(ISERROR(SEARCH("Pending",Y30)))</formula>
    </cfRule>
    <cfRule type="containsText" dxfId="6318" priority="5194" operator="containsText" text="NA">
      <formula>NOT(ISERROR(SEARCH("NA",#REF!)))</formula>
    </cfRule>
    <cfRule type="containsText" dxfId="6317" priority="5193" operator="containsText" text="Pending">
      <formula>NOT(ISERROR(SEARCH("Pending",#REF!)))</formula>
    </cfRule>
    <cfRule type="containsText" dxfId="6316" priority="77013" operator="containsText" text="NA">
      <formula>NOT(ISERROR(SEARCH("NA",Y30)))</formula>
    </cfRule>
    <cfRule type="containsText" dxfId="6315" priority="77012" operator="containsText" text="NA">
      <formula>NOT(ISERROR(SEARCH("NA",#REF!)))</formula>
    </cfRule>
    <cfRule type="containsText" dxfId="6314" priority="77011" operator="containsText" text="Pending">
      <formula>NOT(ISERROR(SEARCH("Pending",#REF!)))</formula>
    </cfRule>
    <cfRule type="containsText" dxfId="6313" priority="77010" operator="containsText" text="Done">
      <formula>NOT(ISERROR(SEARCH("Done",#REF!)))</formula>
    </cfRule>
    <cfRule type="containsText" dxfId="6312" priority="77009" operator="containsText" text="NA">
      <formula>NOT(ISERROR(SEARCH("NA",#REF!)))</formula>
    </cfRule>
    <cfRule type="containsText" dxfId="6311" priority="77008" operator="containsText" text="NA">
      <formula>NOT(ISERROR(SEARCH("NA",#REF!)))</formula>
    </cfRule>
    <cfRule type="containsText" dxfId="6310" priority="77007" operator="containsText" text="Pending">
      <formula>NOT(ISERROR(SEARCH("Pending",#REF!)))</formula>
    </cfRule>
    <cfRule type="containsText" dxfId="6309" priority="77006" operator="containsText" text="Done">
      <formula>NOT(ISERROR(SEARCH("Done",#REF!)))</formula>
    </cfRule>
    <cfRule type="containsText" dxfId="6308" priority="77005" operator="containsText" text="NA">
      <formula>NOT(ISERROR(SEARCH("NA",#REF!)))</formula>
    </cfRule>
    <cfRule type="containsText" dxfId="6307" priority="77004" operator="containsText" text="Pending">
      <formula>NOT(ISERROR(SEARCH("Pending",#REF!)))</formula>
    </cfRule>
    <cfRule type="containsText" dxfId="6306" priority="77003" operator="containsText" text="Done">
      <formula>NOT(ISERROR(SEARCH("Done",#REF!)))</formula>
    </cfRule>
    <cfRule type="containsText" dxfId="6305" priority="77002" operator="containsText" text="NA">
      <formula>NOT(ISERROR(SEARCH("NA",#REF!)))</formula>
    </cfRule>
    <cfRule type="containsText" dxfId="6304" priority="5172" operator="containsText" text="Pending">
      <formula>NOT(ISERROR(SEARCH("Pending",#REF!)))</formula>
    </cfRule>
    <cfRule type="containsText" dxfId="6303" priority="5173" operator="containsText" text="NA">
      <formula>NOT(ISERROR(SEARCH("NA",#REF!)))</formula>
    </cfRule>
    <cfRule type="containsText" dxfId="6302" priority="5174" operator="containsText" text="NA">
      <formula>NOT(ISERROR(SEARCH("NA",#REF!)))</formula>
    </cfRule>
    <cfRule type="containsText" dxfId="6301" priority="5175" operator="containsText" text="Done">
      <formula>NOT(ISERROR(SEARCH("Done",#REF!)))</formula>
    </cfRule>
    <cfRule type="containsText" dxfId="6300" priority="77001" operator="containsText" text="NA">
      <formula>NOT(ISERROR(SEARCH("NA",#REF!)))</formula>
    </cfRule>
    <cfRule type="containsText" dxfId="6299" priority="5176" operator="containsText" text="Pending">
      <formula>NOT(ISERROR(SEARCH("Pending",#REF!)))</formula>
    </cfRule>
    <cfRule type="containsText" dxfId="6298" priority="5177" operator="containsText" text="NA">
      <formula>NOT(ISERROR(SEARCH("NA",#REF!)))</formula>
    </cfRule>
    <cfRule type="containsText" dxfId="6297" priority="5178" operator="containsText" text="NA">
      <formula>NOT(ISERROR(SEARCH("NA",#REF!)))</formula>
    </cfRule>
    <cfRule type="containsText" dxfId="6296" priority="5179" operator="containsText" text="Done">
      <formula>NOT(ISERROR(SEARCH("Done",#REF!)))</formula>
    </cfRule>
    <cfRule type="containsText" dxfId="6295" priority="5180" operator="containsText" text="Pending">
      <formula>NOT(ISERROR(SEARCH("Pending",#REF!)))</formula>
    </cfRule>
    <cfRule type="containsText" dxfId="6294" priority="5181" operator="containsText" text="NA">
      <formula>NOT(ISERROR(SEARCH("NA",#REF!)))</formula>
    </cfRule>
    <cfRule type="containsText" dxfId="6293" priority="5182" operator="containsText" text="Done">
      <formula>NOT(ISERROR(SEARCH("Done",#REF!)))</formula>
    </cfRule>
    <cfRule type="containsText" dxfId="6292" priority="5183" operator="containsText" text="Pending">
      <formula>NOT(ISERROR(SEARCH("Pending",#REF!)))</formula>
    </cfRule>
    <cfRule type="containsText" dxfId="6291" priority="5184" operator="containsText" text="NA">
      <formula>NOT(ISERROR(SEARCH("NA",#REF!)))</formula>
    </cfRule>
    <cfRule type="containsText" dxfId="6290" priority="4593" operator="containsText" text="Pending">
      <formula>NOT(ISERROR(SEARCH("Pending",#REF!)))</formula>
    </cfRule>
    <cfRule type="containsText" dxfId="6289" priority="5185" operator="containsText" text="NA">
      <formula>NOT(ISERROR(SEARCH("NA",#REF!)))</formula>
    </cfRule>
    <cfRule type="containsText" dxfId="6288" priority="5186" operator="containsText" text="NA">
      <formula>NOT(ISERROR(SEARCH("NA",Y30)))</formula>
    </cfRule>
    <cfRule type="containsText" dxfId="6287" priority="77000" operator="containsText" text="Pending">
      <formula>NOT(ISERROR(SEARCH("Pending",#REF!)))</formula>
    </cfRule>
    <cfRule type="containsText" dxfId="6286" priority="76999" operator="containsText" text="Done">
      <formula>NOT(ISERROR(SEARCH("Done",#REF!)))</formula>
    </cfRule>
    <cfRule type="containsText" dxfId="6285" priority="76998" operator="containsText" text="NA">
      <formula>NOT(ISERROR(SEARCH("NA",#REF!)))</formula>
    </cfRule>
    <cfRule type="containsText" dxfId="6284" priority="76997" operator="containsText" text="NA">
      <formula>NOT(ISERROR(SEARCH("NA",#REF!)))</formula>
    </cfRule>
    <cfRule type="containsText" dxfId="6283" priority="76996" operator="containsText" text="Pending">
      <formula>NOT(ISERROR(SEARCH("Pending",#REF!)))</formula>
    </cfRule>
    <cfRule type="containsText" dxfId="6282" priority="76995" operator="containsText" text="Done">
      <formula>NOT(ISERROR(SEARCH("Done",#REF!)))</formula>
    </cfRule>
    <cfRule type="containsText" dxfId="6281" priority="76994" operator="containsText" text="NA">
      <formula>NOT(ISERROR(SEARCH("NA",#REF!)))</formula>
    </cfRule>
    <cfRule type="containsText" dxfId="6280" priority="76993" operator="containsText" text="NA">
      <formula>NOT(ISERROR(SEARCH("NA",#REF!)))</formula>
    </cfRule>
    <cfRule type="containsText" dxfId="6279" priority="76992" operator="containsText" text="Pending">
      <formula>NOT(ISERROR(SEARCH("Pending",#REF!)))</formula>
    </cfRule>
    <cfRule type="containsText" dxfId="6278" priority="76991" operator="containsText" text="Done">
      <formula>NOT(ISERROR(SEARCH("Done",#REF!)))</formula>
    </cfRule>
    <cfRule type="containsText" dxfId="6277" priority="76990" operator="containsText" text="NA">
      <formula>NOT(ISERROR(SEARCH("NA",#REF!)))</formula>
    </cfRule>
    <cfRule type="containsText" dxfId="6276" priority="4601" operator="containsText" text="Pending">
      <formula>NOT(ISERROR(SEARCH("Pending",#REF!)))</formula>
    </cfRule>
    <cfRule type="containsText" dxfId="6275" priority="5187" operator="containsText" text="Done">
      <formula>NOT(ISERROR(SEARCH("Done",Y30)))</formula>
    </cfRule>
    <cfRule type="containsText" dxfId="6274" priority="5188" operator="containsText" text="NA">
      <formula>NOT(ISERROR(SEARCH("NA",#REF!)))</formula>
    </cfRule>
    <cfRule type="containsText" dxfId="6273" priority="5189" operator="containsText" text="Done">
      <formula>NOT(ISERROR(SEARCH("Done",#REF!)))</formula>
    </cfRule>
    <cfRule type="containsText" dxfId="6272" priority="5190" operator="containsText" text="Pending">
      <formula>NOT(ISERROR(SEARCH("Pending",#REF!)))</formula>
    </cfRule>
    <cfRule type="containsText" dxfId="6271" priority="5192" operator="containsText" text="Done">
      <formula>NOT(ISERROR(SEARCH("Done",#REF!)))</formula>
    </cfRule>
    <cfRule type="containsText" dxfId="6270" priority="4568" operator="containsText" text="NA">
      <formula>NOT(ISERROR(SEARCH("NA",#REF!)))</formula>
    </cfRule>
    <cfRule type="containsText" dxfId="6269" priority="5191" operator="containsText" text="NA">
      <formula>NOT(ISERROR(SEARCH("NA",#REF!)))</formula>
    </cfRule>
    <cfRule type="containsText" dxfId="6268" priority="4619" operator="containsText" text="NA">
      <formula>NOT(ISERROR(SEARCH("NA",#REF!)))</formula>
    </cfRule>
    <cfRule type="containsText" dxfId="6267" priority="4666" operator="containsText" text="NA">
      <formula>NOT(ISERROR(SEARCH("NA",#REF!)))</formula>
    </cfRule>
    <cfRule type="containsText" dxfId="6266" priority="4665" operator="containsText" text="Pending">
      <formula>NOT(ISERROR(SEARCH("Pending",#REF!)))</formula>
    </cfRule>
    <cfRule type="containsText" dxfId="6265" priority="4664" operator="containsText" text="Done">
      <formula>NOT(ISERROR(SEARCH("Done",#REF!)))</formula>
    </cfRule>
    <cfRule type="containsText" dxfId="6264" priority="4663" operator="containsText" text="NA">
      <formula>NOT(ISERROR(SEARCH("NA",#REF!)))</formula>
    </cfRule>
    <cfRule type="containsText" dxfId="6263" priority="4662" operator="containsText" text="NA">
      <formula>NOT(ISERROR(SEARCH("NA",#REF!)))</formula>
    </cfRule>
    <cfRule type="containsText" dxfId="6262" priority="4661" operator="containsText" text="Pending">
      <formula>NOT(ISERROR(SEARCH("Pending",#REF!)))</formula>
    </cfRule>
    <cfRule type="containsText" dxfId="6261" priority="4660" operator="containsText" text="Done">
      <formula>NOT(ISERROR(SEARCH("Done",#REF!)))</formula>
    </cfRule>
    <cfRule type="containsText" dxfId="6260" priority="4659" operator="containsText" text="NA">
      <formula>NOT(ISERROR(SEARCH("NA",#REF!)))</formula>
    </cfRule>
    <cfRule type="containsText" dxfId="6259" priority="4658" operator="containsText" text="Pending">
      <formula>NOT(ISERROR(SEARCH("Pending",#REF!)))</formula>
    </cfRule>
    <cfRule type="containsText" dxfId="6258" priority="4657" operator="containsText" text="Done">
      <formula>NOT(ISERROR(SEARCH("Done",#REF!)))</formula>
    </cfRule>
    <cfRule type="containsText" dxfId="6257" priority="4656" operator="containsText" text="NA">
      <formula>NOT(ISERROR(SEARCH("NA",#REF!)))</formula>
    </cfRule>
  </conditionalFormatting>
  <conditionalFormatting sqref="Y30:Y32">
    <cfRule type="containsText" dxfId="6256" priority="123313" operator="containsText" text="NA">
      <formula>NOT(ISERROR(SEARCH("NA",Y30)))</formula>
    </cfRule>
    <cfRule type="containsText" dxfId="6255" priority="123308" operator="containsText" text="Done">
      <formula>NOT(ISERROR(SEARCH("Done",Y30)))</formula>
    </cfRule>
    <cfRule type="containsText" dxfId="6254" priority="124359" operator="containsText" text="NA">
      <formula>NOT(ISERROR(SEARCH("NA",#REF!)))</formula>
    </cfRule>
    <cfRule type="containsText" dxfId="6253" priority="124360" operator="containsText" text="Done">
      <formula>NOT(ISERROR(SEARCH("Done",#REF!)))</formula>
    </cfRule>
    <cfRule type="containsText" dxfId="6252" priority="123318" operator="containsText" text="Pending">
      <formula>NOT(ISERROR(SEARCH("Pending",#REF!)))</formula>
    </cfRule>
    <cfRule type="containsText" dxfId="6251" priority="123315" operator="containsText" text="Done">
      <formula>NOT(ISERROR(SEARCH("Done",Y30)))</formula>
    </cfRule>
    <cfRule type="containsText" dxfId="6250" priority="123314" operator="containsText" text="Pending">
      <formula>NOT(ISERROR(SEARCH("Pending",Y30)))</formula>
    </cfRule>
    <cfRule type="containsText" dxfId="6249" priority="124361" operator="containsText" text="Pending">
      <formula>NOT(ISERROR(SEARCH("Pending",#REF!)))</formula>
    </cfRule>
    <cfRule type="containsText" dxfId="6248" priority="123312" operator="containsText" text="NA">
      <formula>NOT(ISERROR(SEARCH("NA",#REF!)))</formula>
    </cfRule>
    <cfRule type="containsText" dxfId="6247" priority="123311" operator="containsText" text="Pending">
      <formula>NOT(ISERROR(SEARCH("Pending",#REF!)))</formula>
    </cfRule>
    <cfRule type="containsText" dxfId="6246" priority="123310" operator="containsText" text="Done">
      <formula>NOT(ISERROR(SEARCH("Done",#REF!)))</formula>
    </cfRule>
    <cfRule type="containsText" dxfId="6245" priority="123309" operator="containsText" text="NA">
      <formula>NOT(ISERROR(SEARCH("NA",#REF!)))</formula>
    </cfRule>
    <cfRule type="containsText" dxfId="6244" priority="124362" operator="containsText" text="NA">
      <formula>NOT(ISERROR(SEARCH("NA",#REF!)))</formula>
    </cfRule>
    <cfRule type="containsText" dxfId="6243" priority="123307" operator="containsText" text="NA">
      <formula>NOT(ISERROR(SEARCH("NA",Y30)))</formula>
    </cfRule>
    <cfRule type="containsText" dxfId="6242" priority="123319" operator="containsText" text="NA">
      <formula>NOT(ISERROR(SEARCH("NA",#REF!)))</formula>
    </cfRule>
    <cfRule type="containsText" dxfId="6241" priority="123316" operator="containsText" text="NA">
      <formula>NOT(ISERROR(SEARCH("NA",#REF!)))</formula>
    </cfRule>
  </conditionalFormatting>
  <conditionalFormatting sqref="Y31:Y32">
    <cfRule type="containsText" dxfId="6240" priority="77054" operator="containsText" text="Pending">
      <formula>NOT(ISERROR(SEARCH("Pending",Y31)))</formula>
    </cfRule>
    <cfRule type="containsText" dxfId="6239" priority="77055" operator="containsText" text="Done">
      <formula>NOT(ISERROR(SEARCH("Done",Y31)))</formula>
    </cfRule>
    <cfRule type="containsText" dxfId="6238" priority="77051" operator="containsText" text="Pending">
      <formula>NOT(ISERROR(SEARCH("Pending",#REF!)))</formula>
    </cfRule>
    <cfRule type="containsText" dxfId="6237" priority="77030" operator="containsText" text="Done">
      <formula>NOT(ISERROR(SEARCH("Done",#REF!)))</formula>
    </cfRule>
    <cfRule type="containsText" dxfId="6236" priority="77031" operator="containsText" text="Pending">
      <formula>NOT(ISERROR(SEARCH("Pending",#REF!)))</formula>
    </cfRule>
    <cfRule type="containsText" dxfId="6235" priority="77057" operator="containsText" text="Done">
      <formula>NOT(ISERROR(SEARCH("Done",#REF!)))</formula>
    </cfRule>
    <cfRule type="containsText" dxfId="6234" priority="77056" operator="containsText" text="NA">
      <formula>NOT(ISERROR(SEARCH("NA",#REF!)))</formula>
    </cfRule>
    <cfRule type="containsText" dxfId="6233" priority="77048" operator="containsText" text="NA">
      <formula>NOT(ISERROR(SEARCH("NA",#REF!)))</formula>
    </cfRule>
    <cfRule type="containsText" dxfId="6232" priority="5263" operator="containsText" text="NA">
      <formula>NOT(ISERROR(SEARCH("NA",#REF!)))</formula>
    </cfRule>
    <cfRule type="containsText" dxfId="6231" priority="5266" operator="containsText" text="NA">
      <formula>NOT(ISERROR(SEARCH("NA",#REF!)))</formula>
    </cfRule>
    <cfRule type="containsText" dxfId="6230" priority="77061" operator="containsText" text="Pending">
      <formula>NOT(ISERROR(SEARCH("Pending",Y31)))</formula>
    </cfRule>
    <cfRule type="containsText" dxfId="6229" priority="77062" operator="containsText" text="Done">
      <formula>NOT(ISERROR(SEARCH("Done",Y31)))</formula>
    </cfRule>
    <cfRule type="containsText" dxfId="6228" priority="77063" operator="containsText" text="NA">
      <formula>NOT(ISERROR(SEARCH("NA",#REF!)))</formula>
    </cfRule>
    <cfRule type="containsText" dxfId="6227" priority="77064" operator="containsText" text="Done">
      <formula>NOT(ISERROR(SEARCH("Done",#REF!)))</formula>
    </cfRule>
    <cfRule type="containsText" dxfId="6226" priority="5265" operator="containsText" text="Pending">
      <formula>NOT(ISERROR(SEARCH("Pending",#REF!)))</formula>
    </cfRule>
    <cfRule type="containsText" dxfId="6225" priority="77065" operator="containsText" text="Pending">
      <formula>NOT(ISERROR(SEARCH("Pending",#REF!)))</formula>
    </cfRule>
    <cfRule type="containsText" dxfId="6224" priority="77027" operator="containsText" text="Pending">
      <formula>NOT(ISERROR(SEARCH("Pending",Y31)))</formula>
    </cfRule>
    <cfRule type="containsText" dxfId="6223" priority="77028" operator="containsText" text="Done">
      <formula>NOT(ISERROR(SEARCH("Done",Y31)))</formula>
    </cfRule>
    <cfRule type="containsText" dxfId="6222" priority="77066" operator="containsText" text="NA">
      <formula>NOT(ISERROR(SEARCH("NA",#REF!)))</formula>
    </cfRule>
    <cfRule type="containsText" dxfId="6221" priority="77029" operator="containsText" text="NA">
      <formula>NOT(ISERROR(SEARCH("NA",#REF!)))</formula>
    </cfRule>
    <cfRule type="containsText" dxfId="6220" priority="77060" operator="containsText" text="NA">
      <formula>NOT(ISERROR(SEARCH("NA",Y31)))</formula>
    </cfRule>
    <cfRule type="containsText" dxfId="6219" priority="5264" operator="containsText" text="Done">
      <formula>NOT(ISERROR(SEARCH("Done",#REF!)))</formula>
    </cfRule>
    <cfRule type="containsText" dxfId="6218" priority="77058" operator="containsText" text="Pending">
      <formula>NOT(ISERROR(SEARCH("Pending",#REF!)))</formula>
    </cfRule>
    <cfRule type="containsText" dxfId="6217" priority="77059" operator="containsText" text="NA">
      <formula>NOT(ISERROR(SEARCH("NA",#REF!)))</formula>
    </cfRule>
    <cfRule type="containsText" dxfId="6216" priority="77052" operator="containsText" text="NA">
      <formula>NOT(ISERROR(SEARCH("NA",#REF!)))</formula>
    </cfRule>
    <cfRule type="containsText" dxfId="6215" priority="77053" operator="containsText" text="NA">
      <formula>NOT(ISERROR(SEARCH("NA",Y31)))</formula>
    </cfRule>
    <cfRule type="containsText" dxfId="6214" priority="77050" operator="containsText" text="Done">
      <formula>NOT(ISERROR(SEARCH("Done",#REF!)))</formula>
    </cfRule>
    <cfRule type="containsText" dxfId="6213" priority="77049" operator="containsText" text="NA">
      <formula>NOT(ISERROR(SEARCH("NA",#REF!)))</formula>
    </cfRule>
    <cfRule type="containsText" dxfId="6212" priority="77047" operator="containsText" text="Pending">
      <formula>NOT(ISERROR(SEARCH("Pending",#REF!)))</formula>
    </cfRule>
    <cfRule type="containsText" dxfId="6211" priority="77046" operator="containsText" text="Done">
      <formula>NOT(ISERROR(SEARCH("Done",#REF!)))</formula>
    </cfRule>
    <cfRule type="containsText" dxfId="6210" priority="77045" operator="containsText" text="NA">
      <formula>NOT(ISERROR(SEARCH("NA",#REF!)))</formula>
    </cfRule>
    <cfRule type="containsText" dxfId="6209" priority="77044" operator="containsText" text="NA">
      <formula>NOT(ISERROR(SEARCH("NA",#REF!)))</formula>
    </cfRule>
    <cfRule type="containsText" dxfId="6208" priority="77043" operator="containsText" text="Pending">
      <formula>NOT(ISERROR(SEARCH("Pending",#REF!)))</formula>
    </cfRule>
    <cfRule type="containsText" dxfId="6207" priority="77042" operator="containsText" text="Done">
      <formula>NOT(ISERROR(SEARCH("Done",#REF!)))</formula>
    </cfRule>
    <cfRule type="containsText" dxfId="6206" priority="77041" operator="containsText" text="NA">
      <formula>NOT(ISERROR(SEARCH("NA",#REF!)))</formula>
    </cfRule>
    <cfRule type="containsText" dxfId="6205" priority="77040" operator="containsText" text="NA">
      <formula>NOT(ISERROR(SEARCH("NA",#REF!)))</formula>
    </cfRule>
    <cfRule type="containsText" dxfId="6204" priority="77039" operator="containsText" text="Pending">
      <formula>NOT(ISERROR(SEARCH("Pending",#REF!)))</formula>
    </cfRule>
    <cfRule type="containsText" dxfId="6203" priority="77038" operator="containsText" text="Done">
      <formula>NOT(ISERROR(SEARCH("Done",#REF!)))</formula>
    </cfRule>
    <cfRule type="containsText" dxfId="6202" priority="77037" operator="containsText" text="NA">
      <formula>NOT(ISERROR(SEARCH("NA",#REF!)))</formula>
    </cfRule>
    <cfRule type="containsText" dxfId="6201" priority="77036" operator="containsText" text="NA">
      <formula>NOT(ISERROR(SEARCH("NA",#REF!)))</formula>
    </cfRule>
    <cfRule type="containsText" dxfId="6200" priority="77026" operator="containsText" text="NA">
      <formula>NOT(ISERROR(SEARCH("NA",Y31)))</formula>
    </cfRule>
    <cfRule type="containsText" dxfId="6199" priority="77035" operator="containsText" text="Pending">
      <formula>NOT(ISERROR(SEARCH("Pending",#REF!)))</formula>
    </cfRule>
    <cfRule type="containsText" dxfId="6198" priority="77034" operator="containsText" text="Done">
      <formula>NOT(ISERROR(SEARCH("Done",#REF!)))</formula>
    </cfRule>
    <cfRule type="containsText" dxfId="6197" priority="77033" operator="containsText" text="NA">
      <formula>NOT(ISERROR(SEARCH("NA",#REF!)))</formula>
    </cfRule>
    <cfRule type="containsText" dxfId="6196" priority="77032" operator="containsText" text="NA">
      <formula>NOT(ISERROR(SEARCH("NA",#REF!)))</formula>
    </cfRule>
  </conditionalFormatting>
  <conditionalFormatting sqref="Y51">
    <cfRule type="containsText" dxfId="6195" priority="75304" operator="containsText" text="Done">
      <formula>NOT(ISERROR(SEARCH("Done",#REF!)))</formula>
    </cfRule>
    <cfRule type="containsText" dxfId="6194" priority="75305" operator="containsText" text="Pending">
      <formula>NOT(ISERROR(SEARCH("Pending",#REF!)))</formula>
    </cfRule>
    <cfRule type="containsText" dxfId="6193" priority="75306" operator="containsText" text="NA">
      <formula>NOT(ISERROR(SEARCH("NA",#REF!)))</formula>
    </cfRule>
    <cfRule type="containsText" dxfId="6192" priority="75307" operator="containsText" text="Done">
      <formula>NOT(ISERROR(SEARCH("Done",V114)))</formula>
    </cfRule>
    <cfRule type="containsText" dxfId="6191" priority="75308" operator="containsText" text="Pending">
      <formula>NOT(ISERROR(SEARCH("Pending",V114)))</formula>
    </cfRule>
    <cfRule type="containsText" dxfId="6190" priority="75309" operator="containsText" text="NA">
      <formula>NOT(ISERROR(SEARCH("NA",V114)))</formula>
    </cfRule>
    <cfRule type="containsText" dxfId="6189" priority="75310" operator="containsText" text="Done">
      <formula>NOT(ISERROR(SEARCH("Done",#REF!)))</formula>
    </cfRule>
    <cfRule type="containsText" dxfId="6188" priority="75311" operator="containsText" text="Pending">
      <formula>NOT(ISERROR(SEARCH("Pending",#REF!)))</formula>
    </cfRule>
    <cfRule type="containsText" dxfId="6187" priority="75312" operator="containsText" text="NA">
      <formula>NOT(ISERROR(SEARCH("NA",#REF!)))</formula>
    </cfRule>
    <cfRule type="containsText" dxfId="6186" priority="75283" operator="containsText" text="NA">
      <formula>NOT(ISERROR(SEARCH("NA",#REF!)))</formula>
    </cfRule>
    <cfRule type="containsText" dxfId="6185" priority="75276" operator="containsText" text="Done">
      <formula>NOT(ISERROR(SEARCH("Done",V115)))</formula>
    </cfRule>
    <cfRule type="containsText" dxfId="6184" priority="75275" operator="containsText" text="Done">
      <formula>NOT(ISERROR(SEARCH("Done",V115)))</formula>
    </cfRule>
    <cfRule type="containsText" dxfId="6183" priority="75274" operator="containsText" text="Pending">
      <formula>NOT(ISERROR(SEARCH("Pending",V115)))</formula>
    </cfRule>
    <cfRule type="containsText" dxfId="6182" priority="75273" operator="containsText" text="NA">
      <formula>NOT(ISERROR(SEARCH("NA",V115)))</formula>
    </cfRule>
    <cfRule type="containsText" dxfId="6181" priority="75272" operator="containsText" text="NA">
      <formula>NOT(ISERROR(SEARCH("NA",#REF!)))</formula>
    </cfRule>
    <cfRule type="containsText" dxfId="6180" priority="75271" operator="containsText" text="Pending">
      <formula>NOT(ISERROR(SEARCH("Pending",#REF!)))</formula>
    </cfRule>
    <cfRule type="containsText" dxfId="6179" priority="75270" operator="containsText" text="Done">
      <formula>NOT(ISERROR(SEARCH("Done",#REF!)))</formula>
    </cfRule>
    <cfRule type="containsText" dxfId="6178" priority="75269" operator="containsText" text="NA">
      <formula>NOT(ISERROR(SEARCH("NA",V114)))</formula>
    </cfRule>
    <cfRule type="containsText" dxfId="6177" priority="75268" operator="containsText" text="Pending">
      <formula>NOT(ISERROR(SEARCH("Pending",V114)))</formula>
    </cfRule>
    <cfRule type="containsText" dxfId="6176" priority="75267" operator="containsText" text="Done">
      <formula>NOT(ISERROR(SEARCH("Done",V114)))</formula>
    </cfRule>
    <cfRule type="containsText" dxfId="6175" priority="75313" operator="containsText" text="NA">
      <formula>NOT(ISERROR(SEARCH("NA",V115)))</formula>
    </cfRule>
    <cfRule type="containsText" dxfId="6174" priority="75326" operator="containsText" text="NA">
      <formula>NOT(ISERROR(SEARCH("NA",#REF!)))</formula>
    </cfRule>
    <cfRule type="containsText" dxfId="6173" priority="75325" operator="containsText" text="Pending">
      <formula>NOT(ISERROR(SEARCH("Pending",#REF!)))</formula>
    </cfRule>
    <cfRule type="containsText" dxfId="6172" priority="75324" operator="containsText" text="Done">
      <formula>NOT(ISERROR(SEARCH("Done",#REF!)))</formula>
    </cfRule>
    <cfRule type="containsText" dxfId="6171" priority="75323" operator="containsText" text="NA">
      <formula>NOT(ISERROR(SEARCH("NA",#REF!)))</formula>
    </cfRule>
    <cfRule type="containsText" dxfId="6170" priority="75322" operator="containsText" text="NA">
      <formula>NOT(ISERROR(SEARCH("NA",#REF!)))</formula>
    </cfRule>
    <cfRule type="containsText" dxfId="6169" priority="75321" operator="containsText" text="Pending">
      <formula>NOT(ISERROR(SEARCH("Pending",#REF!)))</formula>
    </cfRule>
    <cfRule type="containsText" dxfId="6168" priority="75320" operator="containsText" text="Pending">
      <formula>NOT(ISERROR(SEARCH("Pending",#REF!)))</formula>
    </cfRule>
    <cfRule type="containsText" dxfId="6167" priority="75319" operator="containsText" text="Done">
      <formula>NOT(ISERROR(SEARCH("Done",#REF!)))</formula>
    </cfRule>
    <cfRule type="containsText" dxfId="6166" priority="75318" operator="containsText" text="NA">
      <formula>NOT(ISERROR(SEARCH("NA",V115)))</formula>
    </cfRule>
    <cfRule type="containsText" dxfId="6165" priority="75317" operator="containsText" text="Pending">
      <formula>NOT(ISERROR(SEARCH("Pending",V115)))</formula>
    </cfRule>
    <cfRule type="containsText" dxfId="6164" priority="75316" operator="containsText" text="Done">
      <formula>NOT(ISERROR(SEARCH("Done",V115)))</formula>
    </cfRule>
    <cfRule type="containsText" dxfId="6163" priority="75315" operator="containsText" text="Done">
      <formula>NOT(ISERROR(SEARCH("Done",V115)))</formula>
    </cfRule>
    <cfRule type="containsText" dxfId="6162" priority="75277" operator="containsText" text="Pending">
      <formula>NOT(ISERROR(SEARCH("Pending",V115)))</formula>
    </cfRule>
    <cfRule type="containsText" dxfId="6161" priority="75278" operator="containsText" text="NA">
      <formula>NOT(ISERROR(SEARCH("NA",V115)))</formula>
    </cfRule>
    <cfRule type="containsText" dxfId="6160" priority="75279" operator="containsText" text="Done">
      <formula>NOT(ISERROR(SEARCH("Done",#REF!)))</formula>
    </cfRule>
    <cfRule type="containsText" dxfId="6159" priority="75280" operator="containsText" text="Pending">
      <formula>NOT(ISERROR(SEARCH("Pending",#REF!)))</formula>
    </cfRule>
    <cfRule type="containsText" dxfId="6158" priority="75281" operator="containsText" text="Pending">
      <formula>NOT(ISERROR(SEARCH("Pending",#REF!)))</formula>
    </cfRule>
    <cfRule type="containsText" dxfId="6157" priority="75282" operator="containsText" text="NA">
      <formula>NOT(ISERROR(SEARCH("NA",#REF!)))</formula>
    </cfRule>
    <cfRule type="containsText" dxfId="6156" priority="75314" operator="containsText" text="Pending">
      <formula>NOT(ISERROR(SEARCH("Pending",V115)))</formula>
    </cfRule>
    <cfRule type="containsText" dxfId="6155" priority="75284" operator="containsText" text="Done">
      <formula>NOT(ISERROR(SEARCH("Done",#REF!)))</formula>
    </cfRule>
    <cfRule type="containsText" dxfId="6154" priority="75285" operator="containsText" text="Pending">
      <formula>NOT(ISERROR(SEARCH("Pending",#REF!)))</formula>
    </cfRule>
    <cfRule type="containsText" dxfId="6153" priority="75294" operator="containsText" text="Pending">
      <formula>NOT(ISERROR(SEARCH("Pending",V115)))</formula>
    </cfRule>
    <cfRule type="containsText" dxfId="6152" priority="75286" operator="containsText" text="NA">
      <formula>NOT(ISERROR(SEARCH("NA",#REF!)))</formula>
    </cfRule>
    <cfRule type="containsText" dxfId="6151" priority="75287" operator="containsText" text="Done">
      <formula>NOT(ISERROR(SEARCH("Done",V114)))</formula>
    </cfRule>
    <cfRule type="containsText" dxfId="6150" priority="75288" operator="containsText" text="Pending">
      <formula>NOT(ISERROR(SEARCH("Pending",V114)))</formula>
    </cfRule>
    <cfRule type="containsText" dxfId="6149" priority="75289" operator="containsText" text="NA">
      <formula>NOT(ISERROR(SEARCH("NA",V114)))</formula>
    </cfRule>
    <cfRule type="containsText" dxfId="6148" priority="75290" operator="containsText" text="Done">
      <formula>NOT(ISERROR(SEARCH("Done",#REF!)))</formula>
    </cfRule>
    <cfRule type="containsText" dxfId="6147" priority="75291" operator="containsText" text="Pending">
      <formula>NOT(ISERROR(SEARCH("Pending",#REF!)))</formula>
    </cfRule>
    <cfRule type="containsText" dxfId="6146" priority="75292" operator="containsText" text="NA">
      <formula>NOT(ISERROR(SEARCH("NA",#REF!)))</formula>
    </cfRule>
    <cfRule type="containsText" dxfId="6145" priority="75293" operator="containsText" text="NA">
      <formula>NOT(ISERROR(SEARCH("NA",V115)))</formula>
    </cfRule>
    <cfRule type="containsText" dxfId="6144" priority="75295" operator="containsText" text="Done">
      <formula>NOT(ISERROR(SEARCH("Done",V115)))</formula>
    </cfRule>
    <cfRule type="containsText" dxfId="6143" priority="75296" operator="containsText" text="Done">
      <formula>NOT(ISERROR(SEARCH("Done",V115)))</formula>
    </cfRule>
    <cfRule type="containsText" dxfId="6142" priority="75297" operator="containsText" text="Pending">
      <formula>NOT(ISERROR(SEARCH("Pending",V115)))</formula>
    </cfRule>
    <cfRule type="containsText" dxfId="6141" priority="75298" operator="containsText" text="NA">
      <formula>NOT(ISERROR(SEARCH("NA",V115)))</formula>
    </cfRule>
    <cfRule type="containsText" dxfId="6140" priority="75299" operator="containsText" text="Done">
      <formula>NOT(ISERROR(SEARCH("Done",#REF!)))</formula>
    </cfRule>
    <cfRule type="containsText" dxfId="6139" priority="75300" operator="containsText" text="Pending">
      <formula>NOT(ISERROR(SEARCH("Pending",#REF!)))</formula>
    </cfRule>
    <cfRule type="containsText" dxfId="6138" priority="75301" operator="containsText" text="Pending">
      <formula>NOT(ISERROR(SEARCH("Pending",#REF!)))</formula>
    </cfRule>
    <cfRule type="containsText" dxfId="6137" priority="75302" operator="containsText" text="NA">
      <formula>NOT(ISERROR(SEARCH("NA",#REF!)))</formula>
    </cfRule>
    <cfRule type="containsText" dxfId="6136" priority="75303" operator="containsText" text="NA">
      <formula>NOT(ISERROR(SEARCH("NA",#REF!)))</formula>
    </cfRule>
  </conditionalFormatting>
  <conditionalFormatting sqref="Y51:Y53">
    <cfRule type="containsText" dxfId="6135" priority="120746" operator="containsText" text="Pending">
      <formula>NOT(ISERROR(SEARCH("Pending",#REF!)))</formula>
    </cfRule>
    <cfRule type="containsText" dxfId="6134" priority="120738" operator="containsText" text="NA">
      <formula>NOT(ISERROR(SEARCH("NA",V115)))</formula>
    </cfRule>
    <cfRule type="containsText" dxfId="6133" priority="120737" operator="containsText" text="Pending">
      <formula>NOT(ISERROR(SEARCH("Pending",V115)))</formula>
    </cfRule>
    <cfRule type="containsText" dxfId="6132" priority="120736" operator="containsText" text="Done">
      <formula>NOT(ISERROR(SEARCH("Done",V115)))</formula>
    </cfRule>
    <cfRule type="containsText" dxfId="6131" priority="120735" operator="containsText" text="Done">
      <formula>NOT(ISERROR(SEARCH("Done",V115)))</formula>
    </cfRule>
    <cfRule type="containsText" dxfId="6130" priority="120734" operator="containsText" text="Pending">
      <formula>NOT(ISERROR(SEARCH("Pending",V115)))</formula>
    </cfRule>
    <cfRule type="containsText" dxfId="6129" priority="120733" operator="containsText" text="NA">
      <formula>NOT(ISERROR(SEARCH("NA",V115)))</formula>
    </cfRule>
    <cfRule type="containsText" dxfId="6128" priority="120732" operator="containsText" text="NA">
      <formula>NOT(ISERROR(SEARCH("NA",#REF!)))</formula>
    </cfRule>
    <cfRule type="containsText" dxfId="6127" priority="120731" operator="containsText" text="Pending">
      <formula>NOT(ISERROR(SEARCH("Pending",#REF!)))</formula>
    </cfRule>
    <cfRule type="containsText" dxfId="6126" priority="120730" operator="containsText" text="Done">
      <formula>NOT(ISERROR(SEARCH("Done",#REF!)))</formula>
    </cfRule>
    <cfRule type="containsText" dxfId="6125" priority="120745" operator="containsText" text="Done">
      <formula>NOT(ISERROR(SEARCH("Done",#REF!)))</formula>
    </cfRule>
    <cfRule type="containsText" dxfId="6124" priority="120744" operator="containsText" text="NA">
      <formula>NOT(ISERROR(SEARCH("NA",#REF!)))</formula>
    </cfRule>
    <cfRule type="containsText" dxfId="6123" priority="120743" operator="containsText" text="NA">
      <formula>NOT(ISERROR(SEARCH("NA",#REF!)))</formula>
    </cfRule>
    <cfRule type="containsText" dxfId="6122" priority="120742" operator="containsText" text="Pending">
      <formula>NOT(ISERROR(SEARCH("Pending",#REF!)))</formula>
    </cfRule>
    <cfRule type="containsText" dxfId="6121" priority="120741" operator="containsText" text="Pending">
      <formula>NOT(ISERROR(SEARCH("Pending",#REF!)))</formula>
    </cfRule>
    <cfRule type="containsText" dxfId="6120" priority="120747" operator="containsText" text="NA">
      <formula>NOT(ISERROR(SEARCH("NA",#REF!)))</formula>
    </cfRule>
    <cfRule type="containsText" dxfId="6119" priority="120739" operator="containsText" text="Done">
      <formula>NOT(ISERROR(SEARCH("Done",#REF!)))</formula>
    </cfRule>
  </conditionalFormatting>
  <conditionalFormatting sqref="Y52">
    <cfRule type="containsText" dxfId="6118" priority="140005" operator="containsText" text="Done">
      <formula>NOT(ISERROR(SEARCH("Done",#REF!)))</formula>
    </cfRule>
    <cfRule type="containsText" dxfId="6117" priority="140179" operator="containsText" text="NA">
      <formula>NOT(ISERROR(SEARCH("NA",#REF!)))</formula>
    </cfRule>
    <cfRule type="containsText" dxfId="6116" priority="140092" operator="containsText" text="Pending">
      <formula>NOT(ISERROR(SEARCH("Pending",#REF!)))</formula>
    </cfRule>
  </conditionalFormatting>
  <conditionalFormatting sqref="Y53">
    <cfRule type="containsText" dxfId="6115" priority="5416" operator="containsText" text="Pending">
      <formula>NOT(ISERROR(SEARCH("Pending",V117)))</formula>
    </cfRule>
    <cfRule type="containsText" dxfId="6114" priority="5415" operator="containsText" text="Done">
      <formula>NOT(ISERROR(SEARCH("Done",V117)))</formula>
    </cfRule>
    <cfRule type="containsText" dxfId="6113" priority="5414" operator="containsText" text="Done">
      <formula>NOT(ISERROR(SEARCH("Done",#REF!)))</formula>
    </cfRule>
    <cfRule type="containsText" dxfId="6112" priority="5413" operator="containsText" text="Done">
      <formula>NOT(ISERROR(SEARCH("Done",V117)))</formula>
    </cfRule>
    <cfRule type="containsText" dxfId="6111" priority="5412" operator="containsText" text="Pending">
      <formula>NOT(ISERROR(SEARCH("Pending",V117)))</formula>
    </cfRule>
    <cfRule type="containsText" dxfId="6110" priority="5411" operator="containsText" text="NA">
      <formula>NOT(ISERROR(SEARCH("NA",V117)))</formula>
    </cfRule>
    <cfRule type="containsText" dxfId="6109" priority="5410" operator="containsText" text="Done">
      <formula>NOT(ISERROR(SEARCH("Done",#REF!)))</formula>
    </cfRule>
    <cfRule type="containsText" dxfId="6108" priority="5409" operator="containsText" text="NA">
      <formula>NOT(ISERROR(SEARCH("NA",#REF!)))</formula>
    </cfRule>
    <cfRule type="containsText" dxfId="6107" priority="5408" operator="containsText" text="NA">
      <formula>NOT(ISERROR(SEARCH("NA",#REF!)))</formula>
    </cfRule>
    <cfRule type="containsText" dxfId="6106" priority="5407" operator="containsText" text="Pending">
      <formula>NOT(ISERROR(SEARCH("Pending",#REF!)))</formula>
    </cfRule>
    <cfRule type="containsText" dxfId="6105" priority="5406" operator="containsText" text="Pending">
      <formula>NOT(ISERROR(SEARCH("Pending",#REF!)))</formula>
    </cfRule>
    <cfRule type="containsText" dxfId="6104" priority="5405" operator="containsText" text="NA">
      <formula>NOT(ISERROR(SEARCH("NA",#REF!)))</formula>
    </cfRule>
    <cfRule type="containsText" dxfId="6103" priority="5404" operator="containsText" text="Pending">
      <formula>NOT(ISERROR(SEARCH("Pending",#REF!)))</formula>
    </cfRule>
    <cfRule type="containsText" dxfId="6102" priority="5403" operator="containsText" text="NA">
      <formula>NOT(ISERROR(SEARCH("NA",V116)))</formula>
    </cfRule>
    <cfRule type="containsText" dxfId="6101" priority="5402" operator="containsText" text="Pending">
      <formula>NOT(ISERROR(SEARCH("Pending",V116)))</formula>
    </cfRule>
    <cfRule type="containsText" dxfId="6100" priority="5401" operator="containsText" text="Done">
      <formula>NOT(ISERROR(SEARCH("Done",V116)))</formula>
    </cfRule>
    <cfRule type="containsText" dxfId="6099" priority="5400" operator="containsText" text="Done">
      <formula>NOT(ISERROR(SEARCH("Done",#REF!)))</formula>
    </cfRule>
    <cfRule type="containsText" dxfId="6098" priority="5399" operator="containsText" text="NA">
      <formula>NOT(ISERROR(SEARCH("NA",#REF!)))</formula>
    </cfRule>
    <cfRule type="containsText" dxfId="6097" priority="5398" operator="containsText" text="Pending">
      <formula>NOT(ISERROR(SEARCH("Pending",#REF!)))</formula>
    </cfRule>
    <cfRule type="containsText" dxfId="6096" priority="5397" operator="containsText" text="NA">
      <formula>NOT(ISERROR(SEARCH("NA",V117)))</formula>
    </cfRule>
    <cfRule type="containsText" dxfId="6095" priority="5396" operator="containsText" text="Pending">
      <formula>NOT(ISERROR(SEARCH("Pending",V117)))</formula>
    </cfRule>
    <cfRule type="containsText" dxfId="6094" priority="5395" operator="containsText" text="Done">
      <formula>NOT(ISERROR(SEARCH("Done",V117)))</formula>
    </cfRule>
    <cfRule type="containsText" dxfId="6093" priority="5394" operator="containsText" text="Done">
      <formula>NOT(ISERROR(SEARCH("Done",#REF!)))</formula>
    </cfRule>
    <cfRule type="containsText" dxfId="6092" priority="5393" operator="containsText" text="Done">
      <formula>NOT(ISERROR(SEARCH("Done",V117)))</formula>
    </cfRule>
    <cfRule type="containsText" dxfId="6091" priority="5392" operator="containsText" text="Pending">
      <formula>NOT(ISERROR(SEARCH("Pending",V117)))</formula>
    </cfRule>
    <cfRule type="containsText" dxfId="6090" priority="5391" operator="containsText" text="NA">
      <formula>NOT(ISERROR(SEARCH("NA",V117)))</formula>
    </cfRule>
    <cfRule type="containsText" dxfId="6089" priority="5390" operator="containsText" text="Done">
      <formula>NOT(ISERROR(SEARCH("Done",#REF!)))</formula>
    </cfRule>
    <cfRule type="containsText" dxfId="6088" priority="5389" operator="containsText" text="NA">
      <formula>NOT(ISERROR(SEARCH("NA",#REF!)))</formula>
    </cfRule>
    <cfRule type="containsText" dxfId="6087" priority="5388" operator="containsText" text="NA">
      <formula>NOT(ISERROR(SEARCH("NA",#REF!)))</formula>
    </cfRule>
    <cfRule type="containsText" dxfId="6086" priority="5387" operator="containsText" text="Pending">
      <formula>NOT(ISERROR(SEARCH("Pending",#REF!)))</formula>
    </cfRule>
    <cfRule type="containsText" dxfId="6085" priority="5386" operator="containsText" text="Pending">
      <formula>NOT(ISERROR(SEARCH("Pending",#REF!)))</formula>
    </cfRule>
    <cfRule type="containsText" dxfId="6084" priority="5385" operator="containsText" text="NA">
      <formula>NOT(ISERROR(SEARCH("NA",#REF!)))</formula>
    </cfRule>
    <cfRule type="containsText" dxfId="6083" priority="5384" operator="containsText" text="Pending">
      <formula>NOT(ISERROR(SEARCH("Pending",#REF!)))</formula>
    </cfRule>
    <cfRule type="containsText" dxfId="6082" priority="5383" operator="containsText" text="NA">
      <formula>NOT(ISERROR(SEARCH("NA",V116)))</formula>
    </cfRule>
    <cfRule type="containsText" dxfId="6081" priority="5382" operator="containsText" text="Pending">
      <formula>NOT(ISERROR(SEARCH("Pending",V116)))</formula>
    </cfRule>
    <cfRule type="containsText" dxfId="6080" priority="5440" operator="containsText" text="Done">
      <formula>NOT(ISERROR(SEARCH("Done",#REF!)))</formula>
    </cfRule>
    <cfRule type="containsText" dxfId="6079" priority="5381" operator="containsText" text="Done">
      <formula>NOT(ISERROR(SEARCH("Done",V116)))</formula>
    </cfRule>
    <cfRule type="containsText" dxfId="6078" priority="5439" operator="containsText" text="NA">
      <formula>NOT(ISERROR(SEARCH("NA",#REF!)))</formula>
    </cfRule>
    <cfRule type="containsText" dxfId="6077" priority="5438" operator="containsText" text="Pending">
      <formula>NOT(ISERROR(SEARCH("Pending",#REF!)))</formula>
    </cfRule>
    <cfRule type="containsText" dxfId="6076" priority="5437" operator="containsText" text="NA">
      <formula>NOT(ISERROR(SEARCH("NA",V117)))</formula>
    </cfRule>
    <cfRule type="containsText" dxfId="6075" priority="5436" operator="containsText" text="Pending">
      <formula>NOT(ISERROR(SEARCH("Pending",V117)))</formula>
    </cfRule>
    <cfRule type="containsText" dxfId="6074" priority="5435" operator="containsText" text="Done">
      <formula>NOT(ISERROR(SEARCH("Done",V117)))</formula>
    </cfRule>
    <cfRule type="containsText" dxfId="6073" priority="5434" operator="containsText" text="Done">
      <formula>NOT(ISERROR(SEARCH("Done",#REF!)))</formula>
    </cfRule>
    <cfRule type="containsText" dxfId="6072" priority="5432" operator="containsText" text="Pending">
      <formula>NOT(ISERROR(SEARCH("Pending",V117)))</formula>
    </cfRule>
    <cfRule type="containsText" dxfId="6071" priority="5431" operator="containsText" text="NA">
      <formula>NOT(ISERROR(SEARCH("NA",V117)))</formula>
    </cfRule>
    <cfRule type="containsText" dxfId="6070" priority="5430" operator="containsText" text="Done">
      <formula>NOT(ISERROR(SEARCH("Done",#REF!)))</formula>
    </cfRule>
    <cfRule type="containsText" dxfId="6069" priority="5429" operator="containsText" text="NA">
      <formula>NOT(ISERROR(SEARCH("NA",#REF!)))</formula>
    </cfRule>
    <cfRule type="containsText" dxfId="6068" priority="5428" operator="containsText" text="NA">
      <formula>NOT(ISERROR(SEARCH("NA",#REF!)))</formula>
    </cfRule>
    <cfRule type="containsText" dxfId="6067" priority="5427" operator="containsText" text="Pending">
      <formula>NOT(ISERROR(SEARCH("Pending",#REF!)))</formula>
    </cfRule>
    <cfRule type="containsText" dxfId="6066" priority="5426" operator="containsText" text="Pending">
      <formula>NOT(ISERROR(SEARCH("Pending",#REF!)))</formula>
    </cfRule>
    <cfRule type="containsText" dxfId="6065" priority="5425" operator="containsText" text="NA">
      <formula>NOT(ISERROR(SEARCH("NA",#REF!)))</formula>
    </cfRule>
    <cfRule type="containsText" dxfId="6064" priority="5424" operator="containsText" text="Pending">
      <formula>NOT(ISERROR(SEARCH("Pending",#REF!)))</formula>
    </cfRule>
    <cfRule type="containsText" dxfId="6063" priority="5423" operator="containsText" text="NA">
      <formula>NOT(ISERROR(SEARCH("NA",V116)))</formula>
    </cfRule>
    <cfRule type="containsText" dxfId="6062" priority="5422" operator="containsText" text="Pending">
      <formula>NOT(ISERROR(SEARCH("Pending",V116)))</formula>
    </cfRule>
    <cfRule type="containsText" dxfId="6061" priority="5421" operator="containsText" text="Done">
      <formula>NOT(ISERROR(SEARCH("Done",V116)))</formula>
    </cfRule>
    <cfRule type="containsText" dxfId="6060" priority="5420" operator="containsText" text="Done">
      <formula>NOT(ISERROR(SEARCH("Done",#REF!)))</formula>
    </cfRule>
    <cfRule type="containsText" dxfId="6059" priority="5419" operator="containsText" text="NA">
      <formula>NOT(ISERROR(SEARCH("NA",#REF!)))</formula>
    </cfRule>
    <cfRule type="containsText" dxfId="6058" priority="5418" operator="containsText" text="Pending">
      <formula>NOT(ISERROR(SEARCH("Pending",#REF!)))</formula>
    </cfRule>
    <cfRule type="containsText" dxfId="6057" priority="5417" operator="containsText" text="NA">
      <formula>NOT(ISERROR(SEARCH("NA",V117)))</formula>
    </cfRule>
    <cfRule type="containsText" dxfId="6056" priority="5433" operator="containsText" text="Done">
      <formula>NOT(ISERROR(SEARCH("Done",V117)))</formula>
    </cfRule>
  </conditionalFormatting>
  <conditionalFormatting sqref="Y76">
    <cfRule type="containsText" dxfId="6055" priority="964" operator="containsText" text="NA">
      <formula>NOT(ISERROR(SEARCH("NA",#REF!)))</formula>
    </cfRule>
    <cfRule type="containsText" dxfId="6054" priority="963" operator="containsText" text="Pending">
      <formula>NOT(ISERROR(SEARCH("Pending",#REF!)))</formula>
    </cfRule>
    <cfRule type="containsText" dxfId="6053" priority="962" operator="containsText" text="Done">
      <formula>NOT(ISERROR(SEARCH("Done",#REF!)))</formula>
    </cfRule>
    <cfRule type="containsText" dxfId="6052" priority="961" operator="containsText" text="Done">
      <formula>NOT(ISERROR(SEARCH("Done",Y76)))</formula>
    </cfRule>
    <cfRule type="containsText" dxfId="6051" priority="960" operator="containsText" text="NA">
      <formula>NOT(ISERROR(SEARCH("NA",Y76)))</formula>
    </cfRule>
    <cfRule type="containsText" dxfId="6050" priority="4773" operator="containsText" text="Done">
      <formula>NOT(ISERROR(SEARCH("Done",Y76)))</formula>
    </cfRule>
    <cfRule type="containsText" dxfId="6049" priority="4774" operator="containsText" text="Done">
      <formula>NOT(ISERROR(SEARCH("Done",#REF!)))</formula>
    </cfRule>
    <cfRule type="containsText" dxfId="6048" priority="4775" operator="containsText" text="Pending">
      <formula>NOT(ISERROR(SEARCH("Pending",#REF!)))</formula>
    </cfRule>
    <cfRule type="containsText" dxfId="6047" priority="4776" operator="containsText" text="NA">
      <formula>NOT(ISERROR(SEARCH("NA",#REF!)))</formula>
    </cfRule>
    <cfRule type="containsText" dxfId="6046" priority="1058" operator="containsText" text="NA">
      <formula>NOT(ISERROR(SEARCH("NA",#REF!)))</formula>
    </cfRule>
    <cfRule type="containsText" dxfId="6045" priority="1056" operator="containsText" text="Done">
      <formula>NOT(ISERROR(SEARCH("Done",#REF!)))</formula>
    </cfRule>
    <cfRule type="containsText" dxfId="6044" priority="4772" operator="containsText" text="NA">
      <formula>NOT(ISERROR(SEARCH("NA",Y76)))</formula>
    </cfRule>
    <cfRule type="containsText" dxfId="6043" priority="1057" operator="containsText" text="Pending">
      <formula>NOT(ISERROR(SEARCH("Pending",#REF!)))</formula>
    </cfRule>
    <cfRule type="containsText" dxfId="6042" priority="1055" operator="containsText" text="Done">
      <formula>NOT(ISERROR(SEARCH("Done",Y76)))</formula>
    </cfRule>
    <cfRule type="containsText" dxfId="6041" priority="972" operator="containsText" text="NA">
      <formula>NOT(ISERROR(SEARCH("NA",#REF!)))</formula>
    </cfRule>
    <cfRule type="containsText" dxfId="6040" priority="1054" operator="containsText" text="NA">
      <formula>NOT(ISERROR(SEARCH("NA",Y76)))</formula>
    </cfRule>
    <cfRule type="containsText" dxfId="6039" priority="971" operator="containsText" text="Pending">
      <formula>NOT(ISERROR(SEARCH("Pending",#REF!)))</formula>
    </cfRule>
    <cfRule type="containsText" dxfId="6038" priority="970" operator="containsText" text="Done">
      <formula>NOT(ISERROR(SEARCH("Done",#REF!)))</formula>
    </cfRule>
    <cfRule type="containsText" dxfId="6037" priority="969" operator="containsText" text="NA">
      <formula>NOT(ISERROR(SEARCH("NA",#REF!)))</formula>
    </cfRule>
    <cfRule type="containsText" dxfId="6036" priority="968" operator="containsText" text="Pending">
      <formula>NOT(ISERROR(SEARCH("Pending",#REF!)))</formula>
    </cfRule>
    <cfRule type="containsText" dxfId="6035" priority="967" operator="containsText" text="Done">
      <formula>NOT(ISERROR(SEARCH("Done",#REF!)))</formula>
    </cfRule>
    <cfRule type="containsText" dxfId="6034" priority="966" operator="containsText" text="Done">
      <formula>NOT(ISERROR(SEARCH("Done",Y76)))</formula>
    </cfRule>
    <cfRule type="containsText" dxfId="6033" priority="965" operator="containsText" text="NA">
      <formula>NOT(ISERROR(SEARCH("NA",Y76)))</formula>
    </cfRule>
  </conditionalFormatting>
  <conditionalFormatting sqref="Y77:Y78">
    <cfRule type="containsText" dxfId="6032" priority="745" operator="containsText" text="NA">
      <formula>NOT(ISERROR(SEARCH("NA",#REF!)))</formula>
    </cfRule>
    <cfRule type="containsText" dxfId="6031" priority="744" operator="containsText" text="NA">
      <formula>NOT(ISERROR(SEARCH("NA",#REF!)))</formula>
    </cfRule>
    <cfRule type="containsText" dxfId="6030" priority="743" operator="containsText" text="NA">
      <formula>NOT(ISERROR(SEARCH("NA",#REF!)))</formula>
    </cfRule>
    <cfRule type="containsText" dxfId="6029" priority="742" operator="containsText" text="Pending">
      <formula>NOT(ISERROR(SEARCH("Pending",#REF!)))</formula>
    </cfRule>
    <cfRule type="containsText" dxfId="6028" priority="741" operator="containsText" text="Pending">
      <formula>NOT(ISERROR(SEARCH("Pending",#REF!)))</formula>
    </cfRule>
    <cfRule type="containsText" dxfId="6027" priority="740" operator="containsText" text="Pending">
      <formula>NOT(ISERROR(SEARCH("Pending",#REF!)))</formula>
    </cfRule>
    <cfRule type="containsText" dxfId="6026" priority="739" operator="containsText" text="Done">
      <formula>NOT(ISERROR(SEARCH("Done",#REF!)))</formula>
    </cfRule>
    <cfRule type="containsText" dxfId="6025" priority="738" operator="containsText" text="Done">
      <formula>NOT(ISERROR(SEARCH("Done",#REF!)))</formula>
    </cfRule>
    <cfRule type="containsText" dxfId="6024" priority="737" operator="containsText" text="NA">
      <formula>NOT(ISERROR(SEARCH("NA",#REF!)))</formula>
    </cfRule>
    <cfRule type="containsText" dxfId="6023" priority="736" operator="containsText" text="Pending">
      <formula>NOT(ISERROR(SEARCH("Pending",#REF!)))</formula>
    </cfRule>
    <cfRule type="containsText" dxfId="6022" priority="735" operator="containsText" text="Done">
      <formula>NOT(ISERROR(SEARCH("Done",#REF!)))</formula>
    </cfRule>
    <cfRule type="containsText" dxfId="6021" priority="733" operator="containsText" text="Pending">
      <formula>NOT(ISERROR(SEARCH("Pending",#REF!)))</formula>
    </cfRule>
    <cfRule type="containsText" dxfId="6020" priority="732" operator="containsText" text="NA">
      <formula>NOT(ISERROR(SEARCH("NA",#REF!)))</formula>
    </cfRule>
    <cfRule type="containsText" dxfId="6019" priority="731" operator="containsText" text="NA">
      <formula>NOT(ISERROR(SEARCH("NA",#REF!)))</formula>
    </cfRule>
    <cfRule type="containsText" dxfId="6018" priority="730" operator="containsText" text="NA">
      <formula>NOT(ISERROR(SEARCH("NA",#REF!)))</formula>
    </cfRule>
    <cfRule type="containsText" dxfId="6017" priority="729" operator="containsText" text="Pending">
      <formula>NOT(ISERROR(SEARCH("Pending",#REF!)))</formula>
    </cfRule>
    <cfRule type="containsText" dxfId="6016" priority="728" operator="containsText" text="Pending">
      <formula>NOT(ISERROR(SEARCH("Pending",#REF!)))</formula>
    </cfRule>
    <cfRule type="containsText" dxfId="6015" priority="727" operator="containsText" text="Pending">
      <formula>NOT(ISERROR(SEARCH("Pending",#REF!)))</formula>
    </cfRule>
    <cfRule type="containsText" dxfId="6014" priority="726" operator="containsText" text="Done">
      <formula>NOT(ISERROR(SEARCH("Done",#REF!)))</formula>
    </cfRule>
    <cfRule type="containsText" dxfId="6013" priority="725" operator="containsText" text="Done">
      <formula>NOT(ISERROR(SEARCH("Done",#REF!)))</formula>
    </cfRule>
    <cfRule type="containsText" dxfId="6012" priority="724" operator="containsText" text="NA">
      <formula>NOT(ISERROR(SEARCH("NA",#REF!)))</formula>
    </cfRule>
    <cfRule type="containsText" dxfId="6011" priority="723" operator="containsText" text="NA">
      <formula>NOT(ISERROR(SEARCH("NA",#REF!)))</formula>
    </cfRule>
    <cfRule type="containsText" dxfId="6010" priority="722" operator="containsText" text="Pending">
      <formula>NOT(ISERROR(SEARCH("Pending",#REF!)))</formula>
    </cfRule>
    <cfRule type="containsText" dxfId="6009" priority="721" operator="containsText" text="Pending">
      <formula>NOT(ISERROR(SEARCH("Pending",#REF!)))</formula>
    </cfRule>
    <cfRule type="containsText" dxfId="6008" priority="720" operator="containsText" text="Done">
      <formula>NOT(ISERROR(SEARCH("Done",#REF!)))</formula>
    </cfRule>
    <cfRule type="containsText" dxfId="6007" priority="719" operator="containsText" text="NA">
      <formula>NOT(ISERROR(SEARCH("NA",#REF!)))</formula>
    </cfRule>
    <cfRule type="containsText" dxfId="6006" priority="718" operator="containsText" text="Pending">
      <formula>NOT(ISERROR(SEARCH("Pending",#REF!)))</formula>
    </cfRule>
    <cfRule type="containsText" dxfId="6005" priority="717" operator="containsText" text="Done">
      <formula>NOT(ISERROR(SEARCH("Done",#REF!)))</formula>
    </cfRule>
    <cfRule type="containsText" dxfId="6004" priority="716" operator="containsText" text="NA">
      <formula>NOT(ISERROR(SEARCH("NA",#REF!)))</formula>
    </cfRule>
    <cfRule type="containsText" dxfId="6003" priority="715" operator="containsText" text="Pending">
      <formula>NOT(ISERROR(SEARCH("Pending",#REF!)))</formula>
    </cfRule>
    <cfRule type="containsText" dxfId="6002" priority="714" operator="containsText" text="NA">
      <formula>NOT(ISERROR(SEARCH("NA",#REF!)))</formula>
    </cfRule>
    <cfRule type="containsText" dxfId="6001" priority="713" operator="containsText" text="NA">
      <formula>NOT(ISERROR(SEARCH("NA",#REF!)))</formula>
    </cfRule>
    <cfRule type="containsText" dxfId="6000" priority="712" operator="containsText" text="NA">
      <formula>NOT(ISERROR(SEARCH("NA",#REF!)))</formula>
    </cfRule>
    <cfRule type="containsText" dxfId="5999" priority="711" operator="containsText" text="Pending">
      <formula>NOT(ISERROR(SEARCH("Pending",#REF!)))</formula>
    </cfRule>
    <cfRule type="containsText" dxfId="5998" priority="710" operator="containsText" text="Pending">
      <formula>NOT(ISERROR(SEARCH("Pending",#REF!)))</formula>
    </cfRule>
    <cfRule type="containsText" dxfId="5997" priority="708" operator="containsText" text="Done">
      <formula>NOT(ISERROR(SEARCH("Done",#REF!)))</formula>
    </cfRule>
    <cfRule type="containsText" dxfId="5996" priority="707" operator="containsText" text="Done">
      <formula>NOT(ISERROR(SEARCH("Done",#REF!)))</formula>
    </cfRule>
    <cfRule type="containsText" dxfId="5995" priority="706" operator="containsText" text="NA">
      <formula>NOT(ISERROR(SEARCH("NA",#REF!)))</formula>
    </cfRule>
    <cfRule type="containsText" dxfId="5994" priority="705" operator="containsText" text="NA">
      <formula>NOT(ISERROR(SEARCH("NA",#REF!)))</formula>
    </cfRule>
    <cfRule type="containsText" dxfId="5993" priority="704" operator="containsText" text="Pending">
      <formula>NOT(ISERROR(SEARCH("Pending",#REF!)))</formula>
    </cfRule>
    <cfRule type="containsText" dxfId="5992" priority="703" operator="containsText" text="Pending">
      <formula>NOT(ISERROR(SEARCH("Pending",#REF!)))</formula>
    </cfRule>
    <cfRule type="containsText" dxfId="5991" priority="702" operator="containsText" text="Done">
      <formula>NOT(ISERROR(SEARCH("Done",#REF!)))</formula>
    </cfRule>
    <cfRule type="containsText" dxfId="5990" priority="701" operator="containsText" text="NA">
      <formula>NOT(ISERROR(SEARCH("NA",#REF!)))</formula>
    </cfRule>
    <cfRule type="containsText" dxfId="5989" priority="700" operator="containsText" text="Pending">
      <formula>NOT(ISERROR(SEARCH("Pending",#REF!)))</formula>
    </cfRule>
    <cfRule type="containsText" dxfId="5988" priority="4034" operator="containsText" text="NA">
      <formula>NOT(ISERROR(SEARCH("NA",#REF!)))</formula>
    </cfRule>
    <cfRule type="containsText" dxfId="5987" priority="709" operator="containsText" text="Pending">
      <formula>NOT(ISERROR(SEARCH("Pending",#REF!)))</formula>
    </cfRule>
    <cfRule type="containsText" dxfId="5986" priority="4033" operator="containsText" text="NA">
      <formula>NOT(ISERROR(SEARCH("NA",#REF!)))</formula>
    </cfRule>
    <cfRule type="containsText" dxfId="5985" priority="4032" operator="containsText" text="Pending">
      <formula>NOT(ISERROR(SEARCH("Pending",#REF!)))</formula>
    </cfRule>
    <cfRule type="containsText" dxfId="5984" priority="4031" operator="containsText" text="Pending">
      <formula>NOT(ISERROR(SEARCH("Pending",#REF!)))</formula>
    </cfRule>
    <cfRule type="containsText" dxfId="5983" priority="4030" operator="containsText" text="Pending">
      <formula>NOT(ISERROR(SEARCH("Pending",#REF!)))</formula>
    </cfRule>
    <cfRule type="containsText" dxfId="5982" priority="4029" operator="containsText" text="Done">
      <formula>NOT(ISERROR(SEARCH("Done",#REF!)))</formula>
    </cfRule>
    <cfRule type="containsText" dxfId="5981" priority="4028" operator="containsText" text="Done">
      <formula>NOT(ISERROR(SEARCH("Done",#REF!)))</formula>
    </cfRule>
    <cfRule type="containsText" dxfId="5980" priority="4027" operator="containsText" text="NA">
      <formula>NOT(ISERROR(SEARCH("NA",#REF!)))</formula>
    </cfRule>
    <cfRule type="containsText" dxfId="5979" priority="4026" operator="containsText" text="NA">
      <formula>NOT(ISERROR(SEARCH("NA",#REF!)))</formula>
    </cfRule>
    <cfRule type="containsText" dxfId="5978" priority="4025" operator="containsText" text="Pending">
      <formula>NOT(ISERROR(SEARCH("Pending",#REF!)))</formula>
    </cfRule>
    <cfRule type="containsText" dxfId="5977" priority="4024" operator="containsText" text="Pending">
      <formula>NOT(ISERROR(SEARCH("Pending",#REF!)))</formula>
    </cfRule>
    <cfRule type="containsText" dxfId="5976" priority="734" operator="containsText" text="NA">
      <formula>NOT(ISERROR(SEARCH("NA",#REF!)))</formula>
    </cfRule>
    <cfRule type="containsText" dxfId="5975" priority="4022" operator="containsText" text="NA">
      <formula>NOT(ISERROR(SEARCH("NA",#REF!)))</formula>
    </cfRule>
    <cfRule type="containsText" dxfId="5974" priority="4023" operator="containsText" text="Done">
      <formula>NOT(ISERROR(SEARCH("Done",#REF!)))</formula>
    </cfRule>
    <cfRule type="containsText" dxfId="5973" priority="4035" operator="containsText" text="NA">
      <formula>NOT(ISERROR(SEARCH("NA",#REF!)))</formula>
    </cfRule>
  </conditionalFormatting>
  <conditionalFormatting sqref="Y77:Y83">
    <cfRule type="containsText" dxfId="5972" priority="109355" operator="containsText" text="Pending">
      <formula>NOT(ISERROR(SEARCH("Pending",#REF!)))</formula>
    </cfRule>
    <cfRule type="containsText" dxfId="5971" priority="109351" operator="containsText" text="NA">
      <formula>NOT(ISERROR(SEARCH("NA",#REF!)))</formula>
    </cfRule>
    <cfRule type="containsText" dxfId="5970" priority="109352" operator="containsText" text="Done">
      <formula>NOT(ISERROR(SEARCH("Done",#REF!)))</formula>
    </cfRule>
    <cfRule type="containsText" dxfId="5969" priority="3706" operator="containsText" text="Pending">
      <formula>NOT(ISERROR(SEARCH("Pending",#REF!)))</formula>
    </cfRule>
    <cfRule type="containsText" dxfId="5968" priority="109356" operator="containsText" text="Pending">
      <formula>NOT(ISERROR(SEARCH("Pending",#REF!)))</formula>
    </cfRule>
    <cfRule type="containsText" dxfId="5967" priority="109357" operator="containsText" text="NA">
      <formula>NOT(ISERROR(SEARCH("NA",#REF!)))</formula>
    </cfRule>
    <cfRule type="containsText" dxfId="5966" priority="109358" operator="containsText" text="NA">
      <formula>NOT(ISERROR(SEARCH("NA",#REF!)))</formula>
    </cfRule>
    <cfRule type="containsText" dxfId="5965" priority="109359" operator="containsText" text="NA">
      <formula>NOT(ISERROR(SEARCH("NA",#REF!)))</formula>
    </cfRule>
    <cfRule type="containsText" dxfId="5964" priority="109353" operator="containsText" text="Done">
      <formula>NOT(ISERROR(SEARCH("Done",#REF!)))</formula>
    </cfRule>
    <cfRule type="containsText" dxfId="5963" priority="109354" operator="containsText" text="Pending">
      <formula>NOT(ISERROR(SEARCH("Pending",#REF!)))</formula>
    </cfRule>
  </conditionalFormatting>
  <conditionalFormatting sqref="Y78">
    <cfRule type="containsText" dxfId="5962" priority="699" operator="containsText" text="Done">
      <formula>NOT(ISERROR(SEARCH("Done",#REF!)))</formula>
    </cfRule>
    <cfRule type="containsText" dxfId="5961" priority="697" operator="containsText" text="Pending">
      <formula>NOT(ISERROR(SEARCH("Pending",#REF!)))</formula>
    </cfRule>
    <cfRule type="containsText" dxfId="5960" priority="698" operator="containsText" text="NA">
      <formula>NOT(ISERROR(SEARCH("NA",#REF!)))</formula>
    </cfRule>
  </conditionalFormatting>
  <conditionalFormatting sqref="Y79:Y83">
    <cfRule type="containsText" dxfId="5959" priority="3679" operator="containsText" text="NA">
      <formula>NOT(ISERROR(SEARCH("NA",#REF!)))</formula>
    </cfRule>
    <cfRule type="containsText" dxfId="5958" priority="3680" operator="containsText" text="Done">
      <formula>NOT(ISERROR(SEARCH("Done",#REF!)))</formula>
    </cfRule>
    <cfRule type="containsText" dxfId="5957" priority="3681" operator="containsText" text="Pending">
      <formula>NOT(ISERROR(SEARCH("Pending",#REF!)))</formula>
    </cfRule>
    <cfRule type="containsText" dxfId="5956" priority="3682" operator="containsText" text="NA">
      <formula>NOT(ISERROR(SEARCH("NA",#REF!)))</formula>
    </cfRule>
    <cfRule type="containsText" dxfId="5955" priority="3683" operator="containsText" text="Done">
      <formula>NOT(ISERROR(SEARCH("Done",#REF!)))</formula>
    </cfRule>
    <cfRule type="containsText" dxfId="5954" priority="3684" operator="containsText" text="Pending">
      <formula>NOT(ISERROR(SEARCH("Pending",#REF!)))</formula>
    </cfRule>
    <cfRule type="containsText" dxfId="5953" priority="3685" operator="containsText" text="NA">
      <formula>NOT(ISERROR(SEARCH("NA",#REF!)))</formula>
    </cfRule>
    <cfRule type="containsText" dxfId="5952" priority="3686" operator="containsText" text="Done">
      <formula>NOT(ISERROR(SEARCH("Done",#REF!)))</formula>
    </cfRule>
    <cfRule type="containsText" dxfId="5951" priority="3687" operator="containsText" text="Pending">
      <formula>NOT(ISERROR(SEARCH("Pending",#REF!)))</formula>
    </cfRule>
    <cfRule type="containsText" dxfId="5950" priority="3688" operator="containsText" text="Pending">
      <formula>NOT(ISERROR(SEARCH("Pending",#REF!)))</formula>
    </cfRule>
    <cfRule type="containsText" dxfId="5949" priority="3689" operator="containsText" text="NA">
      <formula>NOT(ISERROR(SEARCH("NA",#REF!)))</formula>
    </cfRule>
    <cfRule type="containsText" dxfId="5948" priority="3690" operator="containsText" text="NA">
      <formula>NOT(ISERROR(SEARCH("NA",#REF!)))</formula>
    </cfRule>
    <cfRule type="containsText" dxfId="5947" priority="3691" operator="containsText" text="Done">
      <formula>NOT(ISERROR(SEARCH("Done",#REF!)))</formula>
    </cfRule>
    <cfRule type="containsText" dxfId="5946" priority="3692" operator="containsText" text="Done">
      <formula>NOT(ISERROR(SEARCH("Done",#REF!)))</formula>
    </cfRule>
    <cfRule type="containsText" dxfId="5945" priority="3693" operator="containsText" text="Pending">
      <formula>NOT(ISERROR(SEARCH("Pending",#REF!)))</formula>
    </cfRule>
    <cfRule type="containsText" dxfId="5944" priority="3694" operator="containsText" text="Pending">
      <formula>NOT(ISERROR(SEARCH("Pending",#REF!)))</formula>
    </cfRule>
    <cfRule type="containsText" dxfId="5943" priority="3695" operator="containsText" text="Pending">
      <formula>NOT(ISERROR(SEARCH("Pending",#REF!)))</formula>
    </cfRule>
    <cfRule type="containsText" dxfId="5942" priority="3696" operator="containsText" text="NA">
      <formula>NOT(ISERROR(SEARCH("NA",#REF!)))</formula>
    </cfRule>
    <cfRule type="containsText" dxfId="5941" priority="3697" operator="containsText" text="NA">
      <formula>NOT(ISERROR(SEARCH("NA",#REF!)))</formula>
    </cfRule>
    <cfRule type="containsText" dxfId="5940" priority="3698" operator="containsText" text="NA">
      <formula>NOT(ISERROR(SEARCH("NA",#REF!)))</formula>
    </cfRule>
    <cfRule type="containsText" dxfId="5939" priority="3699" operator="containsText" text="Pending">
      <formula>NOT(ISERROR(SEARCH("Pending",#REF!)))</formula>
    </cfRule>
    <cfRule type="containsText" dxfId="5938" priority="3700" operator="containsText" text="NA">
      <formula>NOT(ISERROR(SEARCH("NA",#REF!)))</formula>
    </cfRule>
    <cfRule type="containsText" dxfId="5937" priority="3701" operator="containsText" text="Done">
      <formula>NOT(ISERROR(SEARCH("Done",#REF!)))</formula>
    </cfRule>
    <cfRule type="containsText" dxfId="5936" priority="3702" operator="containsText" text="Pending">
      <formula>NOT(ISERROR(SEARCH("Pending",#REF!)))</formula>
    </cfRule>
    <cfRule type="containsText" dxfId="5935" priority="3703" operator="containsText" text="NA">
      <formula>NOT(ISERROR(SEARCH("NA",#REF!)))</formula>
    </cfRule>
    <cfRule type="containsText" dxfId="5934" priority="3705" operator="containsText" text="Done">
      <formula>NOT(ISERROR(SEARCH("Done",#REF!)))</formula>
    </cfRule>
    <cfRule type="containsText" dxfId="5933" priority="3704" operator="containsText" text="Done">
      <formula>NOT(ISERROR(SEARCH("Done",#REF!)))</formula>
    </cfRule>
    <cfRule type="containsText" dxfId="5932" priority="3707" operator="containsText" text="Pending">
      <formula>NOT(ISERROR(SEARCH("Pending",#REF!)))</formula>
    </cfRule>
    <cfRule type="containsText" dxfId="5931" priority="3708" operator="containsText" text="Pending">
      <formula>NOT(ISERROR(SEARCH("Pending",#REF!)))</formula>
    </cfRule>
    <cfRule type="containsText" dxfId="5930" priority="3709" operator="containsText" text="NA">
      <formula>NOT(ISERROR(SEARCH("NA",#REF!)))</formula>
    </cfRule>
    <cfRule type="containsText" dxfId="5929" priority="3710" operator="containsText" text="NA">
      <formula>NOT(ISERROR(SEARCH("NA",#REF!)))</formula>
    </cfRule>
    <cfRule type="containsText" dxfId="5928" priority="3711" operator="containsText" text="NA">
      <formula>NOT(ISERROR(SEARCH("NA",#REF!)))</formula>
    </cfRule>
    <cfRule type="containsText" dxfId="5927" priority="3678" operator="containsText" text="Pending">
      <formula>NOT(ISERROR(SEARCH("Pending",#REF!)))</formula>
    </cfRule>
  </conditionalFormatting>
  <conditionalFormatting sqref="Y82">
    <cfRule type="containsText" dxfId="5926" priority="371" operator="containsText" text="NA">
      <formula>NOT(ISERROR(SEARCH("NA",#REF!)))</formula>
    </cfRule>
    <cfRule type="containsText" dxfId="5925" priority="373" operator="containsText" text="Pending">
      <formula>NOT(ISERROR(SEARCH("Pending",#REF!)))</formula>
    </cfRule>
    <cfRule type="containsText" dxfId="5924" priority="374" operator="containsText" text="NA">
      <formula>NOT(ISERROR(SEARCH("NA",#REF!)))</formula>
    </cfRule>
    <cfRule type="containsText" dxfId="5923" priority="365" operator="containsText" text="Pending">
      <formula>NOT(ISERROR(SEARCH("Pending",#REF!)))</formula>
    </cfRule>
    <cfRule type="containsText" dxfId="5922" priority="364" operator="containsText" text="Done">
      <formula>NOT(ISERROR(SEARCH("Done",#REF!)))</formula>
    </cfRule>
    <cfRule type="containsText" dxfId="5921" priority="366" operator="containsText" text="NA">
      <formula>NOT(ISERROR(SEARCH("NA",#REF!)))</formula>
    </cfRule>
    <cfRule type="containsText" dxfId="5920" priority="367" operator="containsText" text="NA">
      <formula>NOT(ISERROR(SEARCH("NA",Y82)))</formula>
    </cfRule>
    <cfRule type="containsText" dxfId="5919" priority="363" operator="containsText" text="Done">
      <formula>NOT(ISERROR(SEARCH("Done",Y82)))</formula>
    </cfRule>
    <cfRule type="containsText" dxfId="5918" priority="368" operator="containsText" text="Done">
      <formula>NOT(ISERROR(SEARCH("Done",Y82)))</formula>
    </cfRule>
    <cfRule type="containsText" dxfId="5917" priority="369" operator="containsText" text="Done">
      <formula>NOT(ISERROR(SEARCH("Done",#REF!)))</formula>
    </cfRule>
    <cfRule type="containsText" dxfId="5916" priority="370" operator="containsText" text="Pending">
      <formula>NOT(ISERROR(SEARCH("Pending",#REF!)))</formula>
    </cfRule>
    <cfRule type="containsText" dxfId="5915" priority="362" operator="containsText" text="NA">
      <formula>NOT(ISERROR(SEARCH("NA",Y82)))</formula>
    </cfRule>
    <cfRule type="containsText" dxfId="5914" priority="372" operator="containsText" text="Done">
      <formula>NOT(ISERROR(SEARCH("Done",#REF!)))</formula>
    </cfRule>
  </conditionalFormatting>
  <conditionalFormatting sqref="Y83">
    <cfRule type="containsText" dxfId="5913" priority="361" operator="containsText" text="NA">
      <formula>NOT(ISERROR(SEARCH("NA",#REF!)))</formula>
    </cfRule>
    <cfRule type="containsText" dxfId="5912" priority="351" operator="containsText" text="Done">
      <formula>NOT(ISERROR(SEARCH("Done",#REF!)))</formula>
    </cfRule>
    <cfRule type="containsText" dxfId="5911" priority="350" operator="containsText" text="NA">
      <formula>NOT(ISERROR(SEARCH("NA",#REF!)))</formula>
    </cfRule>
    <cfRule type="containsText" dxfId="5910" priority="357" operator="containsText" text="Pending">
      <formula>NOT(ISERROR(SEARCH("Pending",#REF!)))</formula>
    </cfRule>
    <cfRule type="containsText" dxfId="5909" priority="360" operator="containsText" text="NA">
      <formula>NOT(ISERROR(SEARCH("NA",#REF!)))</formula>
    </cfRule>
    <cfRule type="containsText" dxfId="5908" priority="359" operator="containsText" text="NA">
      <formula>NOT(ISERROR(SEARCH("NA",#REF!)))</formula>
    </cfRule>
    <cfRule type="containsText" dxfId="5907" priority="349" operator="containsText" text="Pending">
      <formula>NOT(ISERROR(SEARCH("Pending",#REF!)))</formula>
    </cfRule>
    <cfRule type="containsText" dxfId="5906" priority="358" operator="containsText" text="Pending">
      <formula>NOT(ISERROR(SEARCH("Pending",#REF!)))</formula>
    </cfRule>
    <cfRule type="containsText" dxfId="5905" priority="356" operator="containsText" text="Pending">
      <formula>NOT(ISERROR(SEARCH("Pending",#REF!)))</formula>
    </cfRule>
    <cfRule type="containsText" dxfId="5904" priority="355" operator="containsText" text="Done">
      <formula>NOT(ISERROR(SEARCH("Done",#REF!)))</formula>
    </cfRule>
    <cfRule type="containsText" dxfId="5903" priority="354" operator="containsText" text="Done">
      <formula>NOT(ISERROR(SEARCH("Done",#REF!)))</formula>
    </cfRule>
    <cfRule type="containsText" dxfId="5902" priority="353" operator="containsText" text="NA">
      <formula>NOT(ISERROR(SEARCH("NA",#REF!)))</formula>
    </cfRule>
    <cfRule type="containsText" dxfId="5901" priority="352" operator="containsText" text="Pending">
      <formula>NOT(ISERROR(SEARCH("Pending",#REF!)))</formula>
    </cfRule>
  </conditionalFormatting>
  <conditionalFormatting sqref="Y86:Y88">
    <cfRule type="containsText" dxfId="5900" priority="1138" operator="containsText" text="Pending">
      <formula>NOT(ISERROR(SEARCH("Pending",#REF!)))</formula>
    </cfRule>
    <cfRule type="containsText" dxfId="5899" priority="1137" operator="containsText" text="Done">
      <formula>NOT(ISERROR(SEARCH("Done",#REF!)))</formula>
    </cfRule>
    <cfRule type="containsText" dxfId="5898" priority="1135" operator="containsText" text="NA">
      <formula>NOT(ISERROR(SEARCH("NA",Y86)))</formula>
    </cfRule>
    <cfRule type="containsText" dxfId="5897" priority="1147" operator="containsText" text="NA">
      <formula>NOT(ISERROR(SEARCH("NA",#REF!)))</formula>
    </cfRule>
    <cfRule type="containsText" dxfId="5896" priority="1146" operator="containsText" text="Pending">
      <formula>NOT(ISERROR(SEARCH("Pending",#REF!)))</formula>
    </cfRule>
    <cfRule type="containsText" dxfId="5895" priority="1145" operator="containsText" text="Done">
      <formula>NOT(ISERROR(SEARCH("Done",#REF!)))</formula>
    </cfRule>
    <cfRule type="containsText" dxfId="5894" priority="1144" operator="containsText" text="NA">
      <formula>NOT(ISERROR(SEARCH("NA",#REF!)))</formula>
    </cfRule>
    <cfRule type="containsText" dxfId="5893" priority="1143" operator="containsText" text="Pending">
      <formula>NOT(ISERROR(SEARCH("Pending",#REF!)))</formula>
    </cfRule>
    <cfRule type="containsText" dxfId="5892" priority="1142" operator="containsText" text="Done">
      <formula>NOT(ISERROR(SEARCH("Done",#REF!)))</formula>
    </cfRule>
    <cfRule type="containsText" dxfId="5891" priority="1141" operator="containsText" text="Done">
      <formula>NOT(ISERROR(SEARCH("Done",Y86)))</formula>
    </cfRule>
    <cfRule type="containsText" dxfId="5890" priority="1140" operator="containsText" text="NA">
      <formula>NOT(ISERROR(SEARCH("NA",Y86)))</formula>
    </cfRule>
    <cfRule type="containsText" dxfId="5889" priority="1139" operator="containsText" text="NA">
      <formula>NOT(ISERROR(SEARCH("NA",#REF!)))</formula>
    </cfRule>
    <cfRule type="containsText" dxfId="5888" priority="1136" operator="containsText" text="Done">
      <formula>NOT(ISERROR(SEARCH("Done",Y86)))</formula>
    </cfRule>
  </conditionalFormatting>
  <conditionalFormatting sqref="Y86:Y89">
    <cfRule type="containsText" dxfId="5887" priority="4885" operator="containsText" text="NA">
      <formula>NOT(ISERROR(SEARCH("NA",#REF!)))</formula>
    </cfRule>
    <cfRule type="containsText" dxfId="5886" priority="4884" operator="containsText" text="Pending">
      <formula>NOT(ISERROR(SEARCH("Pending",#REF!)))</formula>
    </cfRule>
    <cfRule type="containsText" dxfId="5885" priority="4883" operator="containsText" text="Done">
      <formula>NOT(ISERROR(SEARCH("Done",#REF!)))</formula>
    </cfRule>
    <cfRule type="containsText" dxfId="5884" priority="4882" operator="containsText" text="Done">
      <formula>NOT(ISERROR(SEARCH("Done",Y86)))</formula>
    </cfRule>
    <cfRule type="containsText" dxfId="5883" priority="4881" operator="containsText" text="NA">
      <formula>NOT(ISERROR(SEARCH("NA",Y86)))</formula>
    </cfRule>
  </conditionalFormatting>
  <conditionalFormatting sqref="Y88:Y89">
    <cfRule type="containsText" dxfId="5882" priority="77342" operator="containsText" text="NA">
      <formula>NOT(ISERROR(SEARCH("NA",Y88)))</formula>
    </cfRule>
    <cfRule type="containsText" dxfId="5881" priority="77343" operator="containsText" text="Done">
      <formula>NOT(ISERROR(SEARCH("Done",Y88)))</formula>
    </cfRule>
  </conditionalFormatting>
  <conditionalFormatting sqref="Y89">
    <cfRule type="containsText" dxfId="5880" priority="4213" operator="containsText" text="NA">
      <formula>NOT(ISERROR(SEARCH("NA",#REF!)))</formula>
    </cfRule>
    <cfRule type="containsText" dxfId="5879" priority="4212" operator="containsText" text="Pending">
      <formula>NOT(ISERROR(SEARCH("Pending",#REF!)))</formula>
    </cfRule>
    <cfRule type="containsText" dxfId="5878" priority="4211" operator="containsText" text="Done">
      <formula>NOT(ISERROR(SEARCH("Done",#REF!)))</formula>
    </cfRule>
    <cfRule type="containsText" dxfId="5877" priority="4210" operator="containsText" text="Done">
      <formula>NOT(ISERROR(SEARCH("Done",Y89)))</formula>
    </cfRule>
    <cfRule type="containsText" dxfId="5876" priority="4209" operator="containsText" text="NA">
      <formula>NOT(ISERROR(SEARCH("NA",Y89)))</formula>
    </cfRule>
    <cfRule type="containsText" dxfId="5875" priority="4208" operator="containsText" text="NA">
      <formula>NOT(ISERROR(SEARCH("NA",#REF!)))</formula>
    </cfRule>
    <cfRule type="containsText" dxfId="5874" priority="4205" operator="containsText" text="Done">
      <formula>NOT(ISERROR(SEARCH("Done",Y89)))</formula>
    </cfRule>
    <cfRule type="containsText" dxfId="5873" priority="4207" operator="containsText" text="Pending">
      <formula>NOT(ISERROR(SEARCH("Pending",#REF!)))</formula>
    </cfRule>
    <cfRule type="containsText" dxfId="5872" priority="4204" operator="containsText" text="NA">
      <formula>NOT(ISERROR(SEARCH("NA",Y89)))</formula>
    </cfRule>
    <cfRule type="containsText" dxfId="5871" priority="4206" operator="containsText" text="Done">
      <formula>NOT(ISERROR(SEARCH("Done",#REF!)))</formula>
    </cfRule>
  </conditionalFormatting>
  <conditionalFormatting sqref="Y30:Z30">
    <cfRule type="containsText" dxfId="5870" priority="3294" operator="containsText" text="Pending">
      <formula>NOT(ISERROR(SEARCH("Pending",#REF!)))</formula>
    </cfRule>
    <cfRule type="containsText" dxfId="5869" priority="3293" operator="containsText" text="Done">
      <formula>NOT(ISERROR(SEARCH("Done",#REF!)))</formula>
    </cfRule>
    <cfRule type="containsText" dxfId="5868" priority="3292" operator="containsText" text="NA">
      <formula>NOT(ISERROR(SEARCH("NA",#REF!)))</formula>
    </cfRule>
    <cfRule type="containsText" dxfId="5867" priority="3338" operator="containsText" text="NA">
      <formula>NOT(ISERROR(SEARCH("NA",#REF!)))</formula>
    </cfRule>
    <cfRule type="containsText" dxfId="5866" priority="3337" operator="containsText" text="Pending">
      <formula>NOT(ISERROR(SEARCH("Pending",#REF!)))</formula>
    </cfRule>
    <cfRule type="containsText" dxfId="5865" priority="3336" operator="containsText" text="Done">
      <formula>NOT(ISERROR(SEARCH("Done",#REF!)))</formula>
    </cfRule>
    <cfRule type="containsText" dxfId="5864" priority="3335" operator="containsText" text="NA">
      <formula>NOT(ISERROR(SEARCH("NA",#REF!)))</formula>
    </cfRule>
    <cfRule type="containsText" dxfId="5863" priority="3334" operator="containsText" text="NA">
      <formula>NOT(ISERROR(SEARCH("NA",#REF!)))</formula>
    </cfRule>
    <cfRule type="containsText" dxfId="5862" priority="3333" operator="containsText" text="Pending">
      <formula>NOT(ISERROR(SEARCH("Pending",#REF!)))</formula>
    </cfRule>
    <cfRule type="containsText" dxfId="5861" priority="3332" operator="containsText" text="NA">
      <formula>NOT(ISERROR(SEARCH("NA",#REF!)))</formula>
    </cfRule>
    <cfRule type="containsText" dxfId="5860" priority="3331" operator="containsText" text="Pending">
      <formula>NOT(ISERROR(SEARCH("Pending",#REF!)))</formula>
    </cfRule>
    <cfRule type="containsText" dxfId="5859" priority="3330" operator="containsText" text="Done">
      <formula>NOT(ISERROR(SEARCH("Done",#REF!)))</formula>
    </cfRule>
    <cfRule type="containsText" dxfId="5858" priority="3329" operator="containsText" text="NA">
      <formula>NOT(ISERROR(SEARCH("NA",#REF!)))</formula>
    </cfRule>
    <cfRule type="containsText" dxfId="5857" priority="3328" operator="containsText" text="Done">
      <formula>NOT(ISERROR(SEARCH("Done",Y30)))</formula>
    </cfRule>
    <cfRule type="containsText" dxfId="5856" priority="3327" operator="containsText" text="Pending">
      <formula>NOT(ISERROR(SEARCH("Pending",Y30)))</formula>
    </cfRule>
    <cfRule type="containsText" dxfId="5855" priority="3326" operator="containsText" text="NA">
      <formula>NOT(ISERROR(SEARCH("NA",Y30)))</formula>
    </cfRule>
    <cfRule type="containsText" dxfId="5854" priority="3325" operator="containsText" text="NA">
      <formula>NOT(ISERROR(SEARCH("NA",#REF!)))</formula>
    </cfRule>
    <cfRule type="containsText" dxfId="5853" priority="3324" operator="containsText" text="Pending">
      <formula>NOT(ISERROR(SEARCH("Pending",#REF!)))</formula>
    </cfRule>
    <cfRule type="containsText" dxfId="5852" priority="3323" operator="containsText" text="Done">
      <formula>NOT(ISERROR(SEARCH("Done",#REF!)))</formula>
    </cfRule>
    <cfRule type="containsText" dxfId="5851" priority="3322" operator="containsText" text="NA">
      <formula>NOT(ISERROR(SEARCH("NA",#REF!)))</formula>
    </cfRule>
    <cfRule type="containsText" dxfId="5850" priority="3321" operator="containsText" text="NA">
      <formula>NOT(ISERROR(SEARCH("NA",#REF!)))</formula>
    </cfRule>
    <cfRule type="containsText" dxfId="5849" priority="3320" operator="containsText" text="Pending">
      <formula>NOT(ISERROR(SEARCH("Pending",#REF!)))</formula>
    </cfRule>
    <cfRule type="containsText" dxfId="5848" priority="3319" operator="containsText" text="Done">
      <formula>NOT(ISERROR(SEARCH("Done",#REF!)))</formula>
    </cfRule>
    <cfRule type="containsText" dxfId="5847" priority="3318" operator="containsText" text="NA">
      <formula>NOT(ISERROR(SEARCH("NA",#REF!)))</formula>
    </cfRule>
    <cfRule type="containsText" dxfId="5846" priority="3317" operator="containsText" text="Pending">
      <formula>NOT(ISERROR(SEARCH("Pending",#REF!)))</formula>
    </cfRule>
    <cfRule type="containsText" dxfId="5845" priority="3316" operator="containsText" text="Done">
      <formula>NOT(ISERROR(SEARCH("Done",#REF!)))</formula>
    </cfRule>
    <cfRule type="containsText" dxfId="5844" priority="3315" operator="containsText" text="NA">
      <formula>NOT(ISERROR(SEARCH("NA",#REF!)))</formula>
    </cfRule>
    <cfRule type="containsText" dxfId="5843" priority="3314" operator="containsText" text="NA">
      <formula>NOT(ISERROR(SEARCH("NA",#REF!)))</formula>
    </cfRule>
    <cfRule type="containsText" dxfId="5842" priority="3313" operator="containsText" text="Pending">
      <formula>NOT(ISERROR(SEARCH("Pending",#REF!)))</formula>
    </cfRule>
    <cfRule type="containsText" dxfId="5841" priority="3312" operator="containsText" text="Done">
      <formula>NOT(ISERROR(SEARCH("Done",#REF!)))</formula>
    </cfRule>
    <cfRule type="containsText" dxfId="5840" priority="3311" operator="containsText" text="NA">
      <formula>NOT(ISERROR(SEARCH("NA",#REF!)))</formula>
    </cfRule>
    <cfRule type="containsText" dxfId="5839" priority="3310" operator="containsText" text="NA">
      <formula>NOT(ISERROR(SEARCH("NA",#REF!)))</formula>
    </cfRule>
    <cfRule type="containsText" dxfId="5838" priority="3309" operator="containsText" text="Pending">
      <formula>NOT(ISERROR(SEARCH("Pending",#REF!)))</formula>
    </cfRule>
    <cfRule type="containsText" dxfId="5837" priority="3308" operator="containsText" text="Done">
      <formula>NOT(ISERROR(SEARCH("Done",#REF!)))</formula>
    </cfRule>
    <cfRule type="containsText" dxfId="5836" priority="3307" operator="containsText" text="NA">
      <formula>NOT(ISERROR(SEARCH("NA",#REF!)))</formula>
    </cfRule>
    <cfRule type="containsText" dxfId="5835" priority="3306" operator="containsText" text="NA">
      <formula>NOT(ISERROR(SEARCH("NA",#REF!)))</formula>
    </cfRule>
    <cfRule type="containsText" dxfId="5834" priority="3305" operator="containsText" text="Pending">
      <formula>NOT(ISERROR(SEARCH("Pending",#REF!)))</formula>
    </cfRule>
    <cfRule type="containsText" dxfId="5833" priority="3290" operator="containsText" text="Pending">
      <formula>NOT(ISERROR(SEARCH("Pending",#REF!)))</formula>
    </cfRule>
    <cfRule type="containsText" dxfId="5832" priority="3289" operator="containsText" text="Done">
      <formula>NOT(ISERROR(SEARCH("Done",#REF!)))</formula>
    </cfRule>
    <cfRule type="containsText" dxfId="5831" priority="3288" operator="containsText" text="NA">
      <formula>NOT(ISERROR(SEARCH("NA",#REF!)))</formula>
    </cfRule>
    <cfRule type="containsText" dxfId="5830" priority="3287" operator="containsText" text="Pending">
      <formula>NOT(ISERROR(SEARCH("Pending",#REF!)))</formula>
    </cfRule>
    <cfRule type="containsText" dxfId="5829" priority="3286" operator="containsText" text="Done">
      <formula>NOT(ISERROR(SEARCH("Done",#REF!)))</formula>
    </cfRule>
    <cfRule type="containsText" dxfId="5828" priority="3285" operator="containsText" text="NA">
      <formula>NOT(ISERROR(SEARCH("NA",#REF!)))</formula>
    </cfRule>
    <cfRule type="containsText" dxfId="5827" priority="3284" operator="containsText" text="Done">
      <formula>NOT(ISERROR(SEARCH("Done",Y30)))</formula>
    </cfRule>
    <cfRule type="containsText" dxfId="5826" priority="3283" operator="containsText" text="NA">
      <formula>NOT(ISERROR(SEARCH("NA",Y30)))</formula>
    </cfRule>
    <cfRule type="containsText" dxfId="5825" priority="3282" operator="containsText" text="NA">
      <formula>NOT(ISERROR(SEARCH("NA",#REF!)))</formula>
    </cfRule>
    <cfRule type="containsText" dxfId="5824" priority="3281" operator="containsText" text="NA">
      <formula>NOT(ISERROR(SEARCH("NA",#REF!)))</formula>
    </cfRule>
    <cfRule type="containsText" dxfId="5823" priority="3280" operator="containsText" text="Pending">
      <formula>NOT(ISERROR(SEARCH("Pending",#REF!)))</formula>
    </cfRule>
    <cfRule type="containsText" dxfId="5822" priority="3279" operator="containsText" text="Done">
      <formula>NOT(ISERROR(SEARCH("Done",#REF!)))</formula>
    </cfRule>
    <cfRule type="containsText" dxfId="5821" priority="3278" operator="containsText" text="NA">
      <formula>NOT(ISERROR(SEARCH("NA",#REF!)))</formula>
    </cfRule>
    <cfRule type="containsText" dxfId="5820" priority="3277" operator="containsText" text="Pending">
      <formula>NOT(ISERROR(SEARCH("Pending",#REF!)))</formula>
    </cfRule>
    <cfRule type="containsText" dxfId="5819" priority="3276" operator="containsText" text="Done">
      <formula>NOT(ISERROR(SEARCH("Done",#REF!)))</formula>
    </cfRule>
    <cfRule type="containsText" dxfId="5818" priority="3275" operator="containsText" text="NA">
      <formula>NOT(ISERROR(SEARCH("NA",#REF!)))</formula>
    </cfRule>
    <cfRule type="containsText" dxfId="5817" priority="3274" operator="containsText" text="NA">
      <formula>NOT(ISERROR(SEARCH("NA",#REF!)))</formula>
    </cfRule>
    <cfRule type="containsText" dxfId="5816" priority="3273" operator="containsText" text="Pending">
      <formula>NOT(ISERROR(SEARCH("Pending",#REF!)))</formula>
    </cfRule>
    <cfRule type="containsText" dxfId="5815" priority="3272" operator="containsText" text="Done">
      <formula>NOT(ISERROR(SEARCH("Done",#REF!)))</formula>
    </cfRule>
    <cfRule type="containsText" dxfId="5814" priority="3271" operator="containsText" text="NA">
      <formula>NOT(ISERROR(SEARCH("NA",#REF!)))</formula>
    </cfRule>
    <cfRule type="containsText" dxfId="5813" priority="3270" operator="containsText" text="NA">
      <formula>NOT(ISERROR(SEARCH("NA",#REF!)))</formula>
    </cfRule>
    <cfRule type="containsText" dxfId="5812" priority="3269" operator="containsText" text="Pending">
      <formula>NOT(ISERROR(SEARCH("Pending",#REF!)))</formula>
    </cfRule>
    <cfRule type="containsText" dxfId="5811" priority="3268" operator="containsText" text="Done">
      <formula>NOT(ISERROR(SEARCH("Done",#REF!)))</formula>
    </cfRule>
    <cfRule type="containsText" dxfId="5810" priority="3267" operator="containsText" text="NA">
      <formula>NOT(ISERROR(SEARCH("NA",#REF!)))</formula>
    </cfRule>
    <cfRule type="containsText" dxfId="5809" priority="3266" operator="containsText" text="Pending">
      <formula>NOT(ISERROR(SEARCH("Pending",#REF!)))</formula>
    </cfRule>
    <cfRule type="containsText" dxfId="5808" priority="3265" operator="containsText" text="Done">
      <formula>NOT(ISERROR(SEARCH("Done",#REF!)))</formula>
    </cfRule>
    <cfRule type="containsText" dxfId="5807" priority="3264" operator="containsText" text="NA">
      <formula>NOT(ISERROR(SEARCH("NA",#REF!)))</formula>
    </cfRule>
    <cfRule type="containsText" dxfId="5806" priority="3263" operator="containsText" text="NA">
      <formula>NOT(ISERROR(SEARCH("NA",#REF!)))</formula>
    </cfRule>
    <cfRule type="containsText" dxfId="5805" priority="3262" operator="containsText" text="Pending">
      <formula>NOT(ISERROR(SEARCH("Pending",#REF!)))</formula>
    </cfRule>
    <cfRule type="containsText" dxfId="5804" priority="3261" operator="containsText" text="Done">
      <formula>NOT(ISERROR(SEARCH("Done",#REF!)))</formula>
    </cfRule>
    <cfRule type="containsText" dxfId="5803" priority="3260" operator="containsText" text="NA">
      <formula>NOT(ISERROR(SEARCH("NA",#REF!)))</formula>
    </cfRule>
    <cfRule type="containsText" dxfId="5802" priority="3259" operator="containsText" text="NA">
      <formula>NOT(ISERROR(SEARCH("NA",#REF!)))</formula>
    </cfRule>
    <cfRule type="containsText" dxfId="5801" priority="3258" operator="containsText" text="Pending">
      <formula>NOT(ISERROR(SEARCH("Pending",#REF!)))</formula>
    </cfRule>
    <cfRule type="containsText" dxfId="5800" priority="3257" operator="containsText" text="Done">
      <formula>NOT(ISERROR(SEARCH("Done",#REF!)))</formula>
    </cfRule>
    <cfRule type="containsText" dxfId="5799" priority="3256" operator="containsText" text="NA">
      <formula>NOT(ISERROR(SEARCH("NA",#REF!)))</formula>
    </cfRule>
    <cfRule type="containsText" dxfId="5798" priority="3255" operator="containsText" text="Pending">
      <formula>NOT(ISERROR(SEARCH("Pending",#REF!)))</formula>
    </cfRule>
    <cfRule type="containsText" dxfId="5797" priority="3254" operator="containsText" text="Done">
      <formula>NOT(ISERROR(SEARCH("Done",#REF!)))</formula>
    </cfRule>
    <cfRule type="containsText" dxfId="5796" priority="3253" operator="containsText" text="NA">
      <formula>NOT(ISERROR(SEARCH("NA",#REF!)))</formula>
    </cfRule>
    <cfRule type="containsText" dxfId="5795" priority="3252" operator="containsText" text="NA">
      <formula>NOT(ISERROR(SEARCH("NA",#REF!)))</formula>
    </cfRule>
    <cfRule type="containsText" dxfId="5794" priority="3251" operator="containsText" text="Pending">
      <formula>NOT(ISERROR(SEARCH("Pending",#REF!)))</formula>
    </cfRule>
    <cfRule type="containsText" dxfId="5793" priority="3250" operator="containsText" text="Done">
      <formula>NOT(ISERROR(SEARCH("Done",#REF!)))</formula>
    </cfRule>
    <cfRule type="containsText" dxfId="5792" priority="3248" operator="containsText" text="NA">
      <formula>NOT(ISERROR(SEARCH("NA",#REF!)))</formula>
    </cfRule>
    <cfRule type="containsText" dxfId="5791" priority="3247" operator="containsText" text="Pending">
      <formula>NOT(ISERROR(SEARCH("Pending",#REF!)))</formula>
    </cfRule>
    <cfRule type="containsText" dxfId="5790" priority="3246" operator="containsText" text="Done">
      <formula>NOT(ISERROR(SEARCH("Done",#REF!)))</formula>
    </cfRule>
    <cfRule type="containsText" dxfId="5789" priority="3245" operator="containsText" text="NA">
      <formula>NOT(ISERROR(SEARCH("NA",#REF!)))</formula>
    </cfRule>
    <cfRule type="containsText" dxfId="5788" priority="3244" operator="containsText" text="NA">
      <formula>NOT(ISERROR(SEARCH("NA",#REF!)))</formula>
    </cfRule>
    <cfRule type="containsText" dxfId="5787" priority="3243" operator="containsText" text="Pending">
      <formula>NOT(ISERROR(SEARCH("Pending",#REF!)))</formula>
    </cfRule>
    <cfRule type="containsText" dxfId="5786" priority="3242" operator="containsText" text="Done">
      <formula>NOT(ISERROR(SEARCH("Done",#REF!)))</formula>
    </cfRule>
    <cfRule type="containsText" dxfId="5785" priority="3241" operator="containsText" text="NA">
      <formula>NOT(ISERROR(SEARCH("NA",#REF!)))</formula>
    </cfRule>
    <cfRule type="containsText" dxfId="5784" priority="3240" operator="containsText" text="NA">
      <formula>NOT(ISERROR(SEARCH("NA",#REF!)))</formula>
    </cfRule>
    <cfRule type="containsText" dxfId="5783" priority="3239" operator="containsText" text="Pending">
      <formula>NOT(ISERROR(SEARCH("Pending",#REF!)))</formula>
    </cfRule>
    <cfRule type="containsText" dxfId="5782" priority="3238" operator="containsText" text="Done">
      <formula>NOT(ISERROR(SEARCH("Done",#REF!)))</formula>
    </cfRule>
    <cfRule type="containsText" dxfId="5781" priority="3237" operator="containsText" text="NA">
      <formula>NOT(ISERROR(SEARCH("NA",#REF!)))</formula>
    </cfRule>
    <cfRule type="containsText" dxfId="5780" priority="3236" operator="containsText" text="NA">
      <formula>NOT(ISERROR(SEARCH("NA",#REF!)))</formula>
    </cfRule>
    <cfRule type="containsText" dxfId="5779" priority="3235" operator="containsText" text="Pending">
      <formula>NOT(ISERROR(SEARCH("Pending",#REF!)))</formula>
    </cfRule>
    <cfRule type="containsText" dxfId="5778" priority="3234" operator="containsText" text="Done">
      <formula>NOT(ISERROR(SEARCH("Done",#REF!)))</formula>
    </cfRule>
    <cfRule type="containsText" dxfId="5777" priority="3232" operator="containsText" text="Pending">
      <formula>NOT(ISERROR(SEARCH("Pending",#REF!)))</formula>
    </cfRule>
    <cfRule type="containsText" dxfId="5776" priority="3231" operator="containsText" text="Done">
      <formula>NOT(ISERROR(SEARCH("Done",#REF!)))</formula>
    </cfRule>
    <cfRule type="containsText" dxfId="5775" priority="3230" operator="containsText" text="NA">
      <formula>NOT(ISERROR(SEARCH("NA",#REF!)))</formula>
    </cfRule>
    <cfRule type="containsText" dxfId="5774" priority="3229" operator="containsText" text="NA">
      <formula>NOT(ISERROR(SEARCH("NA",#REF!)))</formula>
    </cfRule>
    <cfRule type="containsText" dxfId="5773" priority="3228" operator="containsText" text="Pending">
      <formula>NOT(ISERROR(SEARCH("Pending",#REF!)))</formula>
    </cfRule>
    <cfRule type="containsText" dxfId="5772" priority="3249" operator="containsText" text="NA">
      <formula>NOT(ISERROR(SEARCH("NA",#REF!)))</formula>
    </cfRule>
    <cfRule type="containsText" dxfId="5771" priority="3226" operator="containsText" text="NA">
      <formula>NOT(ISERROR(SEARCH("NA",#REF!)))</formula>
    </cfRule>
    <cfRule type="containsText" dxfId="5770" priority="3225" operator="containsText" text="NA">
      <formula>NOT(ISERROR(SEARCH("NA",#REF!)))</formula>
    </cfRule>
    <cfRule type="containsText" dxfId="5769" priority="3224" operator="containsText" text="Pending">
      <formula>NOT(ISERROR(SEARCH("Pending",#REF!)))</formula>
    </cfRule>
    <cfRule type="containsText" dxfId="5768" priority="3223" operator="containsText" text="Done">
      <formula>NOT(ISERROR(SEARCH("Done",#REF!)))</formula>
    </cfRule>
    <cfRule type="containsText" dxfId="5767" priority="3222" operator="containsText" text="NA">
      <formula>NOT(ISERROR(SEARCH("NA",#REF!)))</formula>
    </cfRule>
    <cfRule type="containsText" dxfId="5766" priority="3233" operator="containsText" text="NA">
      <formula>NOT(ISERROR(SEARCH("NA",#REF!)))</formula>
    </cfRule>
    <cfRule type="containsText" dxfId="5765" priority="3304" operator="containsText" text="Done">
      <formula>NOT(ISERROR(SEARCH("Done",#REF!)))</formula>
    </cfRule>
    <cfRule type="containsText" dxfId="5764" priority="3303" operator="containsText" text="NA">
      <formula>NOT(ISERROR(SEARCH("NA",#REF!)))</formula>
    </cfRule>
    <cfRule type="containsText" dxfId="5763" priority="3302" operator="containsText" text="Pending">
      <formula>NOT(ISERROR(SEARCH("Pending",#REF!)))</formula>
    </cfRule>
    <cfRule type="containsText" dxfId="5762" priority="3301" operator="containsText" text="Done">
      <formula>NOT(ISERROR(SEARCH("Done",#REF!)))</formula>
    </cfRule>
    <cfRule type="containsText" dxfId="5761" priority="3300" operator="containsText" text="NA">
      <formula>NOT(ISERROR(SEARCH("NA",#REF!)))</formula>
    </cfRule>
    <cfRule type="containsText" dxfId="5760" priority="3299" operator="containsText" text="NA">
      <formula>NOT(ISERROR(SEARCH("NA",#REF!)))</formula>
    </cfRule>
    <cfRule type="containsText" dxfId="5759" priority="3298" operator="containsText" text="Pending">
      <formula>NOT(ISERROR(SEARCH("Pending",#REF!)))</formula>
    </cfRule>
    <cfRule type="containsText" dxfId="5758" priority="3297" operator="containsText" text="Done">
      <formula>NOT(ISERROR(SEARCH("Done",#REF!)))</formula>
    </cfRule>
    <cfRule type="containsText" dxfId="5757" priority="3296" operator="containsText" text="NA">
      <formula>NOT(ISERROR(SEARCH("NA",#REF!)))</formula>
    </cfRule>
    <cfRule type="containsText" dxfId="5756" priority="3291" operator="containsText" text="NA">
      <formula>NOT(ISERROR(SEARCH("NA",#REF!)))</formula>
    </cfRule>
    <cfRule type="containsText" dxfId="5755" priority="3295" operator="containsText" text="NA">
      <formula>NOT(ISERROR(SEARCH("NA",#REF!)))</formula>
    </cfRule>
    <cfRule type="containsText" dxfId="5754" priority="3227" operator="containsText" text="Done">
      <formula>NOT(ISERROR(SEARCH("Done",#REF!)))</formula>
    </cfRule>
  </conditionalFormatting>
  <conditionalFormatting sqref="Y31:Z31">
    <cfRule type="containsText" dxfId="5753" priority="2562" operator="containsText" text="Done">
      <formula>NOT(ISERROR(SEARCH("Done",#REF!)))</formula>
    </cfRule>
    <cfRule type="containsText" dxfId="5752" priority="2564" operator="containsText" text="NA">
      <formula>NOT(ISERROR(SEARCH("NA",#REF!)))</formula>
    </cfRule>
    <cfRule type="containsText" dxfId="5751" priority="2563" operator="containsText" text="Pending">
      <formula>NOT(ISERROR(SEARCH("Pending",#REF!)))</formula>
    </cfRule>
    <cfRule type="containsText" dxfId="5750" priority="2561" operator="containsText" text="NA">
      <formula>NOT(ISERROR(SEARCH("NA",#REF!)))</formula>
    </cfRule>
  </conditionalFormatting>
  <conditionalFormatting sqref="Y77:Z83">
    <cfRule type="containsText" dxfId="5749" priority="109344" operator="containsText" text="Pending">
      <formula>NOT(ISERROR(SEARCH("Pending",#REF!)))</formula>
    </cfRule>
  </conditionalFormatting>
  <conditionalFormatting sqref="Y57:AB57 AB58:AB62 AG57:AH57">
    <cfRule type="containsText" dxfId="5748" priority="119872" operator="containsText" text="Done">
      <formula>NOT(ISERROR(SEARCH("Done",#REF!)))</formula>
    </cfRule>
  </conditionalFormatting>
  <conditionalFormatting sqref="Y31:AG32 AC29:AD32">
    <cfRule type="containsText" dxfId="5747" priority="109242" operator="containsText" text="Done">
      <formula>NOT(ISERROR(SEARCH("Done",#REF!)))</formula>
    </cfRule>
    <cfRule type="containsText" dxfId="5746" priority="109244" operator="containsText" text="NA">
      <formula>NOT(ISERROR(SEARCH("NA",#REF!)))</formula>
    </cfRule>
    <cfRule type="containsText" dxfId="5745" priority="109220" operator="containsText" text="Done">
      <formula>NOT(ISERROR(SEARCH("Done",#REF!)))</formula>
    </cfRule>
    <cfRule type="containsText" dxfId="5744" priority="109222" operator="containsText" text="NA">
      <formula>NOT(ISERROR(SEARCH("NA",#REF!)))</formula>
    </cfRule>
    <cfRule type="containsText" dxfId="5743" priority="109223" operator="containsText" text="NA">
      <formula>NOT(ISERROR(SEARCH("NA",#REF!)))</formula>
    </cfRule>
    <cfRule type="containsText" dxfId="5742" priority="109224" operator="containsText" text="Done">
      <formula>NOT(ISERROR(SEARCH("Done",#REF!)))</formula>
    </cfRule>
    <cfRule type="containsText" dxfId="5741" priority="109226" operator="containsText" text="NA">
      <formula>NOT(ISERROR(SEARCH("NA",#REF!)))</formula>
    </cfRule>
    <cfRule type="containsText" dxfId="5740" priority="109227" operator="containsText" text="NA">
      <formula>NOT(ISERROR(SEARCH("NA",Y29)))</formula>
    </cfRule>
    <cfRule type="containsText" dxfId="5739" priority="109228" operator="containsText" text="Pending">
      <formula>NOT(ISERROR(SEARCH("Pending",Y29)))</formula>
    </cfRule>
    <cfRule type="containsText" dxfId="5738" priority="109229" operator="containsText" text="Done">
      <formula>NOT(ISERROR(SEARCH("Done",Y29)))</formula>
    </cfRule>
    <cfRule type="containsText" dxfId="5737" priority="109230" operator="containsText" text="NA">
      <formula>NOT(ISERROR(SEARCH("NA",#REF!)))</formula>
    </cfRule>
    <cfRule type="containsText" dxfId="5736" priority="109231" operator="containsText" text="Done">
      <formula>NOT(ISERROR(SEARCH("Done",#REF!)))</formula>
    </cfRule>
    <cfRule type="containsText" dxfId="5735" priority="109245" operator="containsText" text="NA">
      <formula>NOT(ISERROR(SEARCH("NA",#REF!)))</formula>
    </cfRule>
    <cfRule type="containsText" dxfId="5734" priority="109246" operator="containsText" text="Done">
      <formula>NOT(ISERROR(SEARCH("Done",#REF!)))</formula>
    </cfRule>
    <cfRule type="containsText" dxfId="5733" priority="109248" operator="containsText" text="NA">
      <formula>NOT(ISERROR(SEARCH("NA",#REF!)))</formula>
    </cfRule>
    <cfRule type="containsText" dxfId="5732" priority="109249" operator="containsText" text="NA">
      <formula>NOT(ISERROR(SEARCH("NA",#REF!)))</formula>
    </cfRule>
    <cfRule type="containsText" dxfId="5731" priority="109250" operator="containsText" text="Done">
      <formula>NOT(ISERROR(SEARCH("Done",#REF!)))</formula>
    </cfRule>
    <cfRule type="containsText" dxfId="5730" priority="109252" operator="containsText" text="NA">
      <formula>NOT(ISERROR(SEARCH("NA",#REF!)))</formula>
    </cfRule>
    <cfRule type="containsText" dxfId="5729" priority="109218" operator="containsText" text="NA">
      <formula>NOT(ISERROR(SEARCH("NA",#REF!)))</formula>
    </cfRule>
    <cfRule type="containsText" dxfId="5728" priority="109216" operator="containsText" text="Done">
      <formula>NOT(ISERROR(SEARCH("Done",#REF!)))</formula>
    </cfRule>
    <cfRule type="containsText" dxfId="5727" priority="109215" operator="containsText" text="NA">
      <formula>NOT(ISERROR(SEARCH("NA",#REF!)))</formula>
    </cfRule>
    <cfRule type="containsText" dxfId="5726" priority="109219" operator="containsText" text="NA">
      <formula>NOT(ISERROR(SEARCH("NA",#REF!)))</formula>
    </cfRule>
    <cfRule type="containsText" dxfId="5725" priority="109237" operator="containsText" text="NA">
      <formula>NOT(ISERROR(SEARCH("NA",#REF!)))</formula>
    </cfRule>
    <cfRule type="containsText" dxfId="5724" priority="109240" operator="containsText" text="NA">
      <formula>NOT(ISERROR(SEARCH("NA",#REF!)))</formula>
    </cfRule>
    <cfRule type="containsText" dxfId="5723" priority="109241" operator="containsText" text="NA">
      <formula>NOT(ISERROR(SEARCH("NA",#REF!)))</formula>
    </cfRule>
    <cfRule type="containsText" dxfId="5722" priority="109233" operator="containsText" text="NA">
      <formula>NOT(ISERROR(SEARCH("NA",#REF!)))</formula>
    </cfRule>
    <cfRule type="containsText" dxfId="5721" priority="109234" operator="containsText" text="NA">
      <formula>NOT(ISERROR(SEARCH("NA",Y29)))</formula>
    </cfRule>
    <cfRule type="containsText" dxfId="5720" priority="109235" operator="containsText" text="Pending">
      <formula>NOT(ISERROR(SEARCH("Pending",Y29)))</formula>
    </cfRule>
    <cfRule type="containsText" dxfId="5719" priority="109236" operator="containsText" text="Done">
      <formula>NOT(ISERROR(SEARCH("Done",Y29)))</formula>
    </cfRule>
    <cfRule type="containsText" dxfId="5718" priority="109238" operator="containsText" text="Done">
      <formula>NOT(ISERROR(SEARCH("Done",#REF!)))</formula>
    </cfRule>
  </conditionalFormatting>
  <conditionalFormatting sqref="Z21">
    <cfRule type="containsText" dxfId="5717" priority="135979" operator="containsText" text="NA">
      <formula>NOT(ISERROR(SEARCH("NA",#REF!)))</formula>
    </cfRule>
    <cfRule type="containsText" dxfId="5716" priority="135761" operator="containsText" text="Pending">
      <formula>NOT(ISERROR(SEARCH("Pending",#REF!)))</formula>
    </cfRule>
  </conditionalFormatting>
  <conditionalFormatting sqref="Z22">
    <cfRule type="containsText" dxfId="5715" priority="136010" operator="containsText" text="NA">
      <formula>NOT(ISERROR(SEARCH("NA",#REF!)))</formula>
    </cfRule>
    <cfRule type="containsText" dxfId="5714" priority="135792" operator="containsText" text="Pending">
      <formula>NOT(ISERROR(SEARCH("Pending",#REF!)))</formula>
    </cfRule>
  </conditionalFormatting>
  <conditionalFormatting sqref="Z29">
    <cfRule type="containsText" dxfId="5713" priority="3136" operator="containsText" text="Done">
      <formula>NOT(ISERROR(SEARCH("Done",#REF!)))</formula>
    </cfRule>
    <cfRule type="containsText" dxfId="5712" priority="3137" operator="containsText" text="Pending">
      <formula>NOT(ISERROR(SEARCH("Pending",#REF!)))</formula>
    </cfRule>
    <cfRule type="containsText" dxfId="5711" priority="3138" operator="containsText" text="NA">
      <formula>NOT(ISERROR(SEARCH("NA",#REF!)))</formula>
    </cfRule>
    <cfRule type="containsText" dxfId="5710" priority="3139" operator="containsText" text="Done">
      <formula>NOT(ISERROR(SEARCH("Done",#REF!)))</formula>
    </cfRule>
    <cfRule type="containsText" dxfId="5709" priority="3140" operator="containsText" text="Pending">
      <formula>NOT(ISERROR(SEARCH("Pending",#REF!)))</formula>
    </cfRule>
    <cfRule type="containsText" dxfId="5708" priority="3141" operator="containsText" text="NA">
      <formula>NOT(ISERROR(SEARCH("NA",#REF!)))</formula>
    </cfRule>
    <cfRule type="containsText" dxfId="5707" priority="3142" operator="containsText" text="NA">
      <formula>NOT(ISERROR(SEARCH("NA",#REF!)))</formula>
    </cfRule>
    <cfRule type="containsText" dxfId="5706" priority="3143" operator="containsText" text="Done">
      <formula>NOT(ISERROR(SEARCH("Done",#REF!)))</formula>
    </cfRule>
    <cfRule type="containsText" dxfId="5705" priority="3144" operator="containsText" text="Pending">
      <formula>NOT(ISERROR(SEARCH("Pending",#REF!)))</formula>
    </cfRule>
    <cfRule type="containsText" dxfId="5704" priority="3145" operator="containsText" text="NA">
      <formula>NOT(ISERROR(SEARCH("NA",#REF!)))</formula>
    </cfRule>
    <cfRule type="containsText" dxfId="5703" priority="3146" operator="containsText" text="NA">
      <formula>NOT(ISERROR(SEARCH("NA",#REF!)))</formula>
    </cfRule>
    <cfRule type="containsText" dxfId="5702" priority="3147" operator="containsText" text="Done">
      <formula>NOT(ISERROR(SEARCH("Done",#REF!)))</formula>
    </cfRule>
    <cfRule type="containsText" dxfId="5701" priority="3148" operator="containsText" text="Pending">
      <formula>NOT(ISERROR(SEARCH("Pending",#REF!)))</formula>
    </cfRule>
    <cfRule type="containsText" dxfId="5700" priority="3149" operator="containsText" text="NA">
      <formula>NOT(ISERROR(SEARCH("NA",#REF!)))</formula>
    </cfRule>
    <cfRule type="containsText" dxfId="5699" priority="3150" operator="containsText" text="Done">
      <formula>NOT(ISERROR(SEARCH("Done",#REF!)))</formula>
    </cfRule>
    <cfRule type="containsText" dxfId="5698" priority="3151" operator="containsText" text="Pending">
      <formula>NOT(ISERROR(SEARCH("Pending",#REF!)))</formula>
    </cfRule>
    <cfRule type="containsText" dxfId="5697" priority="3152" operator="containsText" text="NA">
      <formula>NOT(ISERROR(SEARCH("NA",#REF!)))</formula>
    </cfRule>
    <cfRule type="containsText" dxfId="5696" priority="3153" operator="containsText" text="NA">
      <formula>NOT(ISERROR(SEARCH("NA",#REF!)))</formula>
    </cfRule>
    <cfRule type="containsText" dxfId="5695" priority="3154" operator="containsText" text="Done">
      <formula>NOT(ISERROR(SEARCH("Done",#REF!)))</formula>
    </cfRule>
    <cfRule type="containsText" dxfId="5694" priority="3155" operator="containsText" text="Pending">
      <formula>NOT(ISERROR(SEARCH("Pending",#REF!)))</formula>
    </cfRule>
    <cfRule type="containsText" dxfId="5693" priority="3156" operator="containsText" text="NA">
      <formula>NOT(ISERROR(SEARCH("NA",#REF!)))</formula>
    </cfRule>
    <cfRule type="containsText" dxfId="5692" priority="3157" operator="containsText" text="NA">
      <formula>NOT(ISERROR(SEARCH("NA",#REF!)))</formula>
    </cfRule>
    <cfRule type="containsText" dxfId="5691" priority="3158" operator="containsText" text="Done">
      <formula>NOT(ISERROR(SEARCH("Done",#REF!)))</formula>
    </cfRule>
    <cfRule type="containsText" dxfId="5690" priority="3159" operator="containsText" text="Pending">
      <formula>NOT(ISERROR(SEARCH("Pending",#REF!)))</formula>
    </cfRule>
    <cfRule type="containsText" dxfId="5689" priority="3160" operator="containsText" text="NA">
      <formula>NOT(ISERROR(SEARCH("NA",#REF!)))</formula>
    </cfRule>
    <cfRule type="containsText" dxfId="5688" priority="3161" operator="containsText" text="Done">
      <formula>NOT(ISERROR(SEARCH("Done",#REF!)))</formula>
    </cfRule>
    <cfRule type="containsText" dxfId="5687" priority="3162" operator="containsText" text="Pending">
      <formula>NOT(ISERROR(SEARCH("Pending",#REF!)))</formula>
    </cfRule>
    <cfRule type="containsText" dxfId="5686" priority="3163" operator="containsText" text="NA">
      <formula>NOT(ISERROR(SEARCH("NA",#REF!)))</formula>
    </cfRule>
    <cfRule type="containsText" dxfId="5685" priority="3164" operator="containsText" text="NA">
      <formula>NOT(ISERROR(SEARCH("NA",#REF!)))</formula>
    </cfRule>
    <cfRule type="containsText" dxfId="5684" priority="3165" operator="containsText" text="NA">
      <formula>NOT(ISERROR(SEARCH("NA",Z29)))</formula>
    </cfRule>
    <cfRule type="containsText" dxfId="5683" priority="3166" operator="containsText" text="Done">
      <formula>NOT(ISERROR(SEARCH("Done",Z29)))</formula>
    </cfRule>
    <cfRule type="containsText" dxfId="5682" priority="3167" operator="containsText" text="NA">
      <formula>NOT(ISERROR(SEARCH("NA",#REF!)))</formula>
    </cfRule>
    <cfRule type="containsText" dxfId="5681" priority="3168" operator="containsText" text="Done">
      <formula>NOT(ISERROR(SEARCH("Done",#REF!)))</formula>
    </cfRule>
    <cfRule type="containsText" dxfId="5680" priority="3169" operator="containsText" text="Pending">
      <formula>NOT(ISERROR(SEARCH("Pending",#REF!)))</formula>
    </cfRule>
    <cfRule type="containsText" dxfId="5679" priority="3170" operator="containsText" text="NA">
      <formula>NOT(ISERROR(SEARCH("NA",#REF!)))</formula>
    </cfRule>
    <cfRule type="containsText" dxfId="5678" priority="3171" operator="containsText" text="Done">
      <formula>NOT(ISERROR(SEARCH("Done",#REF!)))</formula>
    </cfRule>
    <cfRule type="containsText" dxfId="5677" priority="3110" operator="containsText" text="Pending">
      <formula>NOT(ISERROR(SEARCH("Pending",#REF!)))</formula>
    </cfRule>
    <cfRule type="containsText" dxfId="5676" priority="3173" operator="containsText" text="NA">
      <formula>NOT(ISERROR(SEARCH("NA",#REF!)))</formula>
    </cfRule>
    <cfRule type="containsText" dxfId="5675" priority="3174" operator="containsText" text="NA">
      <formula>NOT(ISERROR(SEARCH("NA",#REF!)))</formula>
    </cfRule>
    <cfRule type="containsText" dxfId="5674" priority="3175" operator="containsText" text="Done">
      <formula>NOT(ISERROR(SEARCH("Done",#REF!)))</formula>
    </cfRule>
    <cfRule type="containsText" dxfId="5673" priority="3176" operator="containsText" text="Pending">
      <formula>NOT(ISERROR(SEARCH("Pending",#REF!)))</formula>
    </cfRule>
    <cfRule type="containsText" dxfId="5672" priority="3177" operator="containsText" text="NA">
      <formula>NOT(ISERROR(SEARCH("NA",#REF!)))</formula>
    </cfRule>
    <cfRule type="containsText" dxfId="5671" priority="3178" operator="containsText" text="NA">
      <formula>NOT(ISERROR(SEARCH("NA",#REF!)))</formula>
    </cfRule>
    <cfRule type="containsText" dxfId="5670" priority="3179" operator="containsText" text="Done">
      <formula>NOT(ISERROR(SEARCH("Done",#REF!)))</formula>
    </cfRule>
    <cfRule type="containsText" dxfId="5669" priority="3180" operator="containsText" text="Pending">
      <formula>NOT(ISERROR(SEARCH("Pending",#REF!)))</formula>
    </cfRule>
    <cfRule type="containsText" dxfId="5668" priority="3181" operator="containsText" text="NA">
      <formula>NOT(ISERROR(SEARCH("NA",#REF!)))</formula>
    </cfRule>
    <cfRule type="containsText" dxfId="5667" priority="3182" operator="containsText" text="NA">
      <formula>NOT(ISERROR(SEARCH("NA",#REF!)))</formula>
    </cfRule>
    <cfRule type="containsText" dxfId="5666" priority="3183" operator="containsText" text="Done">
      <formula>NOT(ISERROR(SEARCH("Done",#REF!)))</formula>
    </cfRule>
    <cfRule type="containsText" dxfId="5665" priority="3184" operator="containsText" text="Pending">
      <formula>NOT(ISERROR(SEARCH("Pending",#REF!)))</formula>
    </cfRule>
    <cfRule type="containsText" dxfId="5664" priority="3185" operator="containsText" text="NA">
      <formula>NOT(ISERROR(SEARCH("NA",#REF!)))</formula>
    </cfRule>
    <cfRule type="containsText" dxfId="5663" priority="3186" operator="containsText" text="Done">
      <formula>NOT(ISERROR(SEARCH("Done",#REF!)))</formula>
    </cfRule>
    <cfRule type="containsText" dxfId="5662" priority="3187" operator="containsText" text="Pending">
      <formula>NOT(ISERROR(SEARCH("Pending",#REF!)))</formula>
    </cfRule>
    <cfRule type="containsText" dxfId="5661" priority="3188" operator="containsText" text="NA">
      <formula>NOT(ISERROR(SEARCH("NA",#REF!)))</formula>
    </cfRule>
    <cfRule type="containsText" dxfId="5660" priority="3189" operator="containsText" text="NA">
      <formula>NOT(ISERROR(SEARCH("NA",#REF!)))</formula>
    </cfRule>
    <cfRule type="containsText" dxfId="5659" priority="3190" operator="containsText" text="Done">
      <formula>NOT(ISERROR(SEARCH("Done",#REF!)))</formula>
    </cfRule>
    <cfRule type="containsText" dxfId="5658" priority="3191" operator="containsText" text="Pending">
      <formula>NOT(ISERROR(SEARCH("Pending",#REF!)))</formula>
    </cfRule>
    <cfRule type="containsText" dxfId="5657" priority="3192" operator="containsText" text="NA">
      <formula>NOT(ISERROR(SEARCH("NA",#REF!)))</formula>
    </cfRule>
    <cfRule type="containsText" dxfId="5656" priority="3193" operator="containsText" text="NA">
      <formula>NOT(ISERROR(SEARCH("NA",#REF!)))</formula>
    </cfRule>
    <cfRule type="containsText" dxfId="5655" priority="3194" operator="containsText" text="Done">
      <formula>NOT(ISERROR(SEARCH("Done",#REF!)))</formula>
    </cfRule>
    <cfRule type="containsText" dxfId="5654" priority="3195" operator="containsText" text="Pending">
      <formula>NOT(ISERROR(SEARCH("Pending",#REF!)))</formula>
    </cfRule>
    <cfRule type="containsText" dxfId="5653" priority="3196" operator="containsText" text="NA">
      <formula>NOT(ISERROR(SEARCH("NA",#REF!)))</formula>
    </cfRule>
    <cfRule type="containsText" dxfId="5652" priority="3197" operator="containsText" text="NA">
      <formula>NOT(ISERROR(SEARCH("NA",#REF!)))</formula>
    </cfRule>
    <cfRule type="containsText" dxfId="5651" priority="3198" operator="containsText" text="Done">
      <formula>NOT(ISERROR(SEARCH("Done",#REF!)))</formula>
    </cfRule>
    <cfRule type="containsText" dxfId="5650" priority="3199" operator="containsText" text="Pending">
      <formula>NOT(ISERROR(SEARCH("Pending",#REF!)))</formula>
    </cfRule>
    <cfRule type="containsText" dxfId="5649" priority="3200" operator="containsText" text="NA">
      <formula>NOT(ISERROR(SEARCH("NA",#REF!)))</formula>
    </cfRule>
    <cfRule type="containsText" dxfId="5648" priority="3201" operator="containsText" text="Done">
      <formula>NOT(ISERROR(SEARCH("Done",#REF!)))</formula>
    </cfRule>
    <cfRule type="containsText" dxfId="5647" priority="3202" operator="containsText" text="Pending">
      <formula>NOT(ISERROR(SEARCH("Pending",#REF!)))</formula>
    </cfRule>
    <cfRule type="containsText" dxfId="5646" priority="3203" operator="containsText" text="NA">
      <formula>NOT(ISERROR(SEARCH("NA",#REF!)))</formula>
    </cfRule>
    <cfRule type="containsText" dxfId="5645" priority="3204" operator="containsText" text="NA">
      <formula>NOT(ISERROR(SEARCH("NA",#REF!)))</formula>
    </cfRule>
    <cfRule type="containsText" dxfId="5644" priority="3205" operator="containsText" text="Done">
      <formula>NOT(ISERROR(SEARCH("Done",#REF!)))</formula>
    </cfRule>
    <cfRule type="containsText" dxfId="5643" priority="3206" operator="containsText" text="Pending">
      <formula>NOT(ISERROR(SEARCH("Pending",#REF!)))</formula>
    </cfRule>
    <cfRule type="containsText" dxfId="5642" priority="3207" operator="containsText" text="NA">
      <formula>NOT(ISERROR(SEARCH("NA",#REF!)))</formula>
    </cfRule>
    <cfRule type="containsText" dxfId="5641" priority="3208" operator="containsText" text="Done">
      <formula>NOT(ISERROR(SEARCH("Done",#REF!)))</formula>
    </cfRule>
    <cfRule type="containsText" dxfId="5640" priority="3209" operator="containsText" text="NA">
      <formula>NOT(ISERROR(SEARCH("NA",Z29)))</formula>
    </cfRule>
    <cfRule type="containsText" dxfId="5639" priority="3210" operator="containsText" text="Pending">
      <formula>NOT(ISERROR(SEARCH("Pending",Z29)))</formula>
    </cfRule>
    <cfRule type="containsText" dxfId="5638" priority="3211" operator="containsText" text="Done">
      <formula>NOT(ISERROR(SEARCH("Done",Z29)))</formula>
    </cfRule>
    <cfRule type="containsText" dxfId="5637" priority="3212" operator="containsText" text="NA">
      <formula>NOT(ISERROR(SEARCH("NA",#REF!)))</formula>
    </cfRule>
    <cfRule type="containsText" dxfId="5636" priority="3213" operator="containsText" text="Done">
      <formula>NOT(ISERROR(SEARCH("Done",#REF!)))</formula>
    </cfRule>
    <cfRule type="containsText" dxfId="5635" priority="3214" operator="containsText" text="Pending">
      <formula>NOT(ISERROR(SEARCH("Pending",#REF!)))</formula>
    </cfRule>
    <cfRule type="containsText" dxfId="5634" priority="3215" operator="containsText" text="NA">
      <formula>NOT(ISERROR(SEARCH("NA",#REF!)))</formula>
    </cfRule>
    <cfRule type="containsText" dxfId="5633" priority="3216" operator="containsText" text="Pending">
      <formula>NOT(ISERROR(SEARCH("Pending",#REF!)))</formula>
    </cfRule>
    <cfRule type="containsText" dxfId="5632" priority="3217" operator="containsText" text="NA">
      <formula>NOT(ISERROR(SEARCH("NA",#REF!)))</formula>
    </cfRule>
    <cfRule type="containsText" dxfId="5631" priority="3218" operator="containsText" text="NA">
      <formula>NOT(ISERROR(SEARCH("NA",#REF!)))</formula>
    </cfRule>
    <cfRule type="containsText" dxfId="5630" priority="3219" operator="containsText" text="Done">
      <formula>NOT(ISERROR(SEARCH("Done",#REF!)))</formula>
    </cfRule>
    <cfRule type="containsText" dxfId="5629" priority="3220" operator="containsText" text="Pending">
      <formula>NOT(ISERROR(SEARCH("Pending",#REF!)))</formula>
    </cfRule>
    <cfRule type="containsText" dxfId="5628" priority="3221" operator="containsText" text="NA">
      <formula>NOT(ISERROR(SEARCH("NA",#REF!)))</formula>
    </cfRule>
    <cfRule type="containsText" dxfId="5627" priority="3172" operator="containsText" text="Pending">
      <formula>NOT(ISERROR(SEARCH("Pending",#REF!)))</formula>
    </cfRule>
    <cfRule type="containsText" dxfId="5626" priority="3104" operator="containsText" text="NA">
      <formula>NOT(ISERROR(SEARCH("NA",#REF!)))</formula>
    </cfRule>
    <cfRule type="containsText" dxfId="5625" priority="3105" operator="containsText" text="Done">
      <formula>NOT(ISERROR(SEARCH("Done",#REF!)))</formula>
    </cfRule>
    <cfRule type="containsText" dxfId="5624" priority="3106" operator="containsText" text="Pending">
      <formula>NOT(ISERROR(SEARCH("Pending",#REF!)))</formula>
    </cfRule>
    <cfRule type="containsText" dxfId="5623" priority="3107" operator="containsText" text="NA">
      <formula>NOT(ISERROR(SEARCH("NA",#REF!)))</formula>
    </cfRule>
    <cfRule type="containsText" dxfId="5622" priority="3108" operator="containsText" text="NA">
      <formula>NOT(ISERROR(SEARCH("NA",#REF!)))</formula>
    </cfRule>
    <cfRule type="containsText" dxfId="5621" priority="3109" operator="containsText" text="Done">
      <formula>NOT(ISERROR(SEARCH("Done",#REF!)))</formula>
    </cfRule>
    <cfRule type="containsText" dxfId="5620" priority="3111" operator="containsText" text="NA">
      <formula>NOT(ISERROR(SEARCH("NA",#REF!)))</formula>
    </cfRule>
    <cfRule type="containsText" dxfId="5619" priority="3112" operator="containsText" text="NA">
      <formula>NOT(ISERROR(SEARCH("NA",#REF!)))</formula>
    </cfRule>
    <cfRule type="containsText" dxfId="5618" priority="3113" operator="containsText" text="Done">
      <formula>NOT(ISERROR(SEARCH("Done",#REF!)))</formula>
    </cfRule>
    <cfRule type="containsText" dxfId="5617" priority="3114" operator="containsText" text="Pending">
      <formula>NOT(ISERROR(SEARCH("Pending",#REF!)))</formula>
    </cfRule>
    <cfRule type="containsText" dxfId="5616" priority="3115" operator="containsText" text="NA">
      <formula>NOT(ISERROR(SEARCH("NA",#REF!)))</formula>
    </cfRule>
    <cfRule type="containsText" dxfId="5615" priority="3116" operator="containsText" text="Done">
      <formula>NOT(ISERROR(SEARCH("Done",#REF!)))</formula>
    </cfRule>
    <cfRule type="containsText" dxfId="5614" priority="3117" operator="containsText" text="Pending">
      <formula>NOT(ISERROR(SEARCH("Pending",#REF!)))</formula>
    </cfRule>
    <cfRule type="containsText" dxfId="5613" priority="3118" operator="containsText" text="NA">
      <formula>NOT(ISERROR(SEARCH("NA",#REF!)))</formula>
    </cfRule>
    <cfRule type="containsText" dxfId="5612" priority="3119" operator="containsText" text="NA">
      <formula>NOT(ISERROR(SEARCH("NA",#REF!)))</formula>
    </cfRule>
    <cfRule type="containsText" dxfId="5611" priority="3120" operator="containsText" text="Done">
      <formula>NOT(ISERROR(SEARCH("Done",#REF!)))</formula>
    </cfRule>
    <cfRule type="containsText" dxfId="5610" priority="3121" operator="containsText" text="Pending">
      <formula>NOT(ISERROR(SEARCH("Pending",#REF!)))</formula>
    </cfRule>
    <cfRule type="containsText" dxfId="5609" priority="3122" operator="containsText" text="NA">
      <formula>NOT(ISERROR(SEARCH("NA",#REF!)))</formula>
    </cfRule>
    <cfRule type="containsText" dxfId="5608" priority="3123" operator="containsText" text="NA">
      <formula>NOT(ISERROR(SEARCH("NA",#REF!)))</formula>
    </cfRule>
    <cfRule type="containsText" dxfId="5607" priority="3124" operator="containsText" text="Done">
      <formula>NOT(ISERROR(SEARCH("Done",#REF!)))</formula>
    </cfRule>
    <cfRule type="containsText" dxfId="5606" priority="3125" operator="containsText" text="Pending">
      <formula>NOT(ISERROR(SEARCH("Pending",#REF!)))</formula>
    </cfRule>
    <cfRule type="containsText" dxfId="5605" priority="3126" operator="containsText" text="NA">
      <formula>NOT(ISERROR(SEARCH("NA",#REF!)))</formula>
    </cfRule>
    <cfRule type="containsText" dxfId="5604" priority="3127" operator="containsText" text="NA">
      <formula>NOT(ISERROR(SEARCH("NA",#REF!)))</formula>
    </cfRule>
    <cfRule type="containsText" dxfId="5603" priority="3128" operator="containsText" text="Done">
      <formula>NOT(ISERROR(SEARCH("Done",#REF!)))</formula>
    </cfRule>
    <cfRule type="containsText" dxfId="5602" priority="3129" operator="containsText" text="Pending">
      <formula>NOT(ISERROR(SEARCH("Pending",#REF!)))</formula>
    </cfRule>
    <cfRule type="containsText" dxfId="5601" priority="3130" operator="containsText" text="NA">
      <formula>NOT(ISERROR(SEARCH("NA",#REF!)))</formula>
    </cfRule>
    <cfRule type="containsText" dxfId="5600" priority="3131" operator="containsText" text="NA">
      <formula>NOT(ISERROR(SEARCH("NA",#REF!)))</formula>
    </cfRule>
    <cfRule type="containsText" dxfId="5599" priority="3132" operator="containsText" text="Done">
      <formula>NOT(ISERROR(SEARCH("Done",#REF!)))</formula>
    </cfRule>
    <cfRule type="containsText" dxfId="5598" priority="3133" operator="containsText" text="Pending">
      <formula>NOT(ISERROR(SEARCH("Pending",#REF!)))</formula>
    </cfRule>
    <cfRule type="containsText" dxfId="5597" priority="3134" operator="containsText" text="NA">
      <formula>NOT(ISERROR(SEARCH("NA",#REF!)))</formula>
    </cfRule>
    <cfRule type="containsText" dxfId="5596" priority="3135" operator="containsText" text="NA">
      <formula>NOT(ISERROR(SEARCH("NA",#REF!)))</formula>
    </cfRule>
  </conditionalFormatting>
  <conditionalFormatting sqref="Z29:Z30">
    <cfRule type="containsText" dxfId="5595" priority="76935" operator="containsText" text="NA">
      <formula>NOT(ISERROR(SEARCH("NA",#REF!)))</formula>
    </cfRule>
    <cfRule type="containsText" dxfId="5594" priority="76934" operator="containsText" text="NA">
      <formula>NOT(ISERROR(SEARCH("NA",#REF!)))</formula>
    </cfRule>
    <cfRule type="containsText" dxfId="5593" priority="76933" operator="containsText" text="Pending">
      <formula>NOT(ISERROR(SEARCH("Pending",#REF!)))</formula>
    </cfRule>
    <cfRule type="containsText" dxfId="5592" priority="76932" operator="containsText" text="Done">
      <formula>NOT(ISERROR(SEARCH("Done",#REF!)))</formula>
    </cfRule>
    <cfRule type="containsText" dxfId="5591" priority="76931" operator="containsText" text="NA">
      <formula>NOT(ISERROR(SEARCH("NA",#REF!)))</formula>
    </cfRule>
    <cfRule type="containsText" dxfId="5590" priority="76950" operator="containsText" text="NA">
      <formula>NOT(ISERROR(SEARCH("NA",#REF!)))</formula>
    </cfRule>
    <cfRule type="containsText" dxfId="5589" priority="76949" operator="containsText" text="NA">
      <formula>NOT(ISERROR(SEARCH("NA",#REF!)))</formula>
    </cfRule>
    <cfRule type="containsText" dxfId="5588" priority="76948" operator="containsText" text="Pending">
      <formula>NOT(ISERROR(SEARCH("Pending",#REF!)))</formula>
    </cfRule>
    <cfRule type="containsText" dxfId="5587" priority="76947" operator="containsText" text="Done">
      <formula>NOT(ISERROR(SEARCH("Done",#REF!)))</formula>
    </cfRule>
    <cfRule type="containsText" dxfId="5586" priority="76946" operator="containsText" text="NA">
      <formula>NOT(ISERROR(SEARCH("NA",#REF!)))</formula>
    </cfRule>
    <cfRule type="containsText" dxfId="5585" priority="76945" operator="containsText" text="NA">
      <formula>NOT(ISERROR(SEARCH("NA",#REF!)))</formula>
    </cfRule>
    <cfRule type="containsText" dxfId="5584" priority="76944" operator="containsText" text="Pending">
      <formula>NOT(ISERROR(SEARCH("Pending",#REF!)))</formula>
    </cfRule>
    <cfRule type="containsText" dxfId="5583" priority="76943" operator="containsText" text="Done">
      <formula>NOT(ISERROR(SEARCH("Done",#REF!)))</formula>
    </cfRule>
    <cfRule type="containsText" dxfId="5582" priority="76942" operator="containsText" text="NA">
      <formula>NOT(ISERROR(SEARCH("NA",#REF!)))</formula>
    </cfRule>
    <cfRule type="containsText" dxfId="5581" priority="76941" operator="containsText" text="NA">
      <formula>NOT(ISERROR(SEARCH("NA",#REF!)))</formula>
    </cfRule>
    <cfRule type="containsText" dxfId="5580" priority="76940" operator="containsText" text="Pending">
      <formula>NOT(ISERROR(SEARCH("Pending",#REF!)))</formula>
    </cfRule>
    <cfRule type="containsText" dxfId="5579" priority="76939" operator="containsText" text="Done">
      <formula>NOT(ISERROR(SEARCH("Done",#REF!)))</formula>
    </cfRule>
    <cfRule type="containsText" dxfId="5578" priority="76938" operator="containsText" text="NA">
      <formula>NOT(ISERROR(SEARCH("NA",#REF!)))</formula>
    </cfRule>
    <cfRule type="containsText" dxfId="5577" priority="76937" operator="containsText" text="Pending">
      <formula>NOT(ISERROR(SEARCH("Pending",#REF!)))</formula>
    </cfRule>
    <cfRule type="containsText" dxfId="5576" priority="76936" operator="containsText" text="Done">
      <formula>NOT(ISERROR(SEARCH("Done",#REF!)))</formula>
    </cfRule>
    <cfRule type="containsText" dxfId="5575" priority="4545" operator="containsText" text="Done">
      <formula>NOT(ISERROR(SEARCH("Done",#REF!)))</formula>
    </cfRule>
    <cfRule type="containsText" dxfId="5574" priority="4564" operator="containsText" text="NA">
      <formula>NOT(ISERROR(SEARCH("NA",#REF!)))</formula>
    </cfRule>
    <cfRule type="containsText" dxfId="5573" priority="4563" operator="containsText" text="Pending">
      <formula>NOT(ISERROR(SEARCH("Pending",#REF!)))</formula>
    </cfRule>
    <cfRule type="containsText" dxfId="5572" priority="4562" operator="containsText" text="Done">
      <formula>NOT(ISERROR(SEARCH("Done",#REF!)))</formula>
    </cfRule>
    <cfRule type="containsText" dxfId="5571" priority="4561" operator="containsText" text="NA">
      <formula>NOT(ISERROR(SEARCH("NA",#REF!)))</formula>
    </cfRule>
    <cfRule type="containsText" dxfId="5570" priority="4560" operator="containsText" text="NA">
      <formula>NOT(ISERROR(SEARCH("NA",#REF!)))</formula>
    </cfRule>
    <cfRule type="containsText" dxfId="5569" priority="4559" operator="containsText" text="Pending">
      <formula>NOT(ISERROR(SEARCH("Pending",#REF!)))</formula>
    </cfRule>
    <cfRule type="containsText" dxfId="5568" priority="4558" operator="containsText" text="Done">
      <formula>NOT(ISERROR(SEARCH("Done",#REF!)))</formula>
    </cfRule>
    <cfRule type="containsText" dxfId="5567" priority="4557" operator="containsText" text="NA">
      <formula>NOT(ISERROR(SEARCH("NA",#REF!)))</formula>
    </cfRule>
    <cfRule type="containsText" dxfId="5566" priority="4556" operator="containsText" text="Pending">
      <formula>NOT(ISERROR(SEARCH("Pending",#REF!)))</formula>
    </cfRule>
    <cfRule type="containsText" dxfId="5565" priority="4555" operator="containsText" text="Done">
      <formula>NOT(ISERROR(SEARCH("Done",#REF!)))</formula>
    </cfRule>
    <cfRule type="containsText" dxfId="5564" priority="4554" operator="containsText" text="NA">
      <formula>NOT(ISERROR(SEARCH("NA",#REF!)))</formula>
    </cfRule>
    <cfRule type="containsText" dxfId="5563" priority="4553" operator="containsText" text="NA">
      <formula>NOT(ISERROR(SEARCH("NA",#REF!)))</formula>
    </cfRule>
    <cfRule type="containsText" dxfId="5562" priority="4552" operator="containsText" text="Pending">
      <formula>NOT(ISERROR(SEARCH("Pending",#REF!)))</formula>
    </cfRule>
    <cfRule type="containsText" dxfId="5561" priority="4551" operator="containsText" text="Done">
      <formula>NOT(ISERROR(SEARCH("Done",#REF!)))</formula>
    </cfRule>
    <cfRule type="containsText" dxfId="5560" priority="4550" operator="containsText" text="NA">
      <formula>NOT(ISERROR(SEARCH("NA",#REF!)))</formula>
    </cfRule>
    <cfRule type="containsText" dxfId="5559" priority="4549" operator="containsText" text="NA">
      <formula>NOT(ISERROR(SEARCH("NA",#REF!)))</formula>
    </cfRule>
    <cfRule type="containsText" dxfId="5558" priority="4548" operator="containsText" text="Pending">
      <formula>NOT(ISERROR(SEARCH("Pending",#REF!)))</formula>
    </cfRule>
    <cfRule type="containsText" dxfId="5557" priority="4547" operator="containsText" text="NA">
      <formula>NOT(ISERROR(SEARCH("NA",#REF!)))</formula>
    </cfRule>
    <cfRule type="containsText" dxfId="5556" priority="4546" operator="containsText" text="Pending">
      <formula>NOT(ISERROR(SEARCH("Pending",#REF!)))</formula>
    </cfRule>
    <cfRule type="containsText" dxfId="5555" priority="76959" operator="containsText" text="Pending">
      <formula>NOT(ISERROR(SEARCH("Pending",#REF!)))</formula>
    </cfRule>
    <cfRule type="containsText" dxfId="5554" priority="4544" operator="containsText" text="NA">
      <formula>NOT(ISERROR(SEARCH("NA",#REF!)))</formula>
    </cfRule>
    <cfRule type="containsText" dxfId="5553" priority="4543" operator="containsText" text="Done">
      <formula>NOT(ISERROR(SEARCH("Done",Z29)))</formula>
    </cfRule>
    <cfRule type="containsText" dxfId="5552" priority="4542" operator="containsText" text="Pending">
      <formula>NOT(ISERROR(SEARCH("Pending",Z29)))</formula>
    </cfRule>
    <cfRule type="containsText" dxfId="5551" priority="4541" operator="containsText" text="NA">
      <formula>NOT(ISERROR(SEARCH("NA",Z29)))</formula>
    </cfRule>
    <cfRule type="containsText" dxfId="5550" priority="4540" operator="containsText" text="Done">
      <formula>NOT(ISERROR(SEARCH("Done",#REF!)))</formula>
    </cfRule>
    <cfRule type="containsText" dxfId="5549" priority="4539" operator="containsText" text="NA">
      <formula>NOT(ISERROR(SEARCH("NA",#REF!)))</formula>
    </cfRule>
    <cfRule type="containsText" dxfId="5548" priority="4538" operator="containsText" text="Pending">
      <formula>NOT(ISERROR(SEARCH("Pending",#REF!)))</formula>
    </cfRule>
    <cfRule type="containsText" dxfId="5547" priority="4537" operator="containsText" text="Done">
      <formula>NOT(ISERROR(SEARCH("Done",#REF!)))</formula>
    </cfRule>
    <cfRule type="containsText" dxfId="5546" priority="4536" operator="containsText" text="NA">
      <formula>NOT(ISERROR(SEARCH("NA",#REF!)))</formula>
    </cfRule>
    <cfRule type="containsText" dxfId="5545" priority="4535" operator="containsText" text="NA">
      <formula>NOT(ISERROR(SEARCH("NA",#REF!)))</formula>
    </cfRule>
    <cfRule type="containsText" dxfId="5544" priority="4534" operator="containsText" text="Pending">
      <formula>NOT(ISERROR(SEARCH("Pending",#REF!)))</formula>
    </cfRule>
    <cfRule type="containsText" dxfId="5543" priority="4533" operator="containsText" text="Done">
      <formula>NOT(ISERROR(SEARCH("Done",#REF!)))</formula>
    </cfRule>
    <cfRule type="containsText" dxfId="5542" priority="4532" operator="containsText" text="NA">
      <formula>NOT(ISERROR(SEARCH("NA",#REF!)))</formula>
    </cfRule>
    <cfRule type="containsText" dxfId="5541" priority="4531" operator="containsText" text="Pending">
      <formula>NOT(ISERROR(SEARCH("Pending",#REF!)))</formula>
    </cfRule>
    <cfRule type="containsText" dxfId="5540" priority="4530" operator="containsText" text="Done">
      <formula>NOT(ISERROR(SEARCH("Done",#REF!)))</formula>
    </cfRule>
    <cfRule type="containsText" dxfId="5539" priority="4529" operator="containsText" text="NA">
      <formula>NOT(ISERROR(SEARCH("NA",#REF!)))</formula>
    </cfRule>
    <cfRule type="containsText" dxfId="5538" priority="4528" operator="containsText" text="NA">
      <formula>NOT(ISERROR(SEARCH("NA",#REF!)))</formula>
    </cfRule>
    <cfRule type="containsText" dxfId="5537" priority="4527" operator="containsText" text="Pending">
      <formula>NOT(ISERROR(SEARCH("Pending",#REF!)))</formula>
    </cfRule>
    <cfRule type="containsText" dxfId="5536" priority="4526" operator="containsText" text="Done">
      <formula>NOT(ISERROR(SEARCH("Done",#REF!)))</formula>
    </cfRule>
    <cfRule type="containsText" dxfId="5535" priority="4525" operator="containsText" text="NA">
      <formula>NOT(ISERROR(SEARCH("NA",#REF!)))</formula>
    </cfRule>
    <cfRule type="containsText" dxfId="5534" priority="4524" operator="containsText" text="Pending">
      <formula>NOT(ISERROR(SEARCH("Pending",#REF!)))</formula>
    </cfRule>
    <cfRule type="containsText" dxfId="5533" priority="4523" operator="containsText" text="Done">
      <formula>NOT(ISERROR(SEARCH("Done",#REF!)))</formula>
    </cfRule>
    <cfRule type="containsText" dxfId="5532" priority="4522" operator="containsText" text="NA">
      <formula>NOT(ISERROR(SEARCH("NA",#REF!)))</formula>
    </cfRule>
    <cfRule type="containsText" dxfId="5531" priority="4521" operator="containsText" text="NA">
      <formula>NOT(ISERROR(SEARCH("NA",#REF!)))</formula>
    </cfRule>
    <cfRule type="containsText" dxfId="5530" priority="4520" operator="containsText" text="Pending">
      <formula>NOT(ISERROR(SEARCH("Pending",#REF!)))</formula>
    </cfRule>
    <cfRule type="containsText" dxfId="5529" priority="4519" operator="containsText" text="Done">
      <formula>NOT(ISERROR(SEARCH("Done",#REF!)))</formula>
    </cfRule>
    <cfRule type="containsText" dxfId="5528" priority="4518" operator="containsText" text="NA">
      <formula>NOT(ISERROR(SEARCH("NA",#REF!)))</formula>
    </cfRule>
    <cfRule type="containsText" dxfId="5527" priority="4517" operator="containsText" text="NA">
      <formula>NOT(ISERROR(SEARCH("NA",#REF!)))</formula>
    </cfRule>
    <cfRule type="containsText" dxfId="5526" priority="4516" operator="containsText" text="Pending">
      <formula>NOT(ISERROR(SEARCH("Pending",#REF!)))</formula>
    </cfRule>
    <cfRule type="containsText" dxfId="5525" priority="4515" operator="containsText" text="Done">
      <formula>NOT(ISERROR(SEARCH("Done",#REF!)))</formula>
    </cfRule>
    <cfRule type="containsText" dxfId="5524" priority="4514" operator="containsText" text="NA">
      <formula>NOT(ISERROR(SEARCH("NA",#REF!)))</formula>
    </cfRule>
    <cfRule type="containsText" dxfId="5523" priority="4513" operator="containsText" text="NA">
      <formula>NOT(ISERROR(SEARCH("NA",#REF!)))</formula>
    </cfRule>
    <cfRule type="containsText" dxfId="5522" priority="4512" operator="containsText" text="Pending">
      <formula>NOT(ISERROR(SEARCH("Pending",#REF!)))</formula>
    </cfRule>
    <cfRule type="containsText" dxfId="5521" priority="4511" operator="containsText" text="Done">
      <formula>NOT(ISERROR(SEARCH("Done",#REF!)))</formula>
    </cfRule>
    <cfRule type="containsText" dxfId="5520" priority="4510" operator="containsText" text="NA">
      <formula>NOT(ISERROR(SEARCH("NA",#REF!)))</formula>
    </cfRule>
    <cfRule type="containsText" dxfId="5519" priority="4509" operator="containsText" text="Pending">
      <formula>NOT(ISERROR(SEARCH("Pending",#REF!)))</formula>
    </cfRule>
    <cfRule type="containsText" dxfId="5518" priority="4508" operator="containsText" text="Done">
      <formula>NOT(ISERROR(SEARCH("Done",#REF!)))</formula>
    </cfRule>
    <cfRule type="containsText" dxfId="5517" priority="4507" operator="containsText" text="NA">
      <formula>NOT(ISERROR(SEARCH("NA",#REF!)))</formula>
    </cfRule>
    <cfRule type="containsText" dxfId="5516" priority="4506" operator="containsText" text="Done">
      <formula>NOT(ISERROR(SEARCH("Done",Z29)))</formula>
    </cfRule>
    <cfRule type="containsText" dxfId="5515" priority="4505" operator="containsText" text="NA">
      <formula>NOT(ISERROR(SEARCH("NA",Z29)))</formula>
    </cfRule>
    <cfRule type="containsText" dxfId="5514" priority="4504" operator="containsText" text="NA">
      <formula>NOT(ISERROR(SEARCH("NA",#REF!)))</formula>
    </cfRule>
    <cfRule type="containsText" dxfId="5513" priority="4503" operator="containsText" text="NA">
      <formula>NOT(ISERROR(SEARCH("NA",#REF!)))</formula>
    </cfRule>
    <cfRule type="containsText" dxfId="5512" priority="4502" operator="containsText" text="Pending">
      <formula>NOT(ISERROR(SEARCH("Pending",#REF!)))</formula>
    </cfRule>
    <cfRule type="containsText" dxfId="5511" priority="4501" operator="containsText" text="Done">
      <formula>NOT(ISERROR(SEARCH("Done",#REF!)))</formula>
    </cfRule>
    <cfRule type="containsText" dxfId="5510" priority="4500" operator="containsText" text="NA">
      <formula>NOT(ISERROR(SEARCH("NA",#REF!)))</formula>
    </cfRule>
    <cfRule type="containsText" dxfId="5509" priority="4498" operator="containsText" text="Done">
      <formula>NOT(ISERROR(SEARCH("Done",#REF!)))</formula>
    </cfRule>
    <cfRule type="containsText" dxfId="5508" priority="4497" operator="containsText" text="NA">
      <formula>NOT(ISERROR(SEARCH("NA",#REF!)))</formula>
    </cfRule>
    <cfRule type="containsText" dxfId="5507" priority="4496" operator="containsText" text="NA">
      <formula>NOT(ISERROR(SEARCH("NA",#REF!)))</formula>
    </cfRule>
    <cfRule type="containsText" dxfId="5506" priority="4495" operator="containsText" text="Pending">
      <formula>NOT(ISERROR(SEARCH("Pending",#REF!)))</formula>
    </cfRule>
    <cfRule type="containsText" dxfId="5505" priority="76968" operator="containsText" text="NA">
      <formula>NOT(ISERROR(SEARCH("NA",#REF!)))</formula>
    </cfRule>
    <cfRule type="containsText" dxfId="5504" priority="76969" operator="containsText" text="Done">
      <formula>NOT(ISERROR(SEARCH("Done",#REF!)))</formula>
    </cfRule>
    <cfRule type="containsText" dxfId="5503" priority="76970" operator="containsText" text="Pending">
      <formula>NOT(ISERROR(SEARCH("Pending",#REF!)))</formula>
    </cfRule>
    <cfRule type="containsText" dxfId="5502" priority="76971" operator="containsText" text="NA">
      <formula>NOT(ISERROR(SEARCH("NA",#REF!)))</formula>
    </cfRule>
    <cfRule type="containsText" dxfId="5501" priority="76972" operator="containsText" text="Done">
      <formula>NOT(ISERROR(SEARCH("Done",#REF!)))</formula>
    </cfRule>
    <cfRule type="containsText" dxfId="5500" priority="76973" operator="containsText" text="Pending">
      <formula>NOT(ISERROR(SEARCH("Pending",#REF!)))</formula>
    </cfRule>
    <cfRule type="containsText" dxfId="5499" priority="76974" operator="containsText" text="NA">
      <formula>NOT(ISERROR(SEARCH("NA",#REF!)))</formula>
    </cfRule>
    <cfRule type="containsText" dxfId="5498" priority="76975" operator="containsText" text="NA">
      <formula>NOT(ISERROR(SEARCH("NA",#REF!)))</formula>
    </cfRule>
    <cfRule type="containsText" dxfId="5497" priority="76976" operator="containsText" text="Done">
      <formula>NOT(ISERROR(SEARCH("Done",#REF!)))</formula>
    </cfRule>
    <cfRule type="containsText" dxfId="5496" priority="76977" operator="containsText" text="Pending">
      <formula>NOT(ISERROR(SEARCH("Pending",#REF!)))</formula>
    </cfRule>
    <cfRule type="containsText" dxfId="5495" priority="76978" operator="containsText" text="NA">
      <formula>NOT(ISERROR(SEARCH("NA",#REF!)))</formula>
    </cfRule>
    <cfRule type="containsText" dxfId="5494" priority="4494" operator="containsText" text="Done">
      <formula>NOT(ISERROR(SEARCH("Done",#REF!)))</formula>
    </cfRule>
    <cfRule type="containsText" dxfId="5493" priority="4493" operator="containsText" text="NA">
      <formula>NOT(ISERROR(SEARCH("NA",#REF!)))</formula>
    </cfRule>
    <cfRule type="containsText" dxfId="5492" priority="4499" operator="containsText" text="Pending">
      <formula>NOT(ISERROR(SEARCH("Pending",#REF!)))</formula>
    </cfRule>
    <cfRule type="containsText" dxfId="5491" priority="4492" operator="containsText" text="NA">
      <formula>NOT(ISERROR(SEARCH("NA",#REF!)))</formula>
    </cfRule>
    <cfRule type="containsText" dxfId="5490" priority="4491" operator="containsText" text="Pending">
      <formula>NOT(ISERROR(SEARCH("Pending",#REF!)))</formula>
    </cfRule>
    <cfRule type="containsText" dxfId="5489" priority="4490" operator="containsText" text="Done">
      <formula>NOT(ISERROR(SEARCH("Done",#REF!)))</formula>
    </cfRule>
    <cfRule type="containsText" dxfId="5488" priority="4489" operator="containsText" text="NA">
      <formula>NOT(ISERROR(SEARCH("NA",#REF!)))</formula>
    </cfRule>
    <cfRule type="containsText" dxfId="5487" priority="4488" operator="containsText" text="Pending">
      <formula>NOT(ISERROR(SEARCH("Pending",#REF!)))</formula>
    </cfRule>
    <cfRule type="containsText" dxfId="5486" priority="4487" operator="containsText" text="Done">
      <formula>NOT(ISERROR(SEARCH("Done",#REF!)))</formula>
    </cfRule>
    <cfRule type="containsText" dxfId="5485" priority="4486" operator="containsText" text="NA">
      <formula>NOT(ISERROR(SEARCH("NA",#REF!)))</formula>
    </cfRule>
    <cfRule type="containsText" dxfId="5484" priority="4485" operator="containsText" text="NA">
      <formula>NOT(ISERROR(SEARCH("NA",#REF!)))</formula>
    </cfRule>
    <cfRule type="containsText" dxfId="5483" priority="4484" operator="containsText" text="Pending">
      <formula>NOT(ISERROR(SEARCH("Pending",#REF!)))</formula>
    </cfRule>
    <cfRule type="containsText" dxfId="5482" priority="4483" operator="containsText" text="Done">
      <formula>NOT(ISERROR(SEARCH("Done",#REF!)))</formula>
    </cfRule>
    <cfRule type="containsText" dxfId="5481" priority="4482" operator="containsText" text="NA">
      <formula>NOT(ISERROR(SEARCH("NA",#REF!)))</formula>
    </cfRule>
    <cfRule type="containsText" dxfId="5480" priority="4481" operator="containsText" text="NA">
      <formula>NOT(ISERROR(SEARCH("NA",#REF!)))</formula>
    </cfRule>
    <cfRule type="containsText" dxfId="5479" priority="4480" operator="containsText" text="Pending">
      <formula>NOT(ISERROR(SEARCH("Pending",#REF!)))</formula>
    </cfRule>
    <cfRule type="containsText" dxfId="5478" priority="4479" operator="containsText" text="Done">
      <formula>NOT(ISERROR(SEARCH("Done",#REF!)))</formula>
    </cfRule>
    <cfRule type="containsText" dxfId="5477" priority="4478" operator="containsText" text="NA">
      <formula>NOT(ISERROR(SEARCH("NA",#REF!)))</formula>
    </cfRule>
    <cfRule type="containsText" dxfId="5476" priority="4477" operator="containsText" text="Pending">
      <formula>NOT(ISERROR(SEARCH("Pending",#REF!)))</formula>
    </cfRule>
    <cfRule type="containsText" dxfId="5475" priority="4476" operator="containsText" text="Done">
      <formula>NOT(ISERROR(SEARCH("Done",#REF!)))</formula>
    </cfRule>
    <cfRule type="containsText" dxfId="5474" priority="4475" operator="containsText" text="NA">
      <formula>NOT(ISERROR(SEARCH("NA",#REF!)))</formula>
    </cfRule>
    <cfRule type="containsText" dxfId="5473" priority="4474" operator="containsText" text="NA">
      <formula>NOT(ISERROR(SEARCH("NA",#REF!)))</formula>
    </cfRule>
    <cfRule type="containsText" dxfId="5472" priority="4473" operator="containsText" text="Pending">
      <formula>NOT(ISERROR(SEARCH("Pending",#REF!)))</formula>
    </cfRule>
    <cfRule type="containsText" dxfId="5471" priority="4472" operator="containsText" text="Done">
      <formula>NOT(ISERROR(SEARCH("Done",#REF!)))</formula>
    </cfRule>
    <cfRule type="containsText" dxfId="5470" priority="4471" operator="containsText" text="NA">
      <formula>NOT(ISERROR(SEARCH("NA",#REF!)))</formula>
    </cfRule>
    <cfRule type="containsText" dxfId="5469" priority="4470" operator="containsText" text="NA">
      <formula>NOT(ISERROR(SEARCH("NA",#REF!)))</formula>
    </cfRule>
    <cfRule type="containsText" dxfId="5468" priority="4469" operator="containsText" text="Pending">
      <formula>NOT(ISERROR(SEARCH("Pending",#REF!)))</formula>
    </cfRule>
    <cfRule type="containsText" dxfId="5467" priority="4468" operator="containsText" text="Done">
      <formula>NOT(ISERROR(SEARCH("Done",#REF!)))</formula>
    </cfRule>
    <cfRule type="containsText" dxfId="5466" priority="4467" operator="containsText" text="NA">
      <formula>NOT(ISERROR(SEARCH("NA",#REF!)))</formula>
    </cfRule>
    <cfRule type="containsText" dxfId="5465" priority="4466" operator="containsText" text="NA">
      <formula>NOT(ISERROR(SEARCH("NA",#REF!)))</formula>
    </cfRule>
    <cfRule type="containsText" dxfId="5464" priority="4465" operator="containsText" text="Pending">
      <formula>NOT(ISERROR(SEARCH("Pending",#REF!)))</formula>
    </cfRule>
    <cfRule type="containsText" dxfId="5463" priority="4464" operator="containsText" text="Done">
      <formula>NOT(ISERROR(SEARCH("Done",#REF!)))</formula>
    </cfRule>
    <cfRule type="containsText" dxfId="5462" priority="4463" operator="containsText" text="NA">
      <formula>NOT(ISERROR(SEARCH("NA",#REF!)))</formula>
    </cfRule>
    <cfRule type="containsText" dxfId="5461" priority="76966" operator="containsText" text="Pending">
      <formula>NOT(ISERROR(SEARCH("Pending",Z29)))</formula>
    </cfRule>
    <cfRule type="containsText" dxfId="5460" priority="76965" operator="containsText" text="NA">
      <formula>NOT(ISERROR(SEARCH("NA",Z29)))</formula>
    </cfRule>
    <cfRule type="containsText" dxfId="5459" priority="76964" operator="containsText" text="NA">
      <formula>NOT(ISERROR(SEARCH("NA",#REF!)))</formula>
    </cfRule>
    <cfRule type="containsText" dxfId="5458" priority="76963" operator="containsText" text="Pending">
      <formula>NOT(ISERROR(SEARCH("Pending",#REF!)))</formula>
    </cfRule>
    <cfRule type="containsText" dxfId="5457" priority="76962" operator="containsText" text="Done">
      <formula>NOT(ISERROR(SEARCH("Done",#REF!)))</formula>
    </cfRule>
    <cfRule type="containsText" dxfId="5456" priority="76961" operator="containsText" text="NA">
      <formula>NOT(ISERROR(SEARCH("NA",#REF!)))</formula>
    </cfRule>
    <cfRule type="containsText" dxfId="5455" priority="76960" operator="containsText" text="NA">
      <formula>NOT(ISERROR(SEARCH("NA",#REF!)))</formula>
    </cfRule>
    <cfRule type="containsText" dxfId="5454" priority="76958" operator="containsText" text="Done">
      <formula>NOT(ISERROR(SEARCH("Done",#REF!)))</formula>
    </cfRule>
    <cfRule type="containsText" dxfId="5453" priority="76957" operator="containsText" text="NA">
      <formula>NOT(ISERROR(SEARCH("NA",#REF!)))</formula>
    </cfRule>
    <cfRule type="containsText" dxfId="5452" priority="76956" operator="containsText" text="Pending">
      <formula>NOT(ISERROR(SEARCH("Pending",#REF!)))</formula>
    </cfRule>
    <cfRule type="containsText" dxfId="5451" priority="76955" operator="containsText" text="Done">
      <formula>NOT(ISERROR(SEARCH("Done",#REF!)))</formula>
    </cfRule>
    <cfRule type="containsText" dxfId="5450" priority="76967" operator="containsText" text="Done">
      <formula>NOT(ISERROR(SEARCH("Done",Z29)))</formula>
    </cfRule>
    <cfRule type="containsText" dxfId="5449" priority="76954" operator="containsText" text="NA">
      <formula>NOT(ISERROR(SEARCH("NA",#REF!)))</formula>
    </cfRule>
    <cfRule type="containsText" dxfId="5448" priority="76953" operator="containsText" text="NA">
      <formula>NOT(ISERROR(SEARCH("NA",#REF!)))</formula>
    </cfRule>
    <cfRule type="containsText" dxfId="5447" priority="76952" operator="containsText" text="Pending">
      <formula>NOT(ISERROR(SEARCH("Pending",#REF!)))</formula>
    </cfRule>
    <cfRule type="containsText" dxfId="5446" priority="76951" operator="containsText" text="Done">
      <formula>NOT(ISERROR(SEARCH("Done",#REF!)))</formula>
    </cfRule>
  </conditionalFormatting>
  <conditionalFormatting sqref="Z29:Z32">
    <cfRule type="containsText" dxfId="5445" priority="118939" operator="containsText" text="Pending">
      <formula>NOT(ISERROR(SEARCH("Pending",#REF!)))</formula>
    </cfRule>
    <cfRule type="containsText" dxfId="5444" priority="118938" operator="containsText" text="Done">
      <formula>NOT(ISERROR(SEARCH("Done",#REF!)))</formula>
    </cfRule>
    <cfRule type="containsText" dxfId="5443" priority="118937" operator="containsText" text="NA">
      <formula>NOT(ISERROR(SEARCH("NA",#REF!)))</formula>
    </cfRule>
    <cfRule type="containsText" dxfId="5442" priority="118936" operator="containsText" text="NA">
      <formula>NOT(ISERROR(SEARCH("NA",#REF!)))</formula>
    </cfRule>
    <cfRule type="containsText" dxfId="5441" priority="118935" operator="containsText" text="Pending">
      <formula>NOT(ISERROR(SEARCH("Pending",#REF!)))</formula>
    </cfRule>
    <cfRule type="containsText" dxfId="5440" priority="118934" operator="containsText" text="Done">
      <formula>NOT(ISERROR(SEARCH("Done",#REF!)))</formula>
    </cfRule>
    <cfRule type="containsText" dxfId="5439" priority="118933" operator="containsText" text="NA">
      <formula>NOT(ISERROR(SEARCH("NA",#REF!)))</formula>
    </cfRule>
    <cfRule type="containsText" dxfId="5438" priority="118932" operator="containsText" text="Done">
      <formula>NOT(ISERROR(SEARCH("Done",Z29)))</formula>
    </cfRule>
    <cfRule type="containsText" dxfId="5437" priority="118931" operator="containsText" text="Pending">
      <formula>NOT(ISERROR(SEARCH("Pending",Z29)))</formula>
    </cfRule>
    <cfRule type="containsText" dxfId="5436" priority="118930" operator="containsText" text="NA">
      <formula>NOT(ISERROR(SEARCH("NA",Z29)))</formula>
    </cfRule>
    <cfRule type="containsText" dxfId="5435" priority="118929" operator="containsText" text="NA">
      <formula>NOT(ISERROR(SEARCH("NA",#REF!)))</formula>
    </cfRule>
    <cfRule type="containsText" dxfId="5434" priority="118928" operator="containsText" text="Pending">
      <formula>NOT(ISERROR(SEARCH("Pending",#REF!)))</formula>
    </cfRule>
    <cfRule type="containsText" dxfId="5433" priority="118927" operator="containsText" text="Done">
      <formula>NOT(ISERROR(SEARCH("Done",#REF!)))</formula>
    </cfRule>
    <cfRule type="containsText" dxfId="5432" priority="118926" operator="containsText" text="NA">
      <formula>NOT(ISERROR(SEARCH("NA",#REF!)))</formula>
    </cfRule>
    <cfRule type="containsText" dxfId="5431" priority="118925" operator="containsText" text="Done">
      <formula>NOT(ISERROR(SEARCH("Done",Z29)))</formula>
    </cfRule>
    <cfRule type="containsText" dxfId="5430" priority="118924" operator="containsText" text="NA">
      <formula>NOT(ISERROR(SEARCH("NA",Z29)))</formula>
    </cfRule>
    <cfRule type="containsText" dxfId="5429" priority="118940" operator="containsText" text="NA">
      <formula>NOT(ISERROR(SEARCH("NA",#REF!)))</formula>
    </cfRule>
  </conditionalFormatting>
  <conditionalFormatting sqref="Z31:Z32">
    <cfRule type="containsText" dxfId="5428" priority="76907" operator="containsText" text="NA">
      <formula>NOT(ISERROR(SEARCH("NA",Z31)))</formula>
    </cfRule>
    <cfRule type="containsText" dxfId="5427" priority="76908" operator="containsText" text="Pending">
      <formula>NOT(ISERROR(SEARCH("Pending",Z31)))</formula>
    </cfRule>
    <cfRule type="containsText" dxfId="5426" priority="76909" operator="containsText" text="Done">
      <formula>NOT(ISERROR(SEARCH("Done",Z31)))</formula>
    </cfRule>
    <cfRule type="containsText" dxfId="5425" priority="76910" operator="containsText" text="NA">
      <formula>NOT(ISERROR(SEARCH("NA",#REF!)))</formula>
    </cfRule>
    <cfRule type="containsText" dxfId="5424" priority="76911" operator="containsText" text="Done">
      <formula>NOT(ISERROR(SEARCH("Done",#REF!)))</formula>
    </cfRule>
    <cfRule type="containsText" dxfId="5423" priority="76912" operator="containsText" text="Pending">
      <formula>NOT(ISERROR(SEARCH("Pending",#REF!)))</formula>
    </cfRule>
    <cfRule type="containsText" dxfId="5422" priority="76913" operator="containsText" text="NA">
      <formula>NOT(ISERROR(SEARCH("NA",#REF!)))</formula>
    </cfRule>
    <cfRule type="containsText" dxfId="5421" priority="76914" operator="containsText" text="NA">
      <formula>NOT(ISERROR(SEARCH("NA",Z31)))</formula>
    </cfRule>
    <cfRule type="containsText" dxfId="5420" priority="76915" operator="containsText" text="Done">
      <formula>NOT(ISERROR(SEARCH("Done",Z31)))</formula>
    </cfRule>
    <cfRule type="containsText" dxfId="5419" priority="76916" operator="containsText" text="NA">
      <formula>NOT(ISERROR(SEARCH("NA",#REF!)))</formula>
    </cfRule>
    <cfRule type="containsText" dxfId="5418" priority="76917" operator="containsText" text="Done">
      <formula>NOT(ISERROR(SEARCH("Done",#REF!)))</formula>
    </cfRule>
    <cfRule type="containsText" dxfId="5417" priority="76918" operator="containsText" text="Pending">
      <formula>NOT(ISERROR(SEARCH("Pending",#REF!)))</formula>
    </cfRule>
    <cfRule type="containsText" dxfId="5416" priority="76919" operator="containsText" text="NA">
      <formula>NOT(ISERROR(SEARCH("NA",#REF!)))</formula>
    </cfRule>
    <cfRule type="containsText" dxfId="5415" priority="76920" operator="containsText" text="NA">
      <formula>NOT(ISERROR(SEARCH("NA",Z31)))</formula>
    </cfRule>
    <cfRule type="containsText" dxfId="5414" priority="76921" operator="containsText" text="Pending">
      <formula>NOT(ISERROR(SEARCH("Pending",Z31)))</formula>
    </cfRule>
    <cfRule type="containsText" dxfId="5413" priority="76922" operator="containsText" text="Done">
      <formula>NOT(ISERROR(SEARCH("Done",Z31)))</formula>
    </cfRule>
    <cfRule type="containsText" dxfId="5412" priority="76923" operator="containsText" text="NA">
      <formula>NOT(ISERROR(SEARCH("NA",#REF!)))</formula>
    </cfRule>
    <cfRule type="containsText" dxfId="5411" priority="76924" operator="containsText" text="Done">
      <formula>NOT(ISERROR(SEARCH("Done",#REF!)))</formula>
    </cfRule>
    <cfRule type="containsText" dxfId="5410" priority="76925" operator="containsText" text="Pending">
      <formula>NOT(ISERROR(SEARCH("Pending",#REF!)))</formula>
    </cfRule>
    <cfRule type="containsText" dxfId="5409" priority="76926" operator="containsText" text="NA">
      <formula>NOT(ISERROR(SEARCH("NA",#REF!)))</formula>
    </cfRule>
    <cfRule type="containsText" dxfId="5408" priority="76927" operator="containsText" text="NA">
      <formula>NOT(ISERROR(SEARCH("NA",#REF!)))</formula>
    </cfRule>
    <cfRule type="containsText" dxfId="5407" priority="76928" operator="containsText" text="Done">
      <formula>NOT(ISERROR(SEARCH("Done",#REF!)))</formula>
    </cfRule>
    <cfRule type="containsText" dxfId="5406" priority="76929" operator="containsText" text="Pending">
      <formula>NOT(ISERROR(SEARCH("Pending",#REF!)))</formula>
    </cfRule>
    <cfRule type="containsText" dxfId="5405" priority="76930" operator="containsText" text="NA">
      <formula>NOT(ISERROR(SEARCH("NA",#REF!)))</formula>
    </cfRule>
    <cfRule type="containsText" dxfId="5404" priority="76876" operator="containsText" text="NA">
      <formula>NOT(ISERROR(SEARCH("NA",#REF!)))</formula>
    </cfRule>
    <cfRule type="containsText" dxfId="5403" priority="76873" operator="containsText" text="NA">
      <formula>NOT(ISERROR(SEARCH("NA",Z31)))</formula>
    </cfRule>
    <cfRule type="containsText" dxfId="5402" priority="76874" operator="containsText" text="Pending">
      <formula>NOT(ISERROR(SEARCH("Pending",Z31)))</formula>
    </cfRule>
    <cfRule type="containsText" dxfId="5401" priority="76875" operator="containsText" text="Done">
      <formula>NOT(ISERROR(SEARCH("Done",Z31)))</formula>
    </cfRule>
    <cfRule type="containsText" dxfId="5400" priority="76877" operator="containsText" text="Done">
      <formula>NOT(ISERROR(SEARCH("Done",#REF!)))</formula>
    </cfRule>
    <cfRule type="containsText" dxfId="5399" priority="76878" operator="containsText" text="Pending">
      <formula>NOT(ISERROR(SEARCH("Pending",#REF!)))</formula>
    </cfRule>
    <cfRule type="containsText" dxfId="5398" priority="76879" operator="containsText" text="NA">
      <formula>NOT(ISERROR(SEARCH("NA",#REF!)))</formula>
    </cfRule>
    <cfRule type="containsText" dxfId="5397" priority="76880" operator="containsText" text="NA">
      <formula>NOT(ISERROR(SEARCH("NA",#REF!)))</formula>
    </cfRule>
    <cfRule type="containsText" dxfId="5396" priority="76881" operator="containsText" text="Done">
      <formula>NOT(ISERROR(SEARCH("Done",#REF!)))</formula>
    </cfRule>
    <cfRule type="containsText" dxfId="5395" priority="76882" operator="containsText" text="Pending">
      <formula>NOT(ISERROR(SEARCH("Pending",#REF!)))</formula>
    </cfRule>
    <cfRule type="containsText" dxfId="5394" priority="76883" operator="containsText" text="NA">
      <formula>NOT(ISERROR(SEARCH("NA",#REF!)))</formula>
    </cfRule>
    <cfRule type="containsText" dxfId="5393" priority="76884" operator="containsText" text="NA">
      <formula>NOT(ISERROR(SEARCH("NA",#REF!)))</formula>
    </cfRule>
    <cfRule type="containsText" dxfId="5392" priority="76885" operator="containsText" text="Done">
      <formula>NOT(ISERROR(SEARCH("Done",#REF!)))</formula>
    </cfRule>
    <cfRule type="containsText" dxfId="5391" priority="76886" operator="containsText" text="Pending">
      <formula>NOT(ISERROR(SEARCH("Pending",#REF!)))</formula>
    </cfRule>
    <cfRule type="containsText" dxfId="5390" priority="76887" operator="containsText" text="NA">
      <formula>NOT(ISERROR(SEARCH("NA",#REF!)))</formula>
    </cfRule>
    <cfRule type="containsText" dxfId="5389" priority="76888" operator="containsText" text="NA">
      <formula>NOT(ISERROR(SEARCH("NA",#REF!)))</formula>
    </cfRule>
    <cfRule type="containsText" dxfId="5388" priority="76889" operator="containsText" text="Done">
      <formula>NOT(ISERROR(SEARCH("Done",#REF!)))</formula>
    </cfRule>
    <cfRule type="containsText" dxfId="5387" priority="76890" operator="containsText" text="Pending">
      <formula>NOT(ISERROR(SEARCH("Pending",#REF!)))</formula>
    </cfRule>
    <cfRule type="containsText" dxfId="5386" priority="76891" operator="containsText" text="NA">
      <formula>NOT(ISERROR(SEARCH("NA",#REF!)))</formula>
    </cfRule>
    <cfRule type="containsText" dxfId="5385" priority="76892" operator="containsText" text="NA">
      <formula>NOT(ISERROR(SEARCH("NA",#REF!)))</formula>
    </cfRule>
    <cfRule type="containsText" dxfId="5384" priority="76893" operator="containsText" text="Done">
      <formula>NOT(ISERROR(SEARCH("Done",#REF!)))</formula>
    </cfRule>
    <cfRule type="containsText" dxfId="5383" priority="76894" operator="containsText" text="Pending">
      <formula>NOT(ISERROR(SEARCH("Pending",#REF!)))</formula>
    </cfRule>
    <cfRule type="containsText" dxfId="5382" priority="76895" operator="containsText" text="NA">
      <formula>NOT(ISERROR(SEARCH("NA",#REF!)))</formula>
    </cfRule>
    <cfRule type="containsText" dxfId="5381" priority="76896" operator="containsText" text="NA">
      <formula>NOT(ISERROR(SEARCH("NA",#REF!)))</formula>
    </cfRule>
    <cfRule type="containsText" dxfId="5380" priority="76897" operator="containsText" text="Done">
      <formula>NOT(ISERROR(SEARCH("Done",#REF!)))</formula>
    </cfRule>
    <cfRule type="containsText" dxfId="5379" priority="76898" operator="containsText" text="Pending">
      <formula>NOT(ISERROR(SEARCH("Pending",#REF!)))</formula>
    </cfRule>
    <cfRule type="containsText" dxfId="5378" priority="76899" operator="containsText" text="NA">
      <formula>NOT(ISERROR(SEARCH("NA",#REF!)))</formula>
    </cfRule>
    <cfRule type="containsText" dxfId="5377" priority="76900" operator="containsText" text="NA">
      <formula>NOT(ISERROR(SEARCH("NA",Z31)))</formula>
    </cfRule>
    <cfRule type="containsText" dxfId="5376" priority="76901" operator="containsText" text="Pending">
      <formula>NOT(ISERROR(SEARCH("Pending",Z31)))</formula>
    </cfRule>
    <cfRule type="containsText" dxfId="5375" priority="76902" operator="containsText" text="Done">
      <formula>NOT(ISERROR(SEARCH("Done",Z31)))</formula>
    </cfRule>
    <cfRule type="containsText" dxfId="5374" priority="76903" operator="containsText" text="NA">
      <formula>NOT(ISERROR(SEARCH("NA",#REF!)))</formula>
    </cfRule>
    <cfRule type="containsText" dxfId="5373" priority="76904" operator="containsText" text="Done">
      <formula>NOT(ISERROR(SEARCH("Done",#REF!)))</formula>
    </cfRule>
    <cfRule type="containsText" dxfId="5372" priority="76905" operator="containsText" text="Pending">
      <formula>NOT(ISERROR(SEARCH("Pending",#REF!)))</formula>
    </cfRule>
    <cfRule type="containsText" dxfId="5371" priority="76906" operator="containsText" text="NA">
      <formula>NOT(ISERROR(SEARCH("NA",#REF!)))</formula>
    </cfRule>
  </conditionalFormatting>
  <conditionalFormatting sqref="Z76:Z83">
    <cfRule type="containsText" dxfId="5370" priority="1046" operator="containsText" text="Done">
      <formula>NOT(ISERROR(SEARCH("Done",#REF!)))</formula>
    </cfRule>
    <cfRule type="containsText" dxfId="5369" priority="4766" operator="containsText" text="Pending">
      <formula>NOT(ISERROR(SEARCH("Pending",#REF!)))</formula>
    </cfRule>
    <cfRule type="containsText" dxfId="5368" priority="4758" operator="containsText" text="NA">
      <formula>NOT(ISERROR(SEARCH("NA",#REF!)))</formula>
    </cfRule>
    <cfRule type="containsText" dxfId="5367" priority="4764" operator="containsText" text="Done">
      <formula>NOT(ISERROR(SEARCH("Done",#REF!)))</formula>
    </cfRule>
    <cfRule type="containsText" dxfId="5366" priority="4763" operator="containsText" text="NA">
      <formula>NOT(ISERROR(SEARCH("NA",#REF!)))</formula>
    </cfRule>
    <cfRule type="containsText" dxfId="5365" priority="4760" operator="containsText" text="Pending">
      <formula>NOT(ISERROR(SEARCH("Pending",#REF!)))</formula>
    </cfRule>
    <cfRule type="containsText" dxfId="5364" priority="4759" operator="containsText" text="Done">
      <formula>NOT(ISERROR(SEARCH("Done",#REF!)))</formula>
    </cfRule>
    <cfRule type="containsText" dxfId="5363" priority="4762" operator="containsText" text="NA">
      <formula>NOT(ISERROR(SEARCH("NA",#REF!)))</formula>
    </cfRule>
    <cfRule type="containsText" dxfId="5362" priority="1039" operator="containsText" text="Pending">
      <formula>NOT(ISERROR(SEARCH("Pending",#REF!)))</formula>
    </cfRule>
    <cfRule type="containsText" dxfId="5361" priority="1040" operator="containsText" text="NA">
      <formula>NOT(ISERROR(SEARCH("NA",#REF!)))</formula>
    </cfRule>
    <cfRule type="containsText" dxfId="5360" priority="1041" operator="containsText" text="Done">
      <formula>NOT(ISERROR(SEARCH("Done",#REF!)))</formula>
    </cfRule>
    <cfRule type="containsText" dxfId="5359" priority="1042" operator="containsText" text="Pending">
      <formula>NOT(ISERROR(SEARCH("Pending",#REF!)))</formula>
    </cfRule>
    <cfRule type="containsText" dxfId="5358" priority="1043" operator="containsText" text="Pending">
      <formula>NOT(ISERROR(SEARCH("Pending",#REF!)))</formula>
    </cfRule>
    <cfRule type="containsText" dxfId="5357" priority="1044" operator="containsText" text="NA">
      <formula>NOT(ISERROR(SEARCH("NA",#REF!)))</formula>
    </cfRule>
    <cfRule type="containsText" dxfId="5356" priority="1045" operator="containsText" text="NA">
      <formula>NOT(ISERROR(SEARCH("NA",#REF!)))</formula>
    </cfRule>
    <cfRule type="containsText" dxfId="5355" priority="4768" operator="containsText" text="Pending">
      <formula>NOT(ISERROR(SEARCH("Pending",#REF!)))</formula>
    </cfRule>
    <cfRule type="containsText" dxfId="5354" priority="1047" operator="containsText" text="Done">
      <formula>NOT(ISERROR(SEARCH("Done",#REF!)))</formula>
    </cfRule>
    <cfRule type="containsText" dxfId="5353" priority="1048" operator="containsText" text="Pending">
      <formula>NOT(ISERROR(SEARCH("Pending",#REF!)))</formula>
    </cfRule>
    <cfRule type="containsText" dxfId="5352" priority="1049" operator="containsText" text="Pending">
      <formula>NOT(ISERROR(SEARCH("Pending",#REF!)))</formula>
    </cfRule>
    <cfRule type="containsText" dxfId="5351" priority="1050" operator="containsText" text="Pending">
      <formula>NOT(ISERROR(SEARCH("Pending",#REF!)))</formula>
    </cfRule>
    <cfRule type="containsText" dxfId="5350" priority="1051" operator="containsText" text="NA">
      <formula>NOT(ISERROR(SEARCH("NA",#REF!)))</formula>
    </cfRule>
    <cfRule type="containsText" dxfId="5349" priority="1052" operator="containsText" text="NA">
      <formula>NOT(ISERROR(SEARCH("NA",#REF!)))</formula>
    </cfRule>
    <cfRule type="containsText" dxfId="5348" priority="1053" operator="containsText" text="NA">
      <formula>NOT(ISERROR(SEARCH("NA",#REF!)))</formula>
    </cfRule>
    <cfRule type="containsText" dxfId="5347" priority="4761" operator="containsText" text="Pending">
      <formula>NOT(ISERROR(SEARCH("Pending",#REF!)))</formula>
    </cfRule>
    <cfRule type="containsText" dxfId="5346" priority="4757" operator="containsText" text="Pending">
      <formula>NOT(ISERROR(SEARCH("Pending",#REF!)))</formula>
    </cfRule>
    <cfRule type="containsText" dxfId="5345" priority="4771" operator="containsText" text="NA">
      <formula>NOT(ISERROR(SEARCH("NA",#REF!)))</formula>
    </cfRule>
    <cfRule type="containsText" dxfId="5344" priority="4770" operator="containsText" text="NA">
      <formula>NOT(ISERROR(SEARCH("NA",#REF!)))</formula>
    </cfRule>
    <cfRule type="containsText" dxfId="5343" priority="4769" operator="containsText" text="NA">
      <formula>NOT(ISERROR(SEARCH("NA",#REF!)))</formula>
    </cfRule>
    <cfRule type="containsText" dxfId="5342" priority="4767" operator="containsText" text="Pending">
      <formula>NOT(ISERROR(SEARCH("Pending",#REF!)))</formula>
    </cfRule>
    <cfRule type="containsText" dxfId="5341" priority="4765" operator="containsText" text="Done">
      <formula>NOT(ISERROR(SEARCH("Done",#REF!)))</formula>
    </cfRule>
  </conditionalFormatting>
  <conditionalFormatting sqref="Z77:Z83">
    <cfRule type="containsText" dxfId="5340" priority="109347" operator="containsText" text="NA">
      <formula>NOT(ISERROR(SEARCH("NA",#REF!)))</formula>
    </cfRule>
    <cfRule type="containsText" dxfId="5339" priority="109346" operator="containsText" text="Pending">
      <formula>NOT(ISERROR(SEARCH("Pending",#REF!)))</formula>
    </cfRule>
    <cfRule type="containsText" dxfId="5338" priority="109345" operator="containsText" text="Pending">
      <formula>NOT(ISERROR(SEARCH("Pending",#REF!)))</formula>
    </cfRule>
    <cfRule type="containsText" dxfId="5337" priority="109343" operator="containsText" text="Done">
      <formula>NOT(ISERROR(SEARCH("Done",#REF!)))</formula>
    </cfRule>
    <cfRule type="containsText" dxfId="5336" priority="109341" operator="containsText" text="NA">
      <formula>NOT(ISERROR(SEARCH("NA",#REF!)))</formula>
    </cfRule>
    <cfRule type="containsText" dxfId="5335" priority="109342" operator="containsText" text="Done">
      <formula>NOT(ISERROR(SEARCH("Done",#REF!)))</formula>
    </cfRule>
    <cfRule type="containsText" dxfId="5334" priority="109349" operator="containsText" text="NA">
      <formula>NOT(ISERROR(SEARCH("NA",#REF!)))</formula>
    </cfRule>
    <cfRule type="containsText" dxfId="5333" priority="109348" operator="containsText" text="NA">
      <formula>NOT(ISERROR(SEARCH("NA",#REF!)))</formula>
    </cfRule>
  </conditionalFormatting>
  <conditionalFormatting sqref="Z81">
    <cfRule type="containsText" dxfId="5332" priority="3650" operator="containsText" text="Pending">
      <formula>NOT(ISERROR(SEARCH("Pending",#REF!)))</formula>
    </cfRule>
    <cfRule type="containsText" dxfId="5331" priority="3649" operator="containsText" text="Pending">
      <formula>NOT(ISERROR(SEARCH("Pending",#REF!)))</formula>
    </cfRule>
    <cfRule type="containsText" dxfId="5330" priority="3675" operator="containsText" text="Pending">
      <formula>NOT(ISERROR(SEARCH("Pending",#REF!)))</formula>
    </cfRule>
    <cfRule type="containsText" dxfId="5329" priority="3648" operator="containsText" text="Done">
      <formula>NOT(ISERROR(SEARCH("Done",#REF!)))</formula>
    </cfRule>
    <cfRule type="containsText" dxfId="5328" priority="3646" operator="containsText" text="NA">
      <formula>NOT(ISERROR(SEARCH("NA",#REF!)))</formula>
    </cfRule>
    <cfRule type="containsText" dxfId="5327" priority="3645" operator="containsText" text="NA">
      <formula>NOT(ISERROR(SEARCH("NA",#REF!)))</formula>
    </cfRule>
    <cfRule type="containsText" dxfId="5326" priority="3644" operator="containsText" text="Pending">
      <formula>NOT(ISERROR(SEARCH("Pending",#REF!)))</formula>
    </cfRule>
    <cfRule type="containsText" dxfId="5325" priority="3643" operator="containsText" text="Pending">
      <formula>NOT(ISERROR(SEARCH("Pending",#REF!)))</formula>
    </cfRule>
    <cfRule type="containsText" dxfId="5324" priority="3642" operator="containsText" text="Pending">
      <formula>NOT(ISERROR(SEARCH("Pending",#REF!)))</formula>
    </cfRule>
    <cfRule type="containsText" dxfId="5323" priority="3647" operator="containsText" text="NA">
      <formula>NOT(ISERROR(SEARCH("NA",#REF!)))</formula>
    </cfRule>
    <cfRule type="containsText" dxfId="5322" priority="3641" operator="containsText" text="Done">
      <formula>NOT(ISERROR(SEARCH("Done",#REF!)))</formula>
    </cfRule>
    <cfRule type="containsText" dxfId="5321" priority="3657" operator="containsText" text="NA">
      <formula>NOT(ISERROR(SEARCH("NA",#REF!)))</formula>
    </cfRule>
    <cfRule type="containsText" dxfId="5320" priority="3658" operator="containsText" text="Pending">
      <formula>NOT(ISERROR(SEARCH("Pending",#REF!)))</formula>
    </cfRule>
    <cfRule type="containsText" dxfId="5319" priority="3659" operator="containsText" text="NA">
      <formula>NOT(ISERROR(SEARCH("NA",#REF!)))</formula>
    </cfRule>
    <cfRule type="containsText" dxfId="5318" priority="3660" operator="containsText" text="Done">
      <formula>NOT(ISERROR(SEARCH("Done",#REF!)))</formula>
    </cfRule>
    <cfRule type="containsText" dxfId="5317" priority="3661" operator="containsText" text="Done">
      <formula>NOT(ISERROR(SEARCH("Done",#REF!)))</formula>
    </cfRule>
    <cfRule type="containsText" dxfId="5316" priority="3662" operator="containsText" text="Pending">
      <formula>NOT(ISERROR(SEARCH("Pending",#REF!)))</formula>
    </cfRule>
    <cfRule type="containsText" dxfId="5315" priority="3663" operator="containsText" text="Pending">
      <formula>NOT(ISERROR(SEARCH("Pending",#REF!)))</formula>
    </cfRule>
    <cfRule type="containsText" dxfId="5314" priority="3664" operator="containsText" text="Pending">
      <formula>NOT(ISERROR(SEARCH("Pending",#REF!)))</formula>
    </cfRule>
    <cfRule type="containsText" dxfId="5313" priority="3677" operator="containsText" text="NA">
      <formula>NOT(ISERROR(SEARCH("NA",#REF!)))</formula>
    </cfRule>
    <cfRule type="containsText" dxfId="5312" priority="3676" operator="containsText" text="NA">
      <formula>NOT(ISERROR(SEARCH("NA",#REF!)))</formula>
    </cfRule>
    <cfRule type="containsText" dxfId="5311" priority="3666" operator="containsText" text="NA">
      <formula>NOT(ISERROR(SEARCH("NA",#REF!)))</formula>
    </cfRule>
    <cfRule type="containsText" dxfId="5310" priority="3667" operator="containsText" text="NA">
      <formula>NOT(ISERROR(SEARCH("NA",#REF!)))</formula>
    </cfRule>
    <cfRule type="containsText" dxfId="5309" priority="3668" operator="containsText" text="Done">
      <formula>NOT(ISERROR(SEARCH("Done",#REF!)))</formula>
    </cfRule>
    <cfRule type="containsText" dxfId="5308" priority="3665" operator="containsText" text="NA">
      <formula>NOT(ISERROR(SEARCH("NA",#REF!)))</formula>
    </cfRule>
    <cfRule type="containsText" dxfId="5307" priority="3669" operator="containsText" text="Pending">
      <formula>NOT(ISERROR(SEARCH("Pending",#REF!)))</formula>
    </cfRule>
    <cfRule type="containsText" dxfId="5306" priority="3670" operator="containsText" text="Pending">
      <formula>NOT(ISERROR(SEARCH("Pending",#REF!)))</formula>
    </cfRule>
    <cfRule type="containsText" dxfId="5305" priority="3671" operator="containsText" text="NA">
      <formula>NOT(ISERROR(SEARCH("NA",#REF!)))</formula>
    </cfRule>
    <cfRule type="containsText" dxfId="5304" priority="3672" operator="containsText" text="NA">
      <formula>NOT(ISERROR(SEARCH("NA",#REF!)))</formula>
    </cfRule>
    <cfRule type="containsText" dxfId="5303" priority="3673" operator="containsText" text="Done">
      <formula>NOT(ISERROR(SEARCH("Done",#REF!)))</formula>
    </cfRule>
    <cfRule type="containsText" dxfId="5302" priority="3674" operator="containsText" text="Pending">
      <formula>NOT(ISERROR(SEARCH("Pending",#REF!)))</formula>
    </cfRule>
    <cfRule type="containsText" dxfId="5301" priority="3656" operator="containsText" text="NA">
      <formula>NOT(ISERROR(SEARCH("NA",#REF!)))</formula>
    </cfRule>
    <cfRule type="containsText" dxfId="5300" priority="3655" operator="containsText" text="Pending">
      <formula>NOT(ISERROR(SEARCH("Pending",#REF!)))</formula>
    </cfRule>
    <cfRule type="containsText" dxfId="5299" priority="3654" operator="containsText" text="Pending">
      <formula>NOT(ISERROR(SEARCH("Pending",#REF!)))</formula>
    </cfRule>
    <cfRule type="containsText" dxfId="5298" priority="3653" operator="containsText" text="Done">
      <formula>NOT(ISERROR(SEARCH("Done",#REF!)))</formula>
    </cfRule>
    <cfRule type="containsText" dxfId="5297" priority="3652" operator="containsText" text="NA">
      <formula>NOT(ISERROR(SEARCH("NA",#REF!)))</formula>
    </cfRule>
    <cfRule type="containsText" dxfId="5296" priority="3651" operator="containsText" text="NA">
      <formula>NOT(ISERROR(SEARCH("NA",#REF!)))</formula>
    </cfRule>
  </conditionalFormatting>
  <conditionalFormatting sqref="Z81:Z83">
    <cfRule type="containsText" dxfId="5295" priority="3630" operator="containsText" text="Pending">
      <formula>NOT(ISERROR(SEARCH("Pending",#REF!)))</formula>
    </cfRule>
    <cfRule type="containsText" dxfId="5294" priority="3631" operator="containsText" text="NA">
      <formula>NOT(ISERROR(SEARCH("NA",#REF!)))</formula>
    </cfRule>
    <cfRule type="containsText" dxfId="5293" priority="3632" operator="containsText" text="NA">
      <formula>NOT(ISERROR(SEARCH("NA",#REF!)))</formula>
    </cfRule>
    <cfRule type="containsText" dxfId="5292" priority="3633" operator="containsText" text="Done">
      <formula>NOT(ISERROR(SEARCH("Done",#REF!)))</formula>
    </cfRule>
    <cfRule type="containsText" dxfId="5291" priority="3634" operator="containsText" text="Done">
      <formula>NOT(ISERROR(SEARCH("Done",#REF!)))</formula>
    </cfRule>
    <cfRule type="containsText" dxfId="5290" priority="3635" operator="containsText" text="Pending">
      <formula>NOT(ISERROR(SEARCH("Pending",#REF!)))</formula>
    </cfRule>
    <cfRule type="containsText" dxfId="5289" priority="3636" operator="containsText" text="Pending">
      <formula>NOT(ISERROR(SEARCH("Pending",#REF!)))</formula>
    </cfRule>
    <cfRule type="containsText" dxfId="5288" priority="3637" operator="containsText" text="Pending">
      <formula>NOT(ISERROR(SEARCH("Pending",#REF!)))</formula>
    </cfRule>
    <cfRule type="containsText" dxfId="5287" priority="3638" operator="containsText" text="NA">
      <formula>NOT(ISERROR(SEARCH("NA",#REF!)))</formula>
    </cfRule>
    <cfRule type="containsText" dxfId="5286" priority="3639" operator="containsText" text="NA">
      <formula>NOT(ISERROR(SEARCH("NA",#REF!)))</formula>
    </cfRule>
    <cfRule type="containsText" dxfId="5285" priority="3640" operator="containsText" text="NA">
      <formula>NOT(ISERROR(SEARCH("NA",#REF!)))</formula>
    </cfRule>
    <cfRule type="containsText" dxfId="5284" priority="3629" operator="containsText" text="Pending">
      <formula>NOT(ISERROR(SEARCH("Pending",#REF!)))</formula>
    </cfRule>
    <cfRule type="containsText" dxfId="5283" priority="3628" operator="containsText" text="Done">
      <formula>NOT(ISERROR(SEARCH("Done",#REF!)))</formula>
    </cfRule>
    <cfRule type="containsText" dxfId="5282" priority="3627" operator="containsText" text="NA">
      <formula>NOT(ISERROR(SEARCH("NA",#REF!)))</formula>
    </cfRule>
    <cfRule type="containsText" dxfId="5281" priority="3626" operator="containsText" text="Pending">
      <formula>NOT(ISERROR(SEARCH("Pending",#REF!)))</formula>
    </cfRule>
  </conditionalFormatting>
  <conditionalFormatting sqref="Z86:Z88">
    <cfRule type="containsText" dxfId="5280" priority="4877" operator="containsText" text="Pending">
      <formula>NOT(ISERROR(SEARCH("Pending",#REF!)))</formula>
    </cfRule>
    <cfRule type="containsText" dxfId="5279" priority="4872" operator="containsText" text="NA">
      <formula>NOT(ISERROR(SEARCH("NA",#REF!)))</formula>
    </cfRule>
    <cfRule type="containsText" dxfId="5278" priority="4880" operator="containsText" text="NA">
      <formula>NOT(ISERROR(SEARCH("NA",#REF!)))</formula>
    </cfRule>
    <cfRule type="containsText" dxfId="5277" priority="4879" operator="containsText" text="NA">
      <formula>NOT(ISERROR(SEARCH("NA",#REF!)))</formula>
    </cfRule>
    <cfRule type="containsText" dxfId="5276" priority="4878" operator="containsText" text="NA">
      <formula>NOT(ISERROR(SEARCH("NA",#REF!)))</formula>
    </cfRule>
    <cfRule type="containsText" dxfId="5275" priority="4876" operator="containsText" text="Pending">
      <formula>NOT(ISERROR(SEARCH("Pending",#REF!)))</formula>
    </cfRule>
    <cfRule type="containsText" dxfId="5274" priority="4875" operator="containsText" text="Pending">
      <formula>NOT(ISERROR(SEARCH("Pending",#REF!)))</formula>
    </cfRule>
    <cfRule type="containsText" dxfId="5273" priority="4874" operator="containsText" text="Done">
      <formula>NOT(ISERROR(SEARCH("Done",#REF!)))</formula>
    </cfRule>
    <cfRule type="containsText" dxfId="5272" priority="4873" operator="containsText" text="Done">
      <formula>NOT(ISERROR(SEARCH("Done",#REF!)))</formula>
    </cfRule>
    <cfRule type="containsText" dxfId="5271" priority="4871" operator="containsText" text="NA">
      <formula>NOT(ISERROR(SEARCH("NA",#REF!)))</formula>
    </cfRule>
    <cfRule type="containsText" dxfId="5270" priority="4870" operator="containsText" text="Pending">
      <formula>NOT(ISERROR(SEARCH("Pending",#REF!)))</formula>
    </cfRule>
    <cfRule type="containsText" dxfId="5269" priority="4869" operator="containsText" text="Pending">
      <formula>NOT(ISERROR(SEARCH("Pending",#REF!)))</formula>
    </cfRule>
    <cfRule type="containsText" dxfId="5268" priority="4868" operator="containsText" text="Done">
      <formula>NOT(ISERROR(SEARCH("Done",#REF!)))</formula>
    </cfRule>
    <cfRule type="containsText" dxfId="5267" priority="4867" operator="containsText" text="NA">
      <formula>NOT(ISERROR(SEARCH("NA",#REF!)))</formula>
    </cfRule>
  </conditionalFormatting>
  <conditionalFormatting sqref="Z86:Z89">
    <cfRule type="containsText" dxfId="5266" priority="4862" operator="containsText" text="Pending">
      <formula>NOT(ISERROR(SEARCH("Pending",#REF!)))</formula>
    </cfRule>
  </conditionalFormatting>
  <conditionalFormatting sqref="Z89">
    <cfRule type="containsText" dxfId="5265" priority="4854" operator="containsText" text="NA">
      <formula>NOT(ISERROR(SEARCH("NA",Z89)))</formula>
    </cfRule>
    <cfRule type="containsText" dxfId="5264" priority="4856" operator="containsText" text="Done">
      <formula>NOT(ISERROR(SEARCH("Done",#REF!)))</formula>
    </cfRule>
    <cfRule type="containsText" dxfId="5263" priority="4857" operator="containsText" text="Pending">
      <formula>NOT(ISERROR(SEARCH("Pending",#REF!)))</formula>
    </cfRule>
    <cfRule type="containsText" dxfId="5262" priority="4858" operator="containsText" text="NA">
      <formula>NOT(ISERROR(SEARCH("NA",#REF!)))</formula>
    </cfRule>
    <cfRule type="containsText" dxfId="5261" priority="4859" operator="containsText" text="NA">
      <formula>NOT(ISERROR(SEARCH("NA",Z89)))</formula>
    </cfRule>
    <cfRule type="containsText" dxfId="5260" priority="4861" operator="containsText" text="Done">
      <formula>NOT(ISERROR(SEARCH("Done",#REF!)))</formula>
    </cfRule>
    <cfRule type="containsText" dxfId="5259" priority="4860" operator="containsText" text="Done">
      <formula>NOT(ISERROR(SEARCH("Done",Z89)))</formula>
    </cfRule>
    <cfRule type="containsText" dxfId="5258" priority="4855" operator="containsText" text="Done">
      <formula>NOT(ISERROR(SEARCH("Done",Z89)))</formula>
    </cfRule>
    <cfRule type="containsText" dxfId="5257" priority="4863" operator="containsText" text="NA">
      <formula>NOT(ISERROR(SEARCH("NA",#REF!)))</formula>
    </cfRule>
    <cfRule type="containsText" dxfId="5256" priority="4214" operator="containsText" text="NA">
      <formula>NOT(ISERROR(SEARCH("NA",Z89)))</formula>
    </cfRule>
    <cfRule type="containsText" dxfId="5255" priority="4215" operator="containsText" text="Done">
      <formula>NOT(ISERROR(SEARCH("Done",Z89)))</formula>
    </cfRule>
    <cfRule type="containsText" dxfId="5254" priority="4216" operator="containsText" text="Done">
      <formula>NOT(ISERROR(SEARCH("Done",#REF!)))</formula>
    </cfRule>
    <cfRule type="containsText" dxfId="5253" priority="4217" operator="containsText" text="Pending">
      <formula>NOT(ISERROR(SEARCH("Pending",#REF!)))</formula>
    </cfRule>
    <cfRule type="containsText" dxfId="5252" priority="4218" operator="containsText" text="NA">
      <formula>NOT(ISERROR(SEARCH("NA",#REF!)))</formula>
    </cfRule>
    <cfRule type="containsText" dxfId="5251" priority="4219" operator="containsText" text="NA">
      <formula>NOT(ISERROR(SEARCH("NA",Z89)))</formula>
    </cfRule>
    <cfRule type="containsText" dxfId="5250" priority="4220" operator="containsText" text="Done">
      <formula>NOT(ISERROR(SEARCH("Done",Z89)))</formula>
    </cfRule>
    <cfRule type="containsText" dxfId="5249" priority="4221" operator="containsText" text="Done">
      <formula>NOT(ISERROR(SEARCH("Done",#REF!)))</formula>
    </cfRule>
    <cfRule type="containsText" dxfId="5248" priority="4222" operator="containsText" text="Pending">
      <formula>NOT(ISERROR(SEARCH("Pending",#REF!)))</formula>
    </cfRule>
    <cfRule type="containsText" dxfId="5247" priority="4223" operator="containsText" text="NA">
      <formula>NOT(ISERROR(SEARCH("NA",#REF!)))</formula>
    </cfRule>
  </conditionalFormatting>
  <conditionalFormatting sqref="Z77:AA83 AA78:AB83">
    <cfRule type="containsText" dxfId="5246" priority="109334" operator="containsText" text="Pending">
      <formula>NOT(ISERROR(SEARCH("Pending",#REF!)))</formula>
    </cfRule>
  </conditionalFormatting>
  <conditionalFormatting sqref="Z29:AB29 AB29:AB30">
    <cfRule type="containsText" dxfId="5245" priority="109492" operator="containsText" text="Pending">
      <formula>NOT(ISERROR(SEARCH("Pending",Z29)))</formula>
    </cfRule>
    <cfRule type="containsText" dxfId="5244" priority="109491" operator="containsText" text="NA">
      <formula>NOT(ISERROR(SEARCH("NA",Z29)))</formula>
    </cfRule>
    <cfRule type="containsText" dxfId="5243" priority="109490" operator="containsText" text="NA">
      <formula>NOT(ISERROR(SEARCH("NA",#REF!)))</formula>
    </cfRule>
    <cfRule type="containsText" dxfId="5242" priority="109489" operator="containsText" text="Pending">
      <formula>NOT(ISERROR(SEARCH("Pending",#REF!)))</formula>
    </cfRule>
    <cfRule type="containsText" dxfId="5241" priority="109487" operator="containsText" text="NA">
      <formula>NOT(ISERROR(SEARCH("NA",#REF!)))</formula>
    </cfRule>
    <cfRule type="containsText" dxfId="5240" priority="109486" operator="containsText" text="Done">
      <formula>NOT(ISERROR(SEARCH("Done",Z29)))</formula>
    </cfRule>
    <cfRule type="containsText" dxfId="5239" priority="109485" operator="containsText" text="NA">
      <formula>NOT(ISERROR(SEARCH("NA",Z29)))</formula>
    </cfRule>
    <cfRule type="containsText" dxfId="5238" priority="109484" operator="containsText" text="NA">
      <formula>NOT(ISERROR(SEARCH("NA",#REF!)))</formula>
    </cfRule>
    <cfRule type="containsText" dxfId="5237" priority="109483" operator="containsText" text="Pending">
      <formula>NOT(ISERROR(SEARCH("Pending",#REF!)))</formula>
    </cfRule>
    <cfRule type="containsText" dxfId="5236" priority="109482" operator="containsText" text="Done">
      <formula>NOT(ISERROR(SEARCH("Done",#REF!)))</formula>
    </cfRule>
    <cfRule type="containsText" dxfId="5235" priority="109481" operator="containsText" text="NA">
      <formula>NOT(ISERROR(SEARCH("NA",#REF!)))</formula>
    </cfRule>
    <cfRule type="containsText" dxfId="5234" priority="109501" operator="containsText" text="NA">
      <formula>NOT(ISERROR(SEARCH("NA",W52)))</formula>
    </cfRule>
    <cfRule type="containsText" dxfId="5233" priority="109480" operator="containsText" text="Done">
      <formula>NOT(ISERROR(SEARCH("Done",Z29)))</formula>
    </cfRule>
    <cfRule type="containsText" dxfId="5232" priority="109479" operator="containsText" text="Pending">
      <formula>NOT(ISERROR(SEARCH("Pending",Z29)))</formula>
    </cfRule>
    <cfRule type="containsText" dxfId="5231" priority="109477" operator="containsText" text="NA">
      <formula>NOT(ISERROR(SEARCH("NA",#REF!)))</formula>
    </cfRule>
    <cfRule type="containsText" dxfId="5230" priority="109476" operator="containsText" text="Pending">
      <formula>NOT(ISERROR(SEARCH("Pending",#REF!)))</formula>
    </cfRule>
    <cfRule type="containsText" dxfId="5229" priority="109475" operator="containsText" text="Done">
      <formula>NOT(ISERROR(SEARCH("Done",#REF!)))</formula>
    </cfRule>
    <cfRule type="containsText" dxfId="5228" priority="109474" operator="containsText" text="NA">
      <formula>NOT(ISERROR(SEARCH("NA",#REF!)))</formula>
    </cfRule>
    <cfRule type="containsText" dxfId="5227" priority="109468" operator="containsText" text="NA">
      <formula>NOT(ISERROR(SEARCH("NA",#REF!)))</formula>
    </cfRule>
    <cfRule type="containsText" dxfId="5226" priority="109469" operator="containsText" text="Done">
      <formula>NOT(ISERROR(SEARCH("Done",#REF!)))</formula>
    </cfRule>
    <cfRule type="containsText" dxfId="5225" priority="109470" operator="containsText" text="Pending">
      <formula>NOT(ISERROR(SEARCH("Pending",#REF!)))</formula>
    </cfRule>
    <cfRule type="containsText" dxfId="5224" priority="109471" operator="containsText" text="NA">
      <formula>NOT(ISERROR(SEARCH("NA",#REF!)))</formula>
    </cfRule>
    <cfRule type="containsText" dxfId="5223" priority="109473" operator="containsText" text="Done">
      <formula>NOT(ISERROR(SEARCH("Done",Z29)))</formula>
    </cfRule>
    <cfRule type="containsText" dxfId="5222" priority="109506" operator="containsText" text="Done">
      <formula>NOT(ISERROR(SEARCH("Done",#REF!)))</formula>
    </cfRule>
    <cfRule type="containsText" dxfId="5221" priority="109478" operator="containsText" text="NA">
      <formula>NOT(ISERROR(SEARCH("NA",Z29)))</formula>
    </cfRule>
    <cfRule type="containsText" dxfId="5220" priority="109488" operator="containsText" text="Done">
      <formula>NOT(ISERROR(SEARCH("Done",#REF!)))</formula>
    </cfRule>
    <cfRule type="containsText" dxfId="5219" priority="109500" operator="containsText" text="Pending">
      <formula>NOT(ISERROR(SEARCH("Pending",W52)))</formula>
    </cfRule>
    <cfRule type="containsText" dxfId="5218" priority="109499" operator="containsText" text="Done">
      <formula>NOT(ISERROR(SEARCH("Done",W52)))</formula>
    </cfRule>
    <cfRule type="containsText" dxfId="5217" priority="109498" operator="containsText" text="NA">
      <formula>NOT(ISERROR(SEARCH("NA",W54)))</formula>
    </cfRule>
    <cfRule type="containsText" dxfId="5216" priority="109497" operator="containsText" text="NA">
      <formula>NOT(ISERROR(SEARCH("NA",#REF!)))</formula>
    </cfRule>
    <cfRule type="containsText" dxfId="5215" priority="109496" operator="containsText" text="Pending">
      <formula>NOT(ISERROR(SEARCH("Pending",#REF!)))</formula>
    </cfRule>
    <cfRule type="containsText" dxfId="5214" priority="109495" operator="containsText" text="Done">
      <formula>NOT(ISERROR(SEARCH("Done",#REF!)))</formula>
    </cfRule>
    <cfRule type="containsText" dxfId="5213" priority="109494" operator="containsText" text="NA">
      <formula>NOT(ISERROR(SEARCH("NA",#REF!)))</formula>
    </cfRule>
    <cfRule type="containsText" dxfId="5212" priority="109493" operator="containsText" text="Done">
      <formula>NOT(ISERROR(SEARCH("Done",Z29)))</formula>
    </cfRule>
    <cfRule type="containsText" dxfId="5211" priority="109472" operator="containsText" text="NA">
      <formula>NOT(ISERROR(SEARCH("NA",Z29)))</formula>
    </cfRule>
    <cfRule type="containsText" dxfId="5210" priority="109461" operator="containsText" text="NA">
      <formula>NOT(ISERROR(SEARCH("NA",#REF!)))</formula>
    </cfRule>
    <cfRule type="containsText" dxfId="5209" priority="109462" operator="containsText" text="Done">
      <formula>NOT(ISERROR(SEARCH("Done",#REF!)))</formula>
    </cfRule>
    <cfRule type="containsText" dxfId="5208" priority="109463" operator="containsText" text="Pending">
      <formula>NOT(ISERROR(SEARCH("Pending",#REF!)))</formula>
    </cfRule>
    <cfRule type="containsText" dxfId="5207" priority="109464" operator="containsText" text="NA">
      <formula>NOT(ISERROR(SEARCH("NA",#REF!)))</formula>
    </cfRule>
    <cfRule type="containsText" dxfId="5206" priority="109465" operator="containsText" text="Done">
      <formula>NOT(ISERROR(SEARCH("Done",#REF!)))</formula>
    </cfRule>
    <cfRule type="containsText" dxfId="5205" priority="109466" operator="containsText" text="Pending">
      <formula>NOT(ISERROR(SEARCH("Pending",#REF!)))</formula>
    </cfRule>
    <cfRule type="containsText" dxfId="5204" priority="109467" operator="containsText" text="NA">
      <formula>NOT(ISERROR(SEARCH("NA",#REF!)))</formula>
    </cfRule>
    <cfRule type="containsText" dxfId="5203" priority="109519" operator="containsText" text="NA">
      <formula>NOT(ISERROR(SEARCH("NA",#REF!)))</formula>
    </cfRule>
    <cfRule type="containsText" dxfId="5202" priority="109518" operator="containsText" text="Pending">
      <formula>NOT(ISERROR(SEARCH("Pending",#REF!)))</formula>
    </cfRule>
    <cfRule type="containsText" dxfId="5201" priority="109517" operator="containsText" text="Done">
      <formula>NOT(ISERROR(SEARCH("Done",#REF!)))</formula>
    </cfRule>
    <cfRule type="containsText" dxfId="5200" priority="109516" operator="containsText" text="NA">
      <formula>NOT(ISERROR(SEARCH("NA",#REF!)))</formula>
    </cfRule>
    <cfRule type="containsText" dxfId="5199" priority="109515" operator="containsText" text="NA">
      <formula>NOT(ISERROR(SEARCH("NA",#REF!)))</formula>
    </cfRule>
    <cfRule type="containsText" dxfId="5198" priority="109514" operator="containsText" text="Pending">
      <formula>NOT(ISERROR(SEARCH("Pending",#REF!)))</formula>
    </cfRule>
    <cfRule type="containsText" dxfId="5197" priority="109513" operator="containsText" text="Done">
      <formula>NOT(ISERROR(SEARCH("Done",#REF!)))</formula>
    </cfRule>
    <cfRule type="containsText" dxfId="5196" priority="109512" operator="containsText" text="NA">
      <formula>NOT(ISERROR(SEARCH("NA",#REF!)))</formula>
    </cfRule>
    <cfRule type="containsText" dxfId="5195" priority="109511" operator="containsText" text="NA">
      <formula>NOT(ISERROR(SEARCH("NA",#REF!)))</formula>
    </cfRule>
    <cfRule type="containsText" dxfId="5194" priority="109510" operator="containsText" text="Pending">
      <formula>NOT(ISERROR(SEARCH("Pending",#REF!)))</formula>
    </cfRule>
    <cfRule type="containsText" dxfId="5193" priority="109509" operator="containsText" text="Done">
      <formula>NOT(ISERROR(SEARCH("Done",#REF!)))</formula>
    </cfRule>
    <cfRule type="containsText" dxfId="5192" priority="109508" operator="containsText" text="NA">
      <formula>NOT(ISERROR(SEARCH("NA",#REF!)))</formula>
    </cfRule>
    <cfRule type="containsText" dxfId="5191" priority="109507" operator="containsText" text="Pending">
      <formula>NOT(ISERROR(SEARCH("Pending",#REF!)))</formula>
    </cfRule>
  </conditionalFormatting>
  <conditionalFormatting sqref="Z29:AB29 AE29 AB29:AB30 AG29:AG32">
    <cfRule type="containsText" dxfId="5190" priority="159125" operator="containsText" text="NA">
      <formula>NOT(ISERROR(SEARCH("NA",W84)))</formula>
    </cfRule>
    <cfRule type="containsText" dxfId="5189" priority="159123" operator="containsText" text="Done">
      <formula>NOT(ISERROR(SEARCH("Done",W84)))</formula>
    </cfRule>
    <cfRule type="containsText" dxfId="5188" priority="159124" operator="containsText" text="Pending">
      <formula>NOT(ISERROR(SEARCH("Pending",W84)))</formula>
    </cfRule>
  </conditionalFormatting>
  <conditionalFormatting sqref="Z29:AB30">
    <cfRule type="containsText" dxfId="5187" priority="5140" operator="containsText" text="Pending">
      <formula>NOT(ISERROR(SEARCH("Pending",#REF!)))</formula>
    </cfRule>
    <cfRule type="containsText" dxfId="5186" priority="5136" operator="containsText" text="Done">
      <formula>NOT(ISERROR(SEARCH("Done",#REF!)))</formula>
    </cfRule>
    <cfRule type="containsText" dxfId="5185" priority="5137" operator="containsText" text="Pending">
      <formula>NOT(ISERROR(SEARCH("Pending",#REF!)))</formula>
    </cfRule>
    <cfRule type="containsText" dxfId="5184" priority="5138" operator="containsText" text="NA">
      <formula>NOT(ISERROR(SEARCH("NA",#REF!)))</formula>
    </cfRule>
    <cfRule type="containsText" dxfId="5183" priority="5139" operator="containsText" text="Done">
      <formula>NOT(ISERROR(SEARCH("Done",#REF!)))</formula>
    </cfRule>
    <cfRule type="containsText" dxfId="5182" priority="5159" operator="containsText" text="NA">
      <formula>NOT(ISERROR(SEARCH("NA",#REF!)))</formula>
    </cfRule>
    <cfRule type="containsText" dxfId="5181" priority="5141" operator="containsText" text="NA">
      <formula>NOT(ISERROR(SEARCH("NA",#REF!)))</formula>
    </cfRule>
    <cfRule type="containsText" dxfId="5180" priority="5142" operator="containsText" text="NA">
      <formula>NOT(ISERROR(SEARCH("NA",#REF!)))</formula>
    </cfRule>
    <cfRule type="containsText" dxfId="5179" priority="5162" operator="containsText" text="NA">
      <formula>NOT(ISERROR(SEARCH("NA",#REF!)))</formula>
    </cfRule>
    <cfRule type="containsText" dxfId="5178" priority="5161" operator="containsText" text="Pending">
      <formula>NOT(ISERROR(SEARCH("Pending",#REF!)))</formula>
    </cfRule>
    <cfRule type="containsText" dxfId="5177" priority="5160" operator="containsText" text="Done">
      <formula>NOT(ISERROR(SEARCH("Done",#REF!)))</formula>
    </cfRule>
    <cfRule type="containsText" dxfId="5176" priority="5158" operator="containsText" text="Pending">
      <formula>NOT(ISERROR(SEARCH("Pending",#REF!)))</formula>
    </cfRule>
    <cfRule type="containsText" dxfId="5175" priority="5157" operator="containsText" text="Done">
      <formula>NOT(ISERROR(SEARCH("Done",#REF!)))</formula>
    </cfRule>
    <cfRule type="containsText" dxfId="5174" priority="5156" operator="containsText" text="NA">
      <formula>NOT(ISERROR(SEARCH("NA",#REF!)))</formula>
    </cfRule>
    <cfRule type="containsText" dxfId="5173" priority="5155" operator="containsText" text="Done">
      <formula>NOT(ISERROR(SEARCH("Done",Z29)))</formula>
    </cfRule>
    <cfRule type="containsText" dxfId="5172" priority="5154" operator="containsText" text="NA">
      <formula>NOT(ISERROR(SEARCH("NA",Z29)))</formula>
    </cfRule>
    <cfRule type="containsText" dxfId="5171" priority="5135" operator="containsText" text="NA">
      <formula>NOT(ISERROR(SEARCH("NA",#REF!)))</formula>
    </cfRule>
    <cfRule type="containsText" dxfId="5170" priority="5132" operator="containsText" text="Done">
      <formula>NOT(ISERROR(SEARCH("Done",#REF!)))</formula>
    </cfRule>
    <cfRule type="containsText" dxfId="5169" priority="5153" operator="containsText" text="NA">
      <formula>NOT(ISERROR(SEARCH("NA",#REF!)))</formula>
    </cfRule>
    <cfRule type="containsText" dxfId="5168" priority="5152" operator="containsText" text="NA">
      <formula>NOT(ISERROR(SEARCH("NA",#REF!)))</formula>
    </cfRule>
    <cfRule type="containsText" dxfId="5167" priority="5151" operator="containsText" text="Pending">
      <formula>NOT(ISERROR(SEARCH("Pending",#REF!)))</formula>
    </cfRule>
    <cfRule type="containsText" dxfId="5166" priority="5131" operator="containsText" text="NA">
      <formula>NOT(ISERROR(SEARCH("NA",#REF!)))</formula>
    </cfRule>
    <cfRule type="containsText" dxfId="5165" priority="5133" operator="containsText" text="Pending">
      <formula>NOT(ISERROR(SEARCH("Pending",#REF!)))</formula>
    </cfRule>
    <cfRule type="containsText" dxfId="5164" priority="5150" operator="containsText" text="Done">
      <formula>NOT(ISERROR(SEARCH("Done",#REF!)))</formula>
    </cfRule>
    <cfRule type="containsText" dxfId="5163" priority="5149" operator="containsText" text="NA">
      <formula>NOT(ISERROR(SEARCH("NA",#REF!)))</formula>
    </cfRule>
    <cfRule type="containsText" dxfId="5162" priority="5148" operator="containsText" text="Pending">
      <formula>NOT(ISERROR(SEARCH("Pending",#REF!)))</formula>
    </cfRule>
    <cfRule type="containsText" dxfId="5161" priority="5147" operator="containsText" text="Done">
      <formula>NOT(ISERROR(SEARCH("Done",#REF!)))</formula>
    </cfRule>
    <cfRule type="containsText" dxfId="5160" priority="5146" operator="containsText" text="NA">
      <formula>NOT(ISERROR(SEARCH("NA",#REF!)))</formula>
    </cfRule>
    <cfRule type="containsText" dxfId="5159" priority="5145" operator="containsText" text="NA">
      <formula>NOT(ISERROR(SEARCH("NA",#REF!)))</formula>
    </cfRule>
    <cfRule type="containsText" dxfId="5158" priority="5144" operator="containsText" text="Pending">
      <formula>NOT(ISERROR(SEARCH("Pending",#REF!)))</formula>
    </cfRule>
    <cfRule type="containsText" dxfId="5157" priority="5143" operator="containsText" text="Done">
      <formula>NOT(ISERROR(SEARCH("Done",#REF!)))</formula>
    </cfRule>
    <cfRule type="containsText" dxfId="5156" priority="5134" operator="containsText" text="NA">
      <formula>NOT(ISERROR(SEARCH("NA",#REF!)))</formula>
    </cfRule>
  </conditionalFormatting>
  <conditionalFormatting sqref="Z66:AB66 AB66:AB70 AA67:AB73">
    <cfRule type="containsText" dxfId="5155" priority="119482" operator="containsText" text="Done">
      <formula>NOT(ISERROR(SEARCH("Done",#REF!)))</formula>
    </cfRule>
    <cfRule type="containsText" dxfId="5154" priority="119484" operator="containsText" text="Pending">
      <formula>NOT(ISERROR(SEARCH("Pending",#REF!)))</formula>
    </cfRule>
    <cfRule type="containsText" dxfId="5153" priority="119487" operator="containsText" text="NA">
      <formula>NOT(ISERROR(SEARCH("NA",#REF!)))</formula>
    </cfRule>
    <cfRule type="containsText" dxfId="5152" priority="119486" operator="containsText" text="NA">
      <formula>NOT(ISERROR(SEARCH("NA",#REF!)))</formula>
    </cfRule>
    <cfRule type="containsText" dxfId="5151" priority="119485" operator="containsText" text="Pending">
      <formula>NOT(ISERROR(SEARCH("Pending",#REF!)))</formula>
    </cfRule>
  </conditionalFormatting>
  <conditionalFormatting sqref="Z31:AF32">
    <cfRule type="containsText" dxfId="5150" priority="5262" operator="containsText" text="NA">
      <formula>NOT(ISERROR(SEARCH("NA",#REF!)))</formula>
    </cfRule>
    <cfRule type="containsText" dxfId="5149" priority="5261" operator="containsText" text="Pending">
      <formula>NOT(ISERROR(SEARCH("Pending",#REF!)))</formula>
    </cfRule>
    <cfRule type="containsText" dxfId="5148" priority="5260" operator="containsText" text="Done">
      <formula>NOT(ISERROR(SEARCH("Done",#REF!)))</formula>
    </cfRule>
    <cfRule type="containsText" dxfId="5147" priority="5259" operator="containsText" text="NA">
      <formula>NOT(ISERROR(SEARCH("NA",#REF!)))</formula>
    </cfRule>
  </conditionalFormatting>
  <conditionalFormatting sqref="AA23:AA24">
    <cfRule type="containsText" dxfId="5146" priority="149033" operator="containsText" text="Pending">
      <formula>NOT(ISERROR(SEARCH("Pending",Q52)))</formula>
    </cfRule>
    <cfRule type="containsText" dxfId="5145" priority="149032" operator="containsText" text="Done">
      <formula>NOT(ISERROR(SEARCH("Done",Q52)))</formula>
    </cfRule>
    <cfRule type="containsText" dxfId="5144" priority="149034" operator="containsText" text="NA">
      <formula>NOT(ISERROR(SEARCH("NA",Q52)))</formula>
    </cfRule>
  </conditionalFormatting>
  <conditionalFormatting sqref="AA25:AA26">
    <cfRule type="containsText" dxfId="5143" priority="127953" operator="containsText" text="NA">
      <formula>NOT(ISERROR(SEARCH("NA",Q56)))</formula>
    </cfRule>
    <cfRule type="containsText" dxfId="5142" priority="127943" operator="containsText" text="Pending">
      <formula>NOT(ISERROR(SEARCH("Pending",Q56)))</formula>
    </cfRule>
    <cfRule type="containsText" dxfId="5141" priority="127933" operator="containsText" text="Done">
      <formula>NOT(ISERROR(SEARCH("Done",Q56)))</formula>
    </cfRule>
  </conditionalFormatting>
  <conditionalFormatting sqref="AA29">
    <cfRule type="containsText" dxfId="5140" priority="1929" operator="containsText" text="Done">
      <formula>NOT(ISERROR(SEARCH("Done",AA29)))</formula>
    </cfRule>
    <cfRule type="containsText" dxfId="5139" priority="1930" operator="containsText" text="NA">
      <formula>NOT(ISERROR(SEARCH("NA",#REF!)))</formula>
    </cfRule>
    <cfRule type="containsText" dxfId="5138" priority="1998" operator="containsText" text="Pending">
      <formula>NOT(ISERROR(SEARCH("Pending",#REF!)))</formula>
    </cfRule>
    <cfRule type="containsText" dxfId="5137" priority="1931" operator="containsText" text="Done">
      <formula>NOT(ISERROR(SEARCH("Done",#REF!)))</formula>
    </cfRule>
    <cfRule type="containsText" dxfId="5136" priority="1932" operator="containsText" text="Pending">
      <formula>NOT(ISERROR(SEARCH("Pending",#REF!)))</formula>
    </cfRule>
    <cfRule type="containsText" dxfId="5135" priority="1933" operator="containsText" text="NA">
      <formula>NOT(ISERROR(SEARCH("NA",#REF!)))</formula>
    </cfRule>
    <cfRule type="containsText" dxfId="5134" priority="1934" operator="containsText" text="NA">
      <formula>NOT(ISERROR(SEARCH("NA",AA29)))</formula>
    </cfRule>
    <cfRule type="containsText" dxfId="5133" priority="1935" operator="containsText" text="Pending">
      <formula>NOT(ISERROR(SEARCH("Pending",AA29)))</formula>
    </cfRule>
    <cfRule type="containsText" dxfId="5132" priority="1936" operator="containsText" text="Done">
      <formula>NOT(ISERROR(SEARCH("Done",AA29)))</formula>
    </cfRule>
    <cfRule type="containsText" dxfId="5131" priority="1937" operator="containsText" text="NA">
      <formula>NOT(ISERROR(SEARCH("NA",#REF!)))</formula>
    </cfRule>
    <cfRule type="containsText" dxfId="5130" priority="1938" operator="containsText" text="Pending">
      <formula>NOT(ISERROR(SEARCH("Pending",#REF!)))</formula>
    </cfRule>
    <cfRule type="containsText" dxfId="5129" priority="1939" operator="containsText" text="NA">
      <formula>NOT(ISERROR(SEARCH("NA",#REF!)))</formula>
    </cfRule>
    <cfRule type="containsText" dxfId="5128" priority="1940" operator="containsText" text="NA">
      <formula>NOT(ISERROR(SEARCH("NA",#REF!)))</formula>
    </cfRule>
    <cfRule type="containsText" dxfId="5127" priority="1882" operator="containsText" text="NA">
      <formula>NOT(ISERROR(SEARCH("NA",#REF!)))</formula>
    </cfRule>
    <cfRule type="containsText" dxfId="5126" priority="1883" operator="containsText" text="NA">
      <formula>NOT(ISERROR(SEARCH("NA",#REF!)))</formula>
    </cfRule>
    <cfRule type="containsText" dxfId="5125" priority="1884" operator="containsText" text="Done">
      <formula>NOT(ISERROR(SEARCH("Done",#REF!)))</formula>
    </cfRule>
    <cfRule type="containsText" dxfId="5124" priority="123457" operator="containsText" text="Done">
      <formula>NOT(ISERROR(SEARCH("Done",AA29)))</formula>
    </cfRule>
    <cfRule type="containsText" dxfId="5123" priority="123458" operator="containsText" text="NA">
      <formula>NOT(ISERROR(SEARCH("NA",#REF!)))</formula>
    </cfRule>
    <cfRule type="containsText" dxfId="5122" priority="123459" operator="containsText" text="Done">
      <formula>NOT(ISERROR(SEARCH("Done",#REF!)))</formula>
    </cfRule>
    <cfRule type="containsText" dxfId="5121" priority="1885" operator="containsText" text="Pending">
      <formula>NOT(ISERROR(SEARCH("Pending",#REF!)))</formula>
    </cfRule>
    <cfRule type="containsText" dxfId="5120" priority="1886" operator="containsText" text="NA">
      <formula>NOT(ISERROR(SEARCH("NA",#REF!)))</formula>
    </cfRule>
    <cfRule type="containsText" dxfId="5119" priority="1887" operator="containsText" text="NA">
      <formula>NOT(ISERROR(SEARCH("NA",AA29)))</formula>
    </cfRule>
    <cfRule type="containsText" dxfId="5118" priority="1888" operator="containsText" text="Pending">
      <formula>NOT(ISERROR(SEARCH("Pending",AA29)))</formula>
    </cfRule>
    <cfRule type="containsText" dxfId="5117" priority="1889" operator="containsText" text="Done">
      <formula>NOT(ISERROR(SEARCH("Done",AA29)))</formula>
    </cfRule>
    <cfRule type="containsText" dxfId="5116" priority="1890" operator="containsText" text="NA">
      <formula>NOT(ISERROR(SEARCH("NA",#REF!)))</formula>
    </cfRule>
    <cfRule type="containsText" dxfId="5115" priority="1891" operator="containsText" text="Done">
      <formula>NOT(ISERROR(SEARCH("Done",#REF!)))</formula>
    </cfRule>
    <cfRule type="containsText" dxfId="5114" priority="123460" operator="containsText" text="Pending">
      <formula>NOT(ISERROR(SEARCH("Pending",#REF!)))</formula>
    </cfRule>
    <cfRule type="containsText" dxfId="5113" priority="1941" operator="containsText" text="Done">
      <formula>NOT(ISERROR(SEARCH("Done",#REF!)))</formula>
    </cfRule>
    <cfRule type="containsText" dxfId="5112" priority="1942" operator="containsText" text="Pending">
      <formula>NOT(ISERROR(SEARCH("Pending",#REF!)))</formula>
    </cfRule>
    <cfRule type="containsText" dxfId="5111" priority="1943" operator="containsText" text="NA">
      <formula>NOT(ISERROR(SEARCH("NA",#REF!)))</formula>
    </cfRule>
    <cfRule type="containsText" dxfId="5110" priority="1944" operator="containsText" text="Done">
      <formula>NOT(ISERROR(SEARCH("Done",#REF!)))</formula>
    </cfRule>
    <cfRule type="containsText" dxfId="5109" priority="1945" operator="containsText" text="NA">
      <formula>NOT(ISERROR(SEARCH("NA",#REF!)))</formula>
    </cfRule>
    <cfRule type="containsText" dxfId="5108" priority="1946" operator="containsText" text="Done">
      <formula>NOT(ISERROR(SEARCH("Done",#REF!)))</formula>
    </cfRule>
    <cfRule type="containsText" dxfId="5107" priority="1947" operator="containsText" text="Pending">
      <formula>NOT(ISERROR(SEARCH("Pending",#REF!)))</formula>
    </cfRule>
    <cfRule type="containsText" dxfId="5106" priority="1948" operator="containsText" text="NA">
      <formula>NOT(ISERROR(SEARCH("NA",#REF!)))</formula>
    </cfRule>
    <cfRule type="containsText" dxfId="5105" priority="1949" operator="containsText" text="NA">
      <formula>NOT(ISERROR(SEARCH("NA",#REF!)))</formula>
    </cfRule>
    <cfRule type="containsText" dxfId="5104" priority="1950" operator="containsText" text="Done">
      <formula>NOT(ISERROR(SEARCH("Done",#REF!)))</formula>
    </cfRule>
    <cfRule type="containsText" dxfId="5103" priority="1951" operator="containsText" text="Pending">
      <formula>NOT(ISERROR(SEARCH("Pending",#REF!)))</formula>
    </cfRule>
    <cfRule type="containsText" dxfId="5102" priority="1952" operator="containsText" text="NA">
      <formula>NOT(ISERROR(SEARCH("NA",#REF!)))</formula>
    </cfRule>
    <cfRule type="containsText" dxfId="5101" priority="1953" operator="containsText" text="NA">
      <formula>NOT(ISERROR(SEARCH("NA",#REF!)))</formula>
    </cfRule>
    <cfRule type="containsText" dxfId="5100" priority="1954" operator="containsText" text="Done">
      <formula>NOT(ISERROR(SEARCH("Done",#REF!)))</formula>
    </cfRule>
    <cfRule type="containsText" dxfId="5099" priority="1955" operator="containsText" text="Pending">
      <formula>NOT(ISERROR(SEARCH("Pending",#REF!)))</formula>
    </cfRule>
    <cfRule type="containsText" dxfId="5098" priority="1956" operator="containsText" text="NA">
      <formula>NOT(ISERROR(SEARCH("NA",#REF!)))</formula>
    </cfRule>
    <cfRule type="containsText" dxfId="5097" priority="1957" operator="containsText" text="NA">
      <formula>NOT(ISERROR(SEARCH("NA",AA29)))</formula>
    </cfRule>
    <cfRule type="containsText" dxfId="5096" priority="1958" operator="containsText" text="Pending">
      <formula>NOT(ISERROR(SEARCH("Pending",AA29)))</formula>
    </cfRule>
    <cfRule type="containsText" dxfId="5095" priority="1959" operator="containsText" text="Done">
      <formula>NOT(ISERROR(SEARCH("Done",AA29)))</formula>
    </cfRule>
    <cfRule type="containsText" dxfId="5094" priority="1960" operator="containsText" text="NA">
      <formula>NOT(ISERROR(SEARCH("NA",#REF!)))</formula>
    </cfRule>
    <cfRule type="containsText" dxfId="5093" priority="1961" operator="containsText" text="Done">
      <formula>NOT(ISERROR(SEARCH("Done",#REF!)))</formula>
    </cfRule>
    <cfRule type="containsText" dxfId="5092" priority="1962" operator="containsText" text="Pending">
      <formula>NOT(ISERROR(SEARCH("Pending",#REF!)))</formula>
    </cfRule>
    <cfRule type="containsText" dxfId="5091" priority="1963" operator="containsText" text="NA">
      <formula>NOT(ISERROR(SEARCH("NA",#REF!)))</formula>
    </cfRule>
    <cfRule type="containsText" dxfId="5090" priority="1964" operator="containsText" text="NA">
      <formula>NOT(ISERROR(SEARCH("NA",AA29)))</formula>
    </cfRule>
    <cfRule type="containsText" dxfId="5089" priority="1965" operator="containsText" text="Pending">
      <formula>NOT(ISERROR(SEARCH("Pending",AA29)))</formula>
    </cfRule>
    <cfRule type="containsText" dxfId="5088" priority="1967" operator="containsText" text="NA">
      <formula>NOT(ISERROR(SEARCH("NA",#REF!)))</formula>
    </cfRule>
    <cfRule type="containsText" dxfId="5087" priority="1968" operator="containsText" text="Done">
      <formula>NOT(ISERROR(SEARCH("Done",#REF!)))</formula>
    </cfRule>
    <cfRule type="containsText" dxfId="5086" priority="1969" operator="containsText" text="Pending">
      <formula>NOT(ISERROR(SEARCH("Pending",#REF!)))</formula>
    </cfRule>
    <cfRule type="containsText" dxfId="5085" priority="1970" operator="containsText" text="NA">
      <formula>NOT(ISERROR(SEARCH("NA",#REF!)))</formula>
    </cfRule>
    <cfRule type="containsText" dxfId="5084" priority="1971" operator="containsText" text="NA">
      <formula>NOT(ISERROR(SEARCH("NA",#REF!)))</formula>
    </cfRule>
    <cfRule type="containsText" dxfId="5083" priority="1972" operator="containsText" text="Done">
      <formula>NOT(ISERROR(SEARCH("Done",#REF!)))</formula>
    </cfRule>
    <cfRule type="containsText" dxfId="5082" priority="1973" operator="containsText" text="Pending">
      <formula>NOT(ISERROR(SEARCH("Pending",#REF!)))</formula>
    </cfRule>
    <cfRule type="containsText" dxfId="5081" priority="1974" operator="containsText" text="NA">
      <formula>NOT(ISERROR(SEARCH("NA",#REF!)))</formula>
    </cfRule>
    <cfRule type="containsText" dxfId="5080" priority="1892" operator="containsText" text="Pending">
      <formula>NOT(ISERROR(SEARCH("Pending",#REF!)))</formula>
    </cfRule>
    <cfRule type="containsText" dxfId="5079" priority="1893" operator="containsText" text="NA">
      <formula>NOT(ISERROR(SEARCH("NA",#REF!)))</formula>
    </cfRule>
    <cfRule type="containsText" dxfId="5078" priority="1894" operator="containsText" text="NA">
      <formula>NOT(ISERROR(SEARCH("NA",#REF!)))</formula>
    </cfRule>
    <cfRule type="containsText" dxfId="5077" priority="1895" operator="containsText" text="Done">
      <formula>NOT(ISERROR(SEARCH("Done",#REF!)))</formula>
    </cfRule>
    <cfRule type="containsText" dxfId="5076" priority="1896" operator="containsText" text="Pending">
      <formula>NOT(ISERROR(SEARCH("Pending",#REF!)))</formula>
    </cfRule>
    <cfRule type="containsText" dxfId="5075" priority="1897" operator="containsText" text="NA">
      <formula>NOT(ISERROR(SEARCH("NA",#REF!)))</formula>
    </cfRule>
    <cfRule type="containsText" dxfId="5074" priority="1898" operator="containsText" text="NA">
      <formula>NOT(ISERROR(SEARCH("NA",#REF!)))</formula>
    </cfRule>
    <cfRule type="containsText" dxfId="5073" priority="1899" operator="containsText" text="Done">
      <formula>NOT(ISERROR(SEARCH("Done",#REF!)))</formula>
    </cfRule>
    <cfRule type="containsText" dxfId="5072" priority="1900" operator="containsText" text="Pending">
      <formula>NOT(ISERROR(SEARCH("Pending",#REF!)))</formula>
    </cfRule>
    <cfRule type="containsText" dxfId="5071" priority="1901" operator="containsText" text="NA">
      <formula>NOT(ISERROR(SEARCH("NA",#REF!)))</formula>
    </cfRule>
    <cfRule type="containsText" dxfId="5070" priority="1975" operator="containsText" text="NA">
      <formula>NOT(ISERROR(SEARCH("NA",#REF!)))</formula>
    </cfRule>
    <cfRule type="containsText" dxfId="5069" priority="1976" operator="containsText" text="Done">
      <formula>NOT(ISERROR(SEARCH("Done",#REF!)))</formula>
    </cfRule>
    <cfRule type="containsText" dxfId="5068" priority="123461" operator="containsText" text="NA">
      <formula>NOT(ISERROR(SEARCH("NA",#REF!)))</formula>
    </cfRule>
    <cfRule type="containsText" dxfId="5067" priority="1977" operator="containsText" text="Pending">
      <formula>NOT(ISERROR(SEARCH("Pending",#REF!)))</formula>
    </cfRule>
    <cfRule type="containsText" dxfId="5066" priority="1978" operator="containsText" text="NA">
      <formula>NOT(ISERROR(SEARCH("NA",#REF!)))</formula>
    </cfRule>
    <cfRule type="containsText" dxfId="5065" priority="1979" operator="containsText" text="NA">
      <formula>NOT(ISERROR(SEARCH("NA",#REF!)))</formula>
    </cfRule>
    <cfRule type="containsText" dxfId="5064" priority="1980" operator="containsText" text="Done">
      <formula>NOT(ISERROR(SEARCH("Done",#REF!)))</formula>
    </cfRule>
    <cfRule type="containsText" dxfId="5063" priority="1981" operator="containsText" text="Pending">
      <formula>NOT(ISERROR(SEARCH("Pending",#REF!)))</formula>
    </cfRule>
    <cfRule type="containsText" dxfId="5062" priority="1982" operator="containsText" text="NA">
      <formula>NOT(ISERROR(SEARCH("NA",#REF!)))</formula>
    </cfRule>
    <cfRule type="containsText" dxfId="5061" priority="1983" operator="containsText" text="NA">
      <formula>NOT(ISERROR(SEARCH("NA",#REF!)))</formula>
    </cfRule>
    <cfRule type="containsText" dxfId="5060" priority="1984" operator="containsText" text="Done">
      <formula>NOT(ISERROR(SEARCH("Done",#REF!)))</formula>
    </cfRule>
    <cfRule type="containsText" dxfId="5059" priority="1985" operator="containsText" text="Pending">
      <formula>NOT(ISERROR(SEARCH("Pending",#REF!)))</formula>
    </cfRule>
    <cfRule type="containsText" dxfId="5058" priority="1986" operator="containsText" text="NA">
      <formula>NOT(ISERROR(SEARCH("NA",#REF!)))</formula>
    </cfRule>
    <cfRule type="containsText" dxfId="5057" priority="1987" operator="containsText" text="Done">
      <formula>NOT(ISERROR(SEARCH("Done",#REF!)))</formula>
    </cfRule>
    <cfRule type="containsText" dxfId="5056" priority="1988" operator="containsText" text="Pending">
      <formula>NOT(ISERROR(SEARCH("Pending",#REF!)))</formula>
    </cfRule>
    <cfRule type="containsText" dxfId="5055" priority="1989" operator="containsText" text="NA">
      <formula>NOT(ISERROR(SEARCH("NA",#REF!)))</formula>
    </cfRule>
    <cfRule type="containsText" dxfId="5054" priority="1990" operator="containsText" text="NA">
      <formula>NOT(ISERROR(SEARCH("NA",#REF!)))</formula>
    </cfRule>
    <cfRule type="containsText" dxfId="5053" priority="1991" operator="containsText" text="Done">
      <formula>NOT(ISERROR(SEARCH("Done",#REF!)))</formula>
    </cfRule>
    <cfRule type="containsText" dxfId="5052" priority="1992" operator="containsText" text="Pending">
      <formula>NOT(ISERROR(SEARCH("Pending",#REF!)))</formula>
    </cfRule>
    <cfRule type="containsText" dxfId="5051" priority="1993" operator="containsText" text="NA">
      <formula>NOT(ISERROR(SEARCH("NA",#REF!)))</formula>
    </cfRule>
    <cfRule type="containsText" dxfId="5050" priority="1994" operator="containsText" text="NA">
      <formula>NOT(ISERROR(SEARCH("NA",AA29)))</formula>
    </cfRule>
    <cfRule type="containsText" dxfId="5049" priority="1995" operator="containsText" text="Done">
      <formula>NOT(ISERROR(SEARCH("Done",AA29)))</formula>
    </cfRule>
    <cfRule type="containsText" dxfId="5048" priority="1996" operator="containsText" text="NA">
      <formula>NOT(ISERROR(SEARCH("NA",#REF!)))</formula>
    </cfRule>
    <cfRule type="containsText" dxfId="5047" priority="1997" operator="containsText" text="Done">
      <formula>NOT(ISERROR(SEARCH("Done",#REF!)))</formula>
    </cfRule>
    <cfRule type="containsText" dxfId="5046" priority="1913" operator="containsText" text="NA">
      <formula>NOT(ISERROR(SEARCH("NA",#REF!)))</formula>
    </cfRule>
    <cfRule type="containsText" dxfId="5045" priority="1999" operator="containsText" text="NA">
      <formula>NOT(ISERROR(SEARCH("NA",#REF!)))</formula>
    </cfRule>
    <cfRule type="containsText" dxfId="5044" priority="1966" operator="containsText" text="Done">
      <formula>NOT(ISERROR(SEARCH("Done",AA29)))</formula>
    </cfRule>
    <cfRule type="containsText" dxfId="5043" priority="109703" operator="containsText" text="Done">
      <formula>NOT(ISERROR(SEARCH("Done",#REF!)))</formula>
    </cfRule>
    <cfRule type="containsText" dxfId="5042" priority="109704" operator="containsText" text="Pending">
      <formula>NOT(ISERROR(SEARCH("Pending",#REF!)))</formula>
    </cfRule>
    <cfRule type="containsText" dxfId="5041" priority="109705" operator="containsText" text="NA">
      <formula>NOT(ISERROR(SEARCH("NA",#REF!)))</formula>
    </cfRule>
    <cfRule type="containsText" dxfId="5040" priority="2000" operator="containsText" text="NA">
      <formula>NOT(ISERROR(SEARCH("NA",AA29)))</formula>
    </cfRule>
    <cfRule type="containsText" dxfId="5039" priority="2001" operator="containsText" text="Pending">
      <formula>NOT(ISERROR(SEARCH("Pending",AA29)))</formula>
    </cfRule>
    <cfRule type="containsText" dxfId="5038" priority="1903" operator="containsText" text="Done">
      <formula>NOT(ISERROR(SEARCH("Done",#REF!)))</formula>
    </cfRule>
    <cfRule type="containsText" dxfId="5037" priority="1904" operator="containsText" text="Pending">
      <formula>NOT(ISERROR(SEARCH("Pending",#REF!)))</formula>
    </cfRule>
    <cfRule type="containsText" dxfId="5036" priority="2002" operator="containsText" text="Done">
      <formula>NOT(ISERROR(SEARCH("Done",AA29)))</formula>
    </cfRule>
    <cfRule type="containsText" dxfId="5035" priority="2003" operator="containsText" text="NA">
      <formula>NOT(ISERROR(SEARCH("NA",#REF!)))</formula>
    </cfRule>
    <cfRule type="containsText" dxfId="5034" priority="2004" operator="containsText" text="Done">
      <formula>NOT(ISERROR(SEARCH("Done",#REF!)))</formula>
    </cfRule>
    <cfRule type="containsText" dxfId="5033" priority="1905" operator="containsText" text="NA">
      <formula>NOT(ISERROR(SEARCH("NA",#REF!)))</formula>
    </cfRule>
    <cfRule type="containsText" dxfId="5032" priority="1906" operator="containsText" text="NA">
      <formula>NOT(ISERROR(SEARCH("NA",#REF!)))</formula>
    </cfRule>
    <cfRule type="containsText" dxfId="5031" priority="1907" operator="containsText" text="Done">
      <formula>NOT(ISERROR(SEARCH("Done",#REF!)))</formula>
    </cfRule>
    <cfRule type="containsText" dxfId="5030" priority="2005" operator="containsText" text="Pending">
      <formula>NOT(ISERROR(SEARCH("Pending",#REF!)))</formula>
    </cfRule>
    <cfRule type="containsText" dxfId="5029" priority="2006" operator="containsText" text="NA">
      <formula>NOT(ISERROR(SEARCH("NA",#REF!)))</formula>
    </cfRule>
    <cfRule type="containsText" dxfId="5028" priority="2007" operator="containsText" text="NA">
      <formula>NOT(ISERROR(SEARCH("NA",#REF!)))</formula>
    </cfRule>
    <cfRule type="containsText" dxfId="5027" priority="2008" operator="containsText" text="Done">
      <formula>NOT(ISERROR(SEARCH("Done",#REF!)))</formula>
    </cfRule>
    <cfRule type="containsText" dxfId="5026" priority="2009" operator="containsText" text="Pending">
      <formula>NOT(ISERROR(SEARCH("Pending",#REF!)))</formula>
    </cfRule>
    <cfRule type="containsText" dxfId="5025" priority="1908" operator="containsText" text="Pending">
      <formula>NOT(ISERROR(SEARCH("Pending",#REF!)))</formula>
    </cfRule>
    <cfRule type="containsText" dxfId="5024" priority="2010" operator="containsText" text="NA">
      <formula>NOT(ISERROR(SEARCH("NA",#REF!)))</formula>
    </cfRule>
    <cfRule type="containsText" dxfId="5023" priority="1909" operator="containsText" text="NA">
      <formula>NOT(ISERROR(SEARCH("NA",#REF!)))</formula>
    </cfRule>
    <cfRule type="containsText" dxfId="5022" priority="1910" operator="containsText" text="NA">
      <formula>NOT(ISERROR(SEARCH("NA",#REF!)))</formula>
    </cfRule>
    <cfRule type="containsText" dxfId="5021" priority="1911" operator="containsText" text="Done">
      <formula>NOT(ISERROR(SEARCH("Done",#REF!)))</formula>
    </cfRule>
    <cfRule type="containsText" dxfId="5020" priority="1912" operator="containsText" text="Pending">
      <formula>NOT(ISERROR(SEARCH("Pending",#REF!)))</formula>
    </cfRule>
    <cfRule type="containsText" dxfId="5019" priority="1914" operator="containsText" text="NA">
      <formula>NOT(ISERROR(SEARCH("NA",AA29)))</formula>
    </cfRule>
    <cfRule type="containsText" dxfId="5018" priority="1915" operator="containsText" text="Pending">
      <formula>NOT(ISERROR(SEARCH("Pending",AA29)))</formula>
    </cfRule>
    <cfRule type="containsText" dxfId="5017" priority="1916" operator="containsText" text="Done">
      <formula>NOT(ISERROR(SEARCH("Done",AA29)))</formula>
    </cfRule>
    <cfRule type="containsText" dxfId="5016" priority="1917" operator="containsText" text="NA">
      <formula>NOT(ISERROR(SEARCH("NA",#REF!)))</formula>
    </cfRule>
    <cfRule type="containsText" dxfId="5015" priority="1918" operator="containsText" text="Done">
      <formula>NOT(ISERROR(SEARCH("Done",#REF!)))</formula>
    </cfRule>
    <cfRule type="containsText" dxfId="5014" priority="1919" operator="containsText" text="Pending">
      <formula>NOT(ISERROR(SEARCH("Pending",#REF!)))</formula>
    </cfRule>
    <cfRule type="containsText" dxfId="5013" priority="1920" operator="containsText" text="NA">
      <formula>NOT(ISERROR(SEARCH("NA",#REF!)))</formula>
    </cfRule>
    <cfRule type="containsText" dxfId="5012" priority="1921" operator="containsText" text="NA">
      <formula>NOT(ISERROR(SEARCH("NA",AA29)))</formula>
    </cfRule>
    <cfRule type="containsText" dxfId="5011" priority="1922" operator="containsText" text="Pending">
      <formula>NOT(ISERROR(SEARCH("Pending",AA29)))</formula>
    </cfRule>
    <cfRule type="containsText" dxfId="5010" priority="1923" operator="containsText" text="Done">
      <formula>NOT(ISERROR(SEARCH("Done",AA29)))</formula>
    </cfRule>
    <cfRule type="containsText" dxfId="5009" priority="1924" operator="containsText" text="NA">
      <formula>NOT(ISERROR(SEARCH("NA",#REF!)))</formula>
    </cfRule>
    <cfRule type="containsText" dxfId="5008" priority="1925" operator="containsText" text="Done">
      <formula>NOT(ISERROR(SEARCH("Done",#REF!)))</formula>
    </cfRule>
    <cfRule type="containsText" dxfId="5007" priority="1926" operator="containsText" text="Pending">
      <formula>NOT(ISERROR(SEARCH("Pending",#REF!)))</formula>
    </cfRule>
    <cfRule type="containsText" dxfId="5006" priority="1927" operator="containsText" text="NA">
      <formula>NOT(ISERROR(SEARCH("NA",#REF!)))</formula>
    </cfRule>
    <cfRule type="containsText" dxfId="5005" priority="1902" operator="containsText" text="NA">
      <formula>NOT(ISERROR(SEARCH("NA",#REF!)))</formula>
    </cfRule>
    <cfRule type="containsText" dxfId="5004" priority="1879" operator="containsText" text="NA">
      <formula>NOT(ISERROR(SEARCH("NA",#REF!)))</formula>
    </cfRule>
    <cfRule type="containsText" dxfId="5003" priority="123455" operator="containsText" text="NA">
      <formula>NOT(ISERROR(SEARCH("NA",AA29)))</formula>
    </cfRule>
    <cfRule type="containsText" dxfId="5002" priority="123456" operator="containsText" text="Pending">
      <formula>NOT(ISERROR(SEARCH("Pending",AA29)))</formula>
    </cfRule>
    <cfRule type="containsText" dxfId="5001" priority="1880" operator="containsText" text="Done">
      <formula>NOT(ISERROR(SEARCH("Done",#REF!)))</formula>
    </cfRule>
    <cfRule type="containsText" dxfId="5000" priority="1881" operator="containsText" text="Pending">
      <formula>NOT(ISERROR(SEARCH("Pending",#REF!)))</formula>
    </cfRule>
    <cfRule type="containsText" dxfId="4999" priority="1928" operator="containsText" text="NA">
      <formula>NOT(ISERROR(SEARCH("NA",AA29)))</formula>
    </cfRule>
    <cfRule type="containsText" dxfId="4998" priority="109702" operator="containsText" text="NA">
      <formula>NOT(ISERROR(SEARCH("NA",#REF!)))</formula>
    </cfRule>
  </conditionalFormatting>
  <conditionalFormatting sqref="AA30">
    <cfRule type="containsText" dxfId="4997" priority="1729" operator="containsText" text="NA">
      <formula>NOT(ISERROR(SEARCH("NA",#REF!)))</formula>
    </cfRule>
    <cfRule type="containsText" dxfId="4996" priority="1730" operator="containsText" text="Done">
      <formula>NOT(ISERROR(SEARCH("Done",#REF!)))</formula>
    </cfRule>
    <cfRule type="containsText" dxfId="4995" priority="1731" operator="containsText" text="NA">
      <formula>NOT(ISERROR(SEARCH("NA",AA30)))</formula>
    </cfRule>
    <cfRule type="containsText" dxfId="4994" priority="1732" operator="containsText" text="Pending">
      <formula>NOT(ISERROR(SEARCH("Pending",AA30)))</formula>
    </cfRule>
    <cfRule type="containsText" dxfId="4993" priority="1733" operator="containsText" text="Done">
      <formula>NOT(ISERROR(SEARCH("Done",AA30)))</formula>
    </cfRule>
    <cfRule type="containsText" dxfId="4992" priority="1734" operator="containsText" text="NA">
      <formula>NOT(ISERROR(SEARCH("NA",#REF!)))</formula>
    </cfRule>
    <cfRule type="containsText" dxfId="4991" priority="76811" operator="containsText" text="NA">
      <formula>NOT(ISERROR(SEARCH("NA",AA30)))</formula>
    </cfRule>
    <cfRule type="containsText" dxfId="4990" priority="76812" operator="containsText" text="Pending">
      <formula>NOT(ISERROR(SEARCH("Pending",AA30)))</formula>
    </cfRule>
    <cfRule type="containsText" dxfId="4989" priority="76813" operator="containsText" text="Done">
      <formula>NOT(ISERROR(SEARCH("Done",AA30)))</formula>
    </cfRule>
    <cfRule type="containsText" dxfId="4988" priority="76814" operator="containsText" text="NA">
      <formula>NOT(ISERROR(SEARCH("NA",#REF!)))</formula>
    </cfRule>
    <cfRule type="containsText" dxfId="4987" priority="76815" operator="containsText" text="Done">
      <formula>NOT(ISERROR(SEARCH("Done",#REF!)))</formula>
    </cfRule>
    <cfRule type="containsText" dxfId="4986" priority="76816" operator="containsText" text="Pending">
      <formula>NOT(ISERROR(SEARCH("Pending",#REF!)))</formula>
    </cfRule>
    <cfRule type="containsText" dxfId="4985" priority="76817" operator="containsText" text="NA">
      <formula>NOT(ISERROR(SEARCH("NA",#REF!)))</formula>
    </cfRule>
    <cfRule type="containsText" dxfId="4984" priority="1735" operator="containsText" text="Done">
      <formula>NOT(ISERROR(SEARCH("Done",#REF!)))</formula>
    </cfRule>
    <cfRule type="containsText" dxfId="4983" priority="1736" operator="containsText" text="Pending">
      <formula>NOT(ISERROR(SEARCH("Pending",#REF!)))</formula>
    </cfRule>
    <cfRule type="containsText" dxfId="4982" priority="1737" operator="containsText" text="NA">
      <formula>NOT(ISERROR(SEARCH("NA",#REF!)))</formula>
    </cfRule>
    <cfRule type="containsText" dxfId="4981" priority="1738" operator="containsText" text="Pending">
      <formula>NOT(ISERROR(SEARCH("Pending",#REF!)))</formula>
    </cfRule>
    <cfRule type="containsText" dxfId="4980" priority="1739" operator="containsText" text="NA">
      <formula>NOT(ISERROR(SEARCH("NA",#REF!)))</formula>
    </cfRule>
    <cfRule type="containsText" dxfId="4979" priority="1740" operator="containsText" text="NA">
      <formula>NOT(ISERROR(SEARCH("NA",#REF!)))</formula>
    </cfRule>
    <cfRule type="containsText" dxfId="4978" priority="1741" operator="containsText" text="Done">
      <formula>NOT(ISERROR(SEARCH("Done",#REF!)))</formula>
    </cfRule>
    <cfRule type="containsText" dxfId="4977" priority="1742" operator="containsText" text="Pending">
      <formula>NOT(ISERROR(SEARCH("Pending",#REF!)))</formula>
    </cfRule>
    <cfRule type="containsText" dxfId="4976" priority="1743" operator="containsText" text="NA">
      <formula>NOT(ISERROR(SEARCH("NA",#REF!)))</formula>
    </cfRule>
    <cfRule type="containsText" dxfId="4975" priority="1744" operator="containsText" text="NA">
      <formula>NOT(ISERROR(SEARCH("NA",#REF!)))</formula>
    </cfRule>
    <cfRule type="containsText" dxfId="4974" priority="1745" operator="containsText" text="Done">
      <formula>NOT(ISERROR(SEARCH("Done",#REF!)))</formula>
    </cfRule>
    <cfRule type="containsText" dxfId="4973" priority="1746" operator="containsText" text="Pending">
      <formula>NOT(ISERROR(SEARCH("Pending",#REF!)))</formula>
    </cfRule>
    <cfRule type="containsText" dxfId="4972" priority="1747" operator="containsText" text="NA">
      <formula>NOT(ISERROR(SEARCH("NA",#REF!)))</formula>
    </cfRule>
    <cfRule type="containsText" dxfId="4971" priority="1748" operator="containsText" text="Done">
      <formula>NOT(ISERROR(SEARCH("Done",#REF!)))</formula>
    </cfRule>
    <cfRule type="containsText" dxfId="4970" priority="1749" operator="containsText" text="Pending">
      <formula>NOT(ISERROR(SEARCH("Pending",#REF!)))</formula>
    </cfRule>
    <cfRule type="containsText" dxfId="4969" priority="1750" operator="containsText" text="NA">
      <formula>NOT(ISERROR(SEARCH("NA",#REF!)))</formula>
    </cfRule>
    <cfRule type="containsText" dxfId="4968" priority="1751" operator="containsText" text="NA">
      <formula>NOT(ISERROR(SEARCH("NA",#REF!)))</formula>
    </cfRule>
    <cfRule type="containsText" dxfId="4967" priority="1752" operator="containsText" text="Done">
      <formula>NOT(ISERROR(SEARCH("Done",#REF!)))</formula>
    </cfRule>
    <cfRule type="containsText" dxfId="4966" priority="1753" operator="containsText" text="Pending">
      <formula>NOT(ISERROR(SEARCH("Pending",#REF!)))</formula>
    </cfRule>
    <cfRule type="containsText" dxfId="4965" priority="1754" operator="containsText" text="NA">
      <formula>NOT(ISERROR(SEARCH("NA",#REF!)))</formula>
    </cfRule>
    <cfRule type="containsText" dxfId="4964" priority="1755" operator="containsText" text="NA">
      <formula>NOT(ISERROR(SEARCH("NA",#REF!)))</formula>
    </cfRule>
    <cfRule type="containsText" dxfId="4963" priority="1756" operator="containsText" text="Done">
      <formula>NOT(ISERROR(SEARCH("Done",#REF!)))</formula>
    </cfRule>
    <cfRule type="containsText" dxfId="4962" priority="1757" operator="containsText" text="Pending">
      <formula>NOT(ISERROR(SEARCH("Pending",#REF!)))</formula>
    </cfRule>
    <cfRule type="containsText" dxfId="4961" priority="1758" operator="containsText" text="NA">
      <formula>NOT(ISERROR(SEARCH("NA",#REF!)))</formula>
    </cfRule>
    <cfRule type="containsText" dxfId="4960" priority="1759" operator="containsText" text="NA">
      <formula>NOT(ISERROR(SEARCH("NA",#REF!)))</formula>
    </cfRule>
    <cfRule type="containsText" dxfId="4959" priority="1760" operator="containsText" text="Done">
      <formula>NOT(ISERROR(SEARCH("Done",#REF!)))</formula>
    </cfRule>
    <cfRule type="containsText" dxfId="4958" priority="1761" operator="containsText" text="Pending">
      <formula>NOT(ISERROR(SEARCH("Pending",#REF!)))</formula>
    </cfRule>
    <cfRule type="containsText" dxfId="4957" priority="1762" operator="containsText" text="NA">
      <formula>NOT(ISERROR(SEARCH("NA",#REF!)))</formula>
    </cfRule>
    <cfRule type="containsText" dxfId="4956" priority="1763" operator="containsText" text="NA">
      <formula>NOT(ISERROR(SEARCH("NA",#REF!)))</formula>
    </cfRule>
    <cfRule type="containsText" dxfId="4955" priority="76818" operator="containsText" text="NA">
      <formula>NOT(ISERROR(SEARCH("NA",#REF!)))</formula>
    </cfRule>
    <cfRule type="containsText" dxfId="4954" priority="76819" operator="containsText" text="Done">
      <formula>NOT(ISERROR(SEARCH("Done",#REF!)))</formula>
    </cfRule>
    <cfRule type="containsText" dxfId="4953" priority="76820" operator="containsText" text="Pending">
      <formula>NOT(ISERROR(SEARCH("Pending",#REF!)))</formula>
    </cfRule>
    <cfRule type="containsText" dxfId="4952" priority="76821" operator="containsText" text="NA">
      <formula>NOT(ISERROR(SEARCH("NA",#REF!)))</formula>
    </cfRule>
    <cfRule type="containsText" dxfId="4951" priority="76822" operator="containsText" text="NA">
      <formula>NOT(ISERROR(SEARCH("NA",#REF!)))</formula>
    </cfRule>
    <cfRule type="containsText" dxfId="4950" priority="76823" operator="containsText" text="Done">
      <formula>NOT(ISERROR(SEARCH("Done",#REF!)))</formula>
    </cfRule>
    <cfRule type="containsText" dxfId="4949" priority="1764" operator="containsText" text="Done">
      <formula>NOT(ISERROR(SEARCH("Done",#REF!)))</formula>
    </cfRule>
    <cfRule type="containsText" dxfId="4948" priority="1765" operator="containsText" text="Pending">
      <formula>NOT(ISERROR(SEARCH("Pending",#REF!)))</formula>
    </cfRule>
    <cfRule type="containsText" dxfId="4947" priority="1766" operator="containsText" text="NA">
      <formula>NOT(ISERROR(SEARCH("NA",#REF!)))</formula>
    </cfRule>
    <cfRule type="containsText" dxfId="4946" priority="1767" operator="containsText" text="Done">
      <formula>NOT(ISERROR(SEARCH("Done",#REF!)))</formula>
    </cfRule>
    <cfRule type="containsText" dxfId="4945" priority="1768" operator="containsText" text="Pending">
      <formula>NOT(ISERROR(SEARCH("Pending",#REF!)))</formula>
    </cfRule>
    <cfRule type="containsText" dxfId="4944" priority="76824" operator="containsText" text="Pending">
      <formula>NOT(ISERROR(SEARCH("Pending",#REF!)))</formula>
    </cfRule>
    <cfRule type="containsText" dxfId="4943" priority="76825" operator="containsText" text="NA">
      <formula>NOT(ISERROR(SEARCH("NA",#REF!)))</formula>
    </cfRule>
    <cfRule type="containsText" dxfId="4942" priority="76826" operator="containsText" text="NA">
      <formula>NOT(ISERROR(SEARCH("NA",#REF!)))</formula>
    </cfRule>
    <cfRule type="containsText" dxfId="4941" priority="76827" operator="containsText" text="Done">
      <formula>NOT(ISERROR(SEARCH("Done",#REF!)))</formula>
    </cfRule>
    <cfRule type="containsText" dxfId="4940" priority="76828" operator="containsText" text="Pending">
      <formula>NOT(ISERROR(SEARCH("Pending",#REF!)))</formula>
    </cfRule>
    <cfRule type="containsText" dxfId="4939" priority="76829" operator="containsText" text="NA">
      <formula>NOT(ISERROR(SEARCH("NA",#REF!)))</formula>
    </cfRule>
    <cfRule type="containsText" dxfId="4938" priority="76830" operator="containsText" text="NA">
      <formula>NOT(ISERROR(SEARCH("NA",AA30)))</formula>
    </cfRule>
    <cfRule type="containsText" dxfId="4937" priority="76831" operator="containsText" text="Pending">
      <formula>NOT(ISERROR(SEARCH("Pending",AA30)))</formula>
    </cfRule>
    <cfRule type="containsText" dxfId="4936" priority="76832" operator="containsText" text="Done">
      <formula>NOT(ISERROR(SEARCH("Done",AA30)))</formula>
    </cfRule>
    <cfRule type="containsText" dxfId="4935" priority="76833" operator="containsText" text="NA">
      <formula>NOT(ISERROR(SEARCH("NA",#REF!)))</formula>
    </cfRule>
    <cfRule type="containsText" dxfId="4934" priority="76834" operator="containsText" text="Done">
      <formula>NOT(ISERROR(SEARCH("Done",#REF!)))</formula>
    </cfRule>
    <cfRule type="containsText" dxfId="4933" priority="76835" operator="containsText" text="Pending">
      <formula>NOT(ISERROR(SEARCH("Pending",#REF!)))</formula>
    </cfRule>
    <cfRule type="containsText" dxfId="4932" priority="76836" operator="containsText" text="NA">
      <formula>NOT(ISERROR(SEARCH("NA",#REF!)))</formula>
    </cfRule>
    <cfRule type="containsText" dxfId="4931" priority="1769" operator="containsText" text="NA">
      <formula>NOT(ISERROR(SEARCH("NA",#REF!)))</formula>
    </cfRule>
    <cfRule type="containsText" dxfId="4930" priority="1770" operator="containsText" text="NA">
      <formula>NOT(ISERROR(SEARCH("NA",#REF!)))</formula>
    </cfRule>
    <cfRule type="containsText" dxfId="4929" priority="1771" operator="containsText" text="Done">
      <formula>NOT(ISERROR(SEARCH("Done",#REF!)))</formula>
    </cfRule>
    <cfRule type="containsText" dxfId="4928" priority="1772" operator="containsText" text="Pending">
      <formula>NOT(ISERROR(SEARCH("Pending",#REF!)))</formula>
    </cfRule>
    <cfRule type="containsText" dxfId="4927" priority="1773" operator="containsText" text="NA">
      <formula>NOT(ISERROR(SEARCH("NA",#REF!)))</formula>
    </cfRule>
    <cfRule type="containsText" dxfId="4926" priority="1774" operator="containsText" text="NA">
      <formula>NOT(ISERROR(SEARCH("NA",#REF!)))</formula>
    </cfRule>
    <cfRule type="containsText" dxfId="4925" priority="1775" operator="containsText" text="Done">
      <formula>NOT(ISERROR(SEARCH("Done",#REF!)))</formula>
    </cfRule>
    <cfRule type="containsText" dxfId="4924" priority="1776" operator="containsText" text="Pending">
      <formula>NOT(ISERROR(SEARCH("Pending",#REF!)))</formula>
    </cfRule>
    <cfRule type="containsText" dxfId="4923" priority="1777" operator="containsText" text="NA">
      <formula>NOT(ISERROR(SEARCH("NA",#REF!)))</formula>
    </cfRule>
    <cfRule type="containsText" dxfId="4922" priority="1778" operator="containsText" text="NA">
      <formula>NOT(ISERROR(SEARCH("NA",#REF!)))</formula>
    </cfRule>
    <cfRule type="containsText" dxfId="4921" priority="1779" operator="containsText" text="Done">
      <formula>NOT(ISERROR(SEARCH("Done",#REF!)))</formula>
    </cfRule>
    <cfRule type="containsText" dxfId="4920" priority="1780" operator="containsText" text="Pending">
      <formula>NOT(ISERROR(SEARCH("Pending",#REF!)))</formula>
    </cfRule>
    <cfRule type="containsText" dxfId="4919" priority="1781" operator="containsText" text="NA">
      <formula>NOT(ISERROR(SEARCH("NA",#REF!)))</formula>
    </cfRule>
    <cfRule type="containsText" dxfId="4918" priority="76837" operator="containsText" text="NA">
      <formula>NOT(ISERROR(SEARCH("NA",AA30)))</formula>
    </cfRule>
    <cfRule type="containsText" dxfId="4917" priority="76838" operator="containsText" text="Pending">
      <formula>NOT(ISERROR(SEARCH("Pending",AA30)))</formula>
    </cfRule>
    <cfRule type="containsText" dxfId="4916" priority="76839" operator="containsText" text="Done">
      <formula>NOT(ISERROR(SEARCH("Done",AA30)))</formula>
    </cfRule>
    <cfRule type="containsText" dxfId="4915" priority="76840" operator="containsText" text="NA">
      <formula>NOT(ISERROR(SEARCH("NA",#REF!)))</formula>
    </cfRule>
    <cfRule type="containsText" dxfId="4914" priority="1782" operator="containsText" text="Done">
      <formula>NOT(ISERROR(SEARCH("Done",#REF!)))</formula>
    </cfRule>
    <cfRule type="containsText" dxfId="4913" priority="1783" operator="containsText" text="Pending">
      <formula>NOT(ISERROR(SEARCH("Pending",#REF!)))</formula>
    </cfRule>
    <cfRule type="containsText" dxfId="4912" priority="1784" operator="containsText" text="NA">
      <formula>NOT(ISERROR(SEARCH("NA",#REF!)))</formula>
    </cfRule>
    <cfRule type="containsText" dxfId="4911" priority="1785" operator="containsText" text="NA">
      <formula>NOT(ISERROR(SEARCH("NA",#REF!)))</formula>
    </cfRule>
    <cfRule type="containsText" dxfId="4910" priority="1786" operator="containsText" text="Done">
      <formula>NOT(ISERROR(SEARCH("Done",#REF!)))</formula>
    </cfRule>
    <cfRule type="containsText" dxfId="4909" priority="1787" operator="containsText" text="Pending">
      <formula>NOT(ISERROR(SEARCH("Pending",#REF!)))</formula>
    </cfRule>
    <cfRule type="containsText" dxfId="4908" priority="1788" operator="containsText" text="NA">
      <formula>NOT(ISERROR(SEARCH("NA",#REF!)))</formula>
    </cfRule>
    <cfRule type="containsText" dxfId="4907" priority="1853" operator="containsText" text="Pending">
      <formula>NOT(ISERROR(SEARCH("Pending",#REF!)))</formula>
    </cfRule>
    <cfRule type="containsText" dxfId="4906" priority="76841" operator="containsText" text="Done">
      <formula>NOT(ISERROR(SEARCH("Done",#REF!)))</formula>
    </cfRule>
    <cfRule type="containsText" dxfId="4905" priority="76842" operator="containsText" text="Pending">
      <formula>NOT(ISERROR(SEARCH("Pending",#REF!)))</formula>
    </cfRule>
    <cfRule type="containsText" dxfId="4904" priority="1789" operator="containsText" text="Done">
      <formula>NOT(ISERROR(SEARCH("Done",#REF!)))</formula>
    </cfRule>
    <cfRule type="containsText" dxfId="4903" priority="76843" operator="containsText" text="NA">
      <formula>NOT(ISERROR(SEARCH("NA",#REF!)))</formula>
    </cfRule>
    <cfRule type="containsText" dxfId="4902" priority="76844" operator="containsText" text="NA">
      <formula>NOT(ISERROR(SEARCH("NA",#REF!)))</formula>
    </cfRule>
    <cfRule type="containsText" dxfId="4901" priority="1790" operator="containsText" text="NA">
      <formula>NOT(ISERROR(SEARCH("NA",AA30)))</formula>
    </cfRule>
    <cfRule type="containsText" dxfId="4900" priority="1791" operator="containsText" text="Pending">
      <formula>NOT(ISERROR(SEARCH("Pending",AA30)))</formula>
    </cfRule>
    <cfRule type="containsText" dxfId="4899" priority="1792" operator="containsText" text="Done">
      <formula>NOT(ISERROR(SEARCH("Done",AA30)))</formula>
    </cfRule>
    <cfRule type="containsText" dxfId="4898" priority="1793" operator="containsText" text="NA">
      <formula>NOT(ISERROR(SEARCH("NA",#REF!)))</formula>
    </cfRule>
    <cfRule type="containsText" dxfId="4897" priority="1794" operator="containsText" text="Done">
      <formula>NOT(ISERROR(SEARCH("Done",#REF!)))</formula>
    </cfRule>
    <cfRule type="containsText" dxfId="4896" priority="1795" operator="containsText" text="Pending">
      <formula>NOT(ISERROR(SEARCH("Pending",#REF!)))</formula>
    </cfRule>
    <cfRule type="containsText" dxfId="4895" priority="1796" operator="containsText" text="NA">
      <formula>NOT(ISERROR(SEARCH("NA",#REF!)))</formula>
    </cfRule>
    <cfRule type="containsText" dxfId="4894" priority="1797" operator="containsText" text="Pending">
      <formula>NOT(ISERROR(SEARCH("Pending",#REF!)))</formula>
    </cfRule>
    <cfRule type="containsText" dxfId="4893" priority="1798" operator="containsText" text="NA">
      <formula>NOT(ISERROR(SEARCH("NA",#REF!)))</formula>
    </cfRule>
    <cfRule type="containsText" dxfId="4892" priority="1799" operator="containsText" text="NA">
      <formula>NOT(ISERROR(SEARCH("NA",#REF!)))</formula>
    </cfRule>
    <cfRule type="containsText" dxfId="4891" priority="1800" operator="containsText" text="Done">
      <formula>NOT(ISERROR(SEARCH("Done",#REF!)))</formula>
    </cfRule>
    <cfRule type="containsText" dxfId="4890" priority="1801" operator="containsText" text="Pending">
      <formula>NOT(ISERROR(SEARCH("Pending",#REF!)))</formula>
    </cfRule>
    <cfRule type="containsText" dxfId="4889" priority="1802" operator="containsText" text="NA">
      <formula>NOT(ISERROR(SEARCH("NA",#REF!)))</formula>
    </cfRule>
    <cfRule type="containsText" dxfId="4888" priority="1803" operator="containsText" text="NA">
      <formula>NOT(ISERROR(SEARCH("NA",X92)))</formula>
    </cfRule>
    <cfRule type="containsText" dxfId="4887" priority="1804" operator="containsText" text="Done">
      <formula>NOT(ISERROR(SEARCH("Done",X85)))</formula>
    </cfRule>
    <cfRule type="containsText" dxfId="4886" priority="1805" operator="containsText" text="Pending">
      <formula>NOT(ISERROR(SEARCH("Pending",X85)))</formula>
    </cfRule>
    <cfRule type="containsText" dxfId="4885" priority="1806" operator="containsText" text="NA">
      <formula>NOT(ISERROR(SEARCH("NA",X85)))</formula>
    </cfRule>
    <cfRule type="containsText" dxfId="4884" priority="1807" operator="containsText" text="NA">
      <formula>NOT(ISERROR(SEARCH("NA",#REF!)))</formula>
    </cfRule>
    <cfRule type="containsText" dxfId="4883" priority="1808" operator="containsText" text="Done">
      <formula>NOT(ISERROR(SEARCH("Done",#REF!)))</formula>
    </cfRule>
    <cfRule type="containsText" dxfId="4882" priority="1809" operator="containsText" text="Pending">
      <formula>NOT(ISERROR(SEARCH("Pending",#REF!)))</formula>
    </cfRule>
    <cfRule type="containsText" dxfId="4881" priority="1810" operator="containsText" text="NA">
      <formula>NOT(ISERROR(SEARCH("NA",#REF!)))</formula>
    </cfRule>
    <cfRule type="containsText" dxfId="4880" priority="1811" operator="containsText" text="Done">
      <formula>NOT(ISERROR(SEARCH("Done",#REF!)))</formula>
    </cfRule>
    <cfRule type="containsText" dxfId="4879" priority="1812" operator="containsText" text="Pending">
      <formula>NOT(ISERROR(SEARCH("Pending",#REF!)))</formula>
    </cfRule>
    <cfRule type="containsText" dxfId="4878" priority="1813" operator="containsText" text="NA">
      <formula>NOT(ISERROR(SEARCH("NA",#REF!)))</formula>
    </cfRule>
    <cfRule type="containsText" dxfId="4877" priority="1814" operator="containsText" text="NA">
      <formula>NOT(ISERROR(SEARCH("NA",#REF!)))</formula>
    </cfRule>
    <cfRule type="containsText" dxfId="4876" priority="1815" operator="containsText" text="Done">
      <formula>NOT(ISERROR(SEARCH("Done",#REF!)))</formula>
    </cfRule>
    <cfRule type="containsText" dxfId="4875" priority="1816" operator="containsText" text="Pending">
      <formula>NOT(ISERROR(SEARCH("Pending",#REF!)))</formula>
    </cfRule>
    <cfRule type="containsText" dxfId="4874" priority="1817" operator="containsText" text="NA">
      <formula>NOT(ISERROR(SEARCH("NA",#REF!)))</formula>
    </cfRule>
    <cfRule type="containsText" dxfId="4873" priority="1818" operator="containsText" text="NA">
      <formula>NOT(ISERROR(SEARCH("NA",AA30)))</formula>
    </cfRule>
    <cfRule type="containsText" dxfId="4872" priority="1819" operator="containsText" text="Pending">
      <formula>NOT(ISERROR(SEARCH("Pending",AA30)))</formula>
    </cfRule>
    <cfRule type="containsText" dxfId="4871" priority="1820" operator="containsText" text="Done">
      <formula>NOT(ISERROR(SEARCH("Done",AA30)))</formula>
    </cfRule>
    <cfRule type="containsText" dxfId="4870" priority="1821" operator="containsText" text="NA">
      <formula>NOT(ISERROR(SEARCH("NA",#REF!)))</formula>
    </cfRule>
    <cfRule type="containsText" dxfId="4869" priority="1822" operator="containsText" text="Done">
      <formula>NOT(ISERROR(SEARCH("Done",#REF!)))</formula>
    </cfRule>
    <cfRule type="containsText" dxfId="4868" priority="76845" operator="containsText" text="Done">
      <formula>NOT(ISERROR(SEARCH("Done",#REF!)))</formula>
    </cfRule>
    <cfRule type="containsText" dxfId="4867" priority="76846" operator="containsText" text="Pending">
      <formula>NOT(ISERROR(SEARCH("Pending",#REF!)))</formula>
    </cfRule>
    <cfRule type="containsText" dxfId="4866" priority="76847" operator="containsText" text="NA">
      <formula>NOT(ISERROR(SEARCH("NA",#REF!)))</formula>
    </cfRule>
    <cfRule type="containsText" dxfId="4865" priority="76848" operator="containsText" text="NA">
      <formula>NOT(ISERROR(SEARCH("NA",#REF!)))</formula>
    </cfRule>
    <cfRule type="containsText" dxfId="4864" priority="76849" operator="containsText" text="Done">
      <formula>NOT(ISERROR(SEARCH("Done",#REF!)))</formula>
    </cfRule>
    <cfRule type="containsText" dxfId="4863" priority="76850" operator="containsText" text="Pending">
      <formula>NOT(ISERROR(SEARCH("Pending",#REF!)))</formula>
    </cfRule>
    <cfRule type="containsText" dxfId="4862" priority="76851" operator="containsText" text="NA">
      <formula>NOT(ISERROR(SEARCH("NA",#REF!)))</formula>
    </cfRule>
    <cfRule type="containsText" dxfId="4861" priority="76852" operator="containsText" text="NA">
      <formula>NOT(ISERROR(SEARCH("NA",#REF!)))</formula>
    </cfRule>
    <cfRule type="containsText" dxfId="4860" priority="76853" operator="containsText" text="Done">
      <formula>NOT(ISERROR(SEARCH("Done",#REF!)))</formula>
    </cfRule>
    <cfRule type="containsText" dxfId="4859" priority="76854" operator="containsText" text="Pending">
      <formula>NOT(ISERROR(SEARCH("Pending",#REF!)))</formula>
    </cfRule>
    <cfRule type="containsText" dxfId="4858" priority="76855" operator="containsText" text="NA">
      <formula>NOT(ISERROR(SEARCH("NA",#REF!)))</formula>
    </cfRule>
    <cfRule type="containsText" dxfId="4857" priority="76856" operator="containsText" text="NA">
      <formula>NOT(ISERROR(SEARCH("NA",AA30)))</formula>
    </cfRule>
    <cfRule type="containsText" dxfId="4856" priority="76857" operator="containsText" text="Done">
      <formula>NOT(ISERROR(SEARCH("Done",AA30)))</formula>
    </cfRule>
    <cfRule type="containsText" dxfId="4855" priority="76858" operator="containsText" text="NA">
      <formula>NOT(ISERROR(SEARCH("NA",#REF!)))</formula>
    </cfRule>
    <cfRule type="containsText" dxfId="4854" priority="76859" operator="containsText" text="Done">
      <formula>NOT(ISERROR(SEARCH("Done",#REF!)))</formula>
    </cfRule>
    <cfRule type="containsText" dxfId="4853" priority="76860" operator="containsText" text="Pending">
      <formula>NOT(ISERROR(SEARCH("Pending",#REF!)))</formula>
    </cfRule>
    <cfRule type="containsText" dxfId="4852" priority="76861" operator="containsText" text="NA">
      <formula>NOT(ISERROR(SEARCH("NA",#REF!)))</formula>
    </cfRule>
    <cfRule type="containsText" dxfId="4851" priority="76862" operator="containsText" text="NA">
      <formula>NOT(ISERROR(SEARCH("NA",AA30)))</formula>
    </cfRule>
    <cfRule type="containsText" dxfId="4850" priority="76863" operator="containsText" text="Pending">
      <formula>NOT(ISERROR(SEARCH("Pending",AA30)))</formula>
    </cfRule>
    <cfRule type="containsText" dxfId="4849" priority="76864" operator="containsText" text="Done">
      <formula>NOT(ISERROR(SEARCH("Done",AA30)))</formula>
    </cfRule>
    <cfRule type="containsText" dxfId="4848" priority="76865" operator="containsText" text="NA">
      <formula>NOT(ISERROR(SEARCH("NA",#REF!)))</formula>
    </cfRule>
    <cfRule type="containsText" dxfId="4847" priority="76866" operator="containsText" text="Done">
      <formula>NOT(ISERROR(SEARCH("Done",#REF!)))</formula>
    </cfRule>
    <cfRule type="containsText" dxfId="4846" priority="76867" operator="containsText" text="Pending">
      <formula>NOT(ISERROR(SEARCH("Pending",#REF!)))</formula>
    </cfRule>
    <cfRule type="containsText" dxfId="4845" priority="76868" operator="containsText" text="NA">
      <formula>NOT(ISERROR(SEARCH("NA",#REF!)))</formula>
    </cfRule>
    <cfRule type="containsText" dxfId="4844" priority="76869" operator="containsText" text="NA">
      <formula>NOT(ISERROR(SEARCH("NA",#REF!)))</formula>
    </cfRule>
    <cfRule type="containsText" dxfId="4843" priority="76870" operator="containsText" text="Done">
      <formula>NOT(ISERROR(SEARCH("Done",#REF!)))</formula>
    </cfRule>
    <cfRule type="containsText" dxfId="4842" priority="76871" operator="containsText" text="Pending">
      <formula>NOT(ISERROR(SEARCH("Pending",#REF!)))</formula>
    </cfRule>
    <cfRule type="containsText" dxfId="4841" priority="76872" operator="containsText" text="NA">
      <formula>NOT(ISERROR(SEARCH("NA",#REF!)))</formula>
    </cfRule>
    <cfRule type="containsText" dxfId="4840" priority="1728" operator="containsText" text="Pending">
      <formula>NOT(ISERROR(SEARCH("Pending",#REF!)))</formula>
    </cfRule>
    <cfRule type="containsText" dxfId="4839" priority="1727" operator="containsText" text="Done">
      <formula>NOT(ISERROR(SEARCH("Done",#REF!)))</formula>
    </cfRule>
    <cfRule type="containsText" dxfId="4838" priority="1726" operator="containsText" text="NA">
      <formula>NOT(ISERROR(SEARCH("NA",#REF!)))</formula>
    </cfRule>
    <cfRule type="containsText" dxfId="4837" priority="1725" operator="containsText" text="NA">
      <formula>NOT(ISERROR(SEARCH("NA",#REF!)))</formula>
    </cfRule>
    <cfRule type="containsText" dxfId="4836" priority="1724" operator="containsText" text="Pending">
      <formula>NOT(ISERROR(SEARCH("Pending",#REF!)))</formula>
    </cfRule>
    <cfRule type="containsText" dxfId="4835" priority="1723" operator="containsText" text="Done">
      <formula>NOT(ISERROR(SEARCH("Done",#REF!)))</formula>
    </cfRule>
    <cfRule type="containsText" dxfId="4834" priority="1722" operator="containsText" text="NA">
      <formula>NOT(ISERROR(SEARCH("NA",#REF!)))</formula>
    </cfRule>
    <cfRule type="containsText" dxfId="4833" priority="1721" operator="containsText" text="Pending">
      <formula>NOT(ISERROR(SEARCH("Pending",#REF!)))</formula>
    </cfRule>
    <cfRule type="containsText" dxfId="4832" priority="1720" operator="containsText" text="Done">
      <formula>NOT(ISERROR(SEARCH("Done",#REF!)))</formula>
    </cfRule>
    <cfRule type="containsText" dxfId="4831" priority="1719" operator="containsText" text="NA">
      <formula>NOT(ISERROR(SEARCH("NA",#REF!)))</formula>
    </cfRule>
    <cfRule type="containsText" dxfId="4830" priority="1718" operator="containsText" text="NA">
      <formula>NOT(ISERROR(SEARCH("NA",#REF!)))</formula>
    </cfRule>
    <cfRule type="containsText" dxfId="4829" priority="1717" operator="containsText" text="Pending">
      <formula>NOT(ISERROR(SEARCH("Pending",#REF!)))</formula>
    </cfRule>
    <cfRule type="containsText" dxfId="4828" priority="1716" operator="containsText" text="Done">
      <formula>NOT(ISERROR(SEARCH("Done",#REF!)))</formula>
    </cfRule>
    <cfRule type="containsText" dxfId="4827" priority="1715" operator="containsText" text="NA">
      <formula>NOT(ISERROR(SEARCH("NA",#REF!)))</formula>
    </cfRule>
    <cfRule type="containsText" dxfId="4826" priority="1714" operator="containsText" text="Pending">
      <formula>NOT(ISERROR(SEARCH("Pending",#REF!)))</formula>
    </cfRule>
    <cfRule type="containsText" dxfId="4825" priority="1713" operator="containsText" text="Done">
      <formula>NOT(ISERROR(SEARCH("Done",#REF!)))</formula>
    </cfRule>
    <cfRule type="containsText" dxfId="4824" priority="1712" operator="containsText" text="NA">
      <formula>NOT(ISERROR(SEARCH("NA",#REF!)))</formula>
    </cfRule>
    <cfRule type="containsText" dxfId="4823" priority="1711" operator="containsText" text="NA">
      <formula>NOT(ISERROR(SEARCH("NA",#REF!)))</formula>
    </cfRule>
    <cfRule type="containsText" dxfId="4822" priority="1710" operator="containsText" text="Pending">
      <formula>NOT(ISERROR(SEARCH("Pending",#REF!)))</formula>
    </cfRule>
    <cfRule type="containsText" dxfId="4821" priority="1709" operator="containsText" text="Done">
      <formula>NOT(ISERROR(SEARCH("Done",#REF!)))</formula>
    </cfRule>
    <cfRule type="containsText" dxfId="4820" priority="1708" operator="containsText" text="NA">
      <formula>NOT(ISERROR(SEARCH("NA",#REF!)))</formula>
    </cfRule>
    <cfRule type="containsText" dxfId="4819" priority="1707" operator="containsText" text="NA">
      <formula>NOT(ISERROR(SEARCH("NA",#REF!)))</formula>
    </cfRule>
    <cfRule type="containsText" dxfId="4818" priority="1706" operator="containsText" text="Pending">
      <formula>NOT(ISERROR(SEARCH("Pending",#REF!)))</formula>
    </cfRule>
    <cfRule type="containsText" dxfId="4817" priority="1705" operator="containsText" text="Done">
      <formula>NOT(ISERROR(SEARCH("Done",#REF!)))</formula>
    </cfRule>
    <cfRule type="containsText" dxfId="4816" priority="1704" operator="containsText" text="NA">
      <formula>NOT(ISERROR(SEARCH("NA",#REF!)))</formula>
    </cfRule>
    <cfRule type="containsText" dxfId="4815" priority="1703" operator="containsText" text="NA">
      <formula>NOT(ISERROR(SEARCH("NA",#REF!)))</formula>
    </cfRule>
    <cfRule type="containsText" dxfId="4814" priority="1702" operator="containsText" text="Pending">
      <formula>NOT(ISERROR(SEARCH("Pending",#REF!)))</formula>
    </cfRule>
    <cfRule type="containsText" dxfId="4813" priority="1701" operator="containsText" text="Done">
      <formula>NOT(ISERROR(SEARCH("Done",#REF!)))</formula>
    </cfRule>
    <cfRule type="containsText" dxfId="4812" priority="1700" operator="containsText" text="NA">
      <formula>NOT(ISERROR(SEARCH("NA",#REF!)))</formula>
    </cfRule>
    <cfRule type="containsText" dxfId="4811" priority="1699" operator="containsText" text="Pending">
      <formula>NOT(ISERROR(SEARCH("Pending",#REF!)))</formula>
    </cfRule>
    <cfRule type="containsText" dxfId="4810" priority="1698" operator="containsText" text="Done">
      <formula>NOT(ISERROR(SEARCH("Done",#REF!)))</formula>
    </cfRule>
    <cfRule type="containsText" dxfId="4809" priority="1697" operator="containsText" text="NA">
      <formula>NOT(ISERROR(SEARCH("NA",#REF!)))</formula>
    </cfRule>
    <cfRule type="containsText" dxfId="4808" priority="1696" operator="containsText" text="Done">
      <formula>NOT(ISERROR(SEARCH("Done",AA30)))</formula>
    </cfRule>
    <cfRule type="containsText" dxfId="4807" priority="1695" operator="containsText" text="NA">
      <formula>NOT(ISERROR(SEARCH("NA",AA30)))</formula>
    </cfRule>
    <cfRule type="containsText" dxfId="4806" priority="1694" operator="containsText" text="NA">
      <formula>NOT(ISERROR(SEARCH("NA",#REF!)))</formula>
    </cfRule>
    <cfRule type="containsText" dxfId="4805" priority="1693" operator="containsText" text="NA">
      <formula>NOT(ISERROR(SEARCH("NA",#REF!)))</formula>
    </cfRule>
    <cfRule type="containsText" dxfId="4804" priority="1692" operator="containsText" text="Pending">
      <formula>NOT(ISERROR(SEARCH("Pending",#REF!)))</formula>
    </cfRule>
    <cfRule type="containsText" dxfId="4803" priority="1691" operator="containsText" text="Done">
      <formula>NOT(ISERROR(SEARCH("Done",#REF!)))</formula>
    </cfRule>
    <cfRule type="containsText" dxfId="4802" priority="1690" operator="containsText" text="NA">
      <formula>NOT(ISERROR(SEARCH("NA",#REF!)))</formula>
    </cfRule>
    <cfRule type="containsText" dxfId="4801" priority="1689" operator="containsText" text="Pending">
      <formula>NOT(ISERROR(SEARCH("Pending",#REF!)))</formula>
    </cfRule>
    <cfRule type="containsText" dxfId="4800" priority="1688" operator="containsText" text="Done">
      <formula>NOT(ISERROR(SEARCH("Done",#REF!)))</formula>
    </cfRule>
    <cfRule type="containsText" dxfId="4799" priority="1687" operator="containsText" text="NA">
      <formula>NOT(ISERROR(SEARCH("NA",#REF!)))</formula>
    </cfRule>
    <cfRule type="containsText" dxfId="4798" priority="1686" operator="containsText" text="NA">
      <formula>NOT(ISERROR(SEARCH("NA",#REF!)))</formula>
    </cfRule>
    <cfRule type="containsText" dxfId="4797" priority="1685" operator="containsText" text="Pending">
      <formula>NOT(ISERROR(SEARCH("Pending",#REF!)))</formula>
    </cfRule>
    <cfRule type="containsText" dxfId="4796" priority="1684" operator="containsText" text="Done">
      <formula>NOT(ISERROR(SEARCH("Done",#REF!)))</formula>
    </cfRule>
    <cfRule type="containsText" dxfId="4795" priority="1683" operator="containsText" text="NA">
      <formula>NOT(ISERROR(SEARCH("NA",#REF!)))</formula>
    </cfRule>
    <cfRule type="containsText" dxfId="4794" priority="1682" operator="containsText" text="NA">
      <formula>NOT(ISERROR(SEARCH("NA",#REF!)))</formula>
    </cfRule>
    <cfRule type="containsText" dxfId="4793" priority="1681" operator="containsText" text="Pending">
      <formula>NOT(ISERROR(SEARCH("Pending",#REF!)))</formula>
    </cfRule>
    <cfRule type="containsText" dxfId="4792" priority="1680" operator="containsText" text="Done">
      <formula>NOT(ISERROR(SEARCH("Done",#REF!)))</formula>
    </cfRule>
    <cfRule type="containsText" dxfId="4791" priority="1679" operator="containsText" text="NA">
      <formula>NOT(ISERROR(SEARCH("NA",#REF!)))</formula>
    </cfRule>
    <cfRule type="containsText" dxfId="4790" priority="1678" operator="containsText" text="Pending">
      <formula>NOT(ISERROR(SEARCH("Pending",#REF!)))</formula>
    </cfRule>
    <cfRule type="containsText" dxfId="4789" priority="1677" operator="containsText" text="Done">
      <formula>NOT(ISERROR(SEARCH("Done",#REF!)))</formula>
    </cfRule>
    <cfRule type="containsText" dxfId="4788" priority="1676" operator="containsText" text="NA">
      <formula>NOT(ISERROR(SEARCH("NA",#REF!)))</formula>
    </cfRule>
    <cfRule type="containsText" dxfId="4787" priority="1675" operator="containsText" text="NA">
      <formula>NOT(ISERROR(SEARCH("NA",#REF!)))</formula>
    </cfRule>
    <cfRule type="containsText" dxfId="4786" priority="1674" operator="containsText" text="Pending">
      <formula>NOT(ISERROR(SEARCH("Pending",#REF!)))</formula>
    </cfRule>
    <cfRule type="containsText" dxfId="4785" priority="1673" operator="containsText" text="Done">
      <formula>NOT(ISERROR(SEARCH("Done",#REF!)))</formula>
    </cfRule>
    <cfRule type="containsText" dxfId="4784" priority="1672" operator="containsText" text="NA">
      <formula>NOT(ISERROR(SEARCH("NA",#REF!)))</formula>
    </cfRule>
    <cfRule type="containsText" dxfId="4783" priority="1671" operator="containsText" text="NA">
      <formula>NOT(ISERROR(SEARCH("NA",#REF!)))</formula>
    </cfRule>
    <cfRule type="containsText" dxfId="4782" priority="1670" operator="containsText" text="Pending">
      <formula>NOT(ISERROR(SEARCH("Pending",#REF!)))</formula>
    </cfRule>
    <cfRule type="containsText" dxfId="4781" priority="1669" operator="containsText" text="Done">
      <formula>NOT(ISERROR(SEARCH("Done",#REF!)))</formula>
    </cfRule>
    <cfRule type="containsText" dxfId="4780" priority="1668" operator="containsText" text="NA">
      <formula>NOT(ISERROR(SEARCH("NA",#REF!)))</formula>
    </cfRule>
    <cfRule type="containsText" dxfId="4779" priority="1667" operator="containsText" text="Pending">
      <formula>NOT(ISERROR(SEARCH("Pending",#REF!)))</formula>
    </cfRule>
    <cfRule type="containsText" dxfId="4778" priority="1666" operator="containsText" text="Done">
      <formula>NOT(ISERROR(SEARCH("Done",#REF!)))</formula>
    </cfRule>
    <cfRule type="containsText" dxfId="4777" priority="1665" operator="containsText" text="NA">
      <formula>NOT(ISERROR(SEARCH("NA",#REF!)))</formula>
    </cfRule>
    <cfRule type="containsText" dxfId="4776" priority="1664" operator="containsText" text="NA">
      <formula>NOT(ISERROR(SEARCH("NA",#REF!)))</formula>
    </cfRule>
    <cfRule type="containsText" dxfId="4775" priority="1663" operator="containsText" text="Pending">
      <formula>NOT(ISERROR(SEARCH("Pending",#REF!)))</formula>
    </cfRule>
    <cfRule type="containsText" dxfId="4774" priority="1662" operator="containsText" text="Done">
      <formula>NOT(ISERROR(SEARCH("Done",#REF!)))</formula>
    </cfRule>
    <cfRule type="containsText" dxfId="4773" priority="1661" operator="containsText" text="NA">
      <formula>NOT(ISERROR(SEARCH("NA",#REF!)))</formula>
    </cfRule>
    <cfRule type="containsText" dxfId="4772" priority="1660" operator="containsText" text="NA">
      <formula>NOT(ISERROR(SEARCH("NA",#REF!)))</formula>
    </cfRule>
    <cfRule type="containsText" dxfId="4771" priority="1659" operator="containsText" text="Pending">
      <formula>NOT(ISERROR(SEARCH("Pending",#REF!)))</formula>
    </cfRule>
    <cfRule type="containsText" dxfId="4770" priority="1658" operator="containsText" text="Done">
      <formula>NOT(ISERROR(SEARCH("Done",#REF!)))</formula>
    </cfRule>
    <cfRule type="containsText" dxfId="4769" priority="1657" operator="containsText" text="NA">
      <formula>NOT(ISERROR(SEARCH("NA",#REF!)))</formula>
    </cfRule>
    <cfRule type="containsText" dxfId="4768" priority="1656" operator="containsText" text="NA">
      <formula>NOT(ISERROR(SEARCH("NA",#REF!)))</formula>
    </cfRule>
    <cfRule type="containsText" dxfId="4767" priority="1655" operator="containsText" text="Pending">
      <formula>NOT(ISERROR(SEARCH("Pending",#REF!)))</formula>
    </cfRule>
    <cfRule type="containsText" dxfId="4766" priority="1654" operator="containsText" text="Done">
      <formula>NOT(ISERROR(SEARCH("Done",#REF!)))</formula>
    </cfRule>
    <cfRule type="containsText" dxfId="4765" priority="1653" operator="containsText" text="NA">
      <formula>NOT(ISERROR(SEARCH("NA",#REF!)))</formula>
    </cfRule>
    <cfRule type="containsText" dxfId="4764" priority="1652" operator="containsText" text="NA">
      <formula>NOT(ISERROR(SEARCH("NA",#REF!)))</formula>
    </cfRule>
    <cfRule type="containsText" dxfId="4763" priority="1651" operator="containsText" text="Pending">
      <formula>NOT(ISERROR(SEARCH("Pending",#REF!)))</formula>
    </cfRule>
    <cfRule type="containsText" dxfId="4762" priority="1650" operator="containsText" text="Done">
      <formula>NOT(ISERROR(SEARCH("Done",#REF!)))</formula>
    </cfRule>
    <cfRule type="containsText" dxfId="4761" priority="1649" operator="containsText" text="NA">
      <formula>NOT(ISERROR(SEARCH("NA",#REF!)))</formula>
    </cfRule>
    <cfRule type="containsText" dxfId="4760" priority="1648" operator="containsText" text="NA">
      <formula>NOT(ISERROR(SEARCH("NA",#REF!)))</formula>
    </cfRule>
    <cfRule type="containsText" dxfId="4759" priority="1647" operator="containsText" text="Pending">
      <formula>NOT(ISERROR(SEARCH("Pending",#REF!)))</formula>
    </cfRule>
    <cfRule type="containsText" dxfId="4758" priority="1823" operator="containsText" text="Pending">
      <formula>NOT(ISERROR(SEARCH("Pending",#REF!)))</formula>
    </cfRule>
    <cfRule type="containsText" dxfId="4757" priority="1824" operator="containsText" text="NA">
      <formula>NOT(ISERROR(SEARCH("NA",#REF!)))</formula>
    </cfRule>
    <cfRule type="containsText" dxfId="4756" priority="1825" operator="containsText" text="NA">
      <formula>NOT(ISERROR(SEARCH("NA",X55)))</formula>
    </cfRule>
    <cfRule type="containsText" dxfId="4755" priority="1826" operator="containsText" text="Done">
      <formula>NOT(ISERROR(SEARCH("Done",X53)))</formula>
    </cfRule>
    <cfRule type="containsText" dxfId="4754" priority="1827" operator="containsText" text="Pending">
      <formula>NOT(ISERROR(SEARCH("Pending",X53)))</formula>
    </cfRule>
    <cfRule type="containsText" dxfId="4753" priority="1828" operator="containsText" text="NA">
      <formula>NOT(ISERROR(SEARCH("NA",X53)))</formula>
    </cfRule>
    <cfRule type="containsText" dxfId="4752" priority="1829" operator="containsText" text="NA">
      <formula>NOT(ISERROR(SEARCH("NA",AA30)))</formula>
    </cfRule>
    <cfRule type="containsText" dxfId="4751" priority="1830" operator="containsText" text="Done">
      <formula>NOT(ISERROR(SEARCH("Done",AA30)))</formula>
    </cfRule>
    <cfRule type="containsText" dxfId="4750" priority="1831" operator="containsText" text="NA">
      <formula>NOT(ISERROR(SEARCH("NA",#REF!)))</formula>
    </cfRule>
    <cfRule type="containsText" dxfId="4749" priority="1832" operator="containsText" text="Done">
      <formula>NOT(ISERROR(SEARCH("Done",#REF!)))</formula>
    </cfRule>
    <cfRule type="containsText" dxfId="4748" priority="1833" operator="containsText" text="Pending">
      <formula>NOT(ISERROR(SEARCH("Pending",#REF!)))</formula>
    </cfRule>
    <cfRule type="containsText" dxfId="4747" priority="1835" operator="containsText" text="NA">
      <formula>NOT(ISERROR(SEARCH("NA",AA30)))</formula>
    </cfRule>
    <cfRule type="containsText" dxfId="4746" priority="1836" operator="containsText" text="Pending">
      <formula>NOT(ISERROR(SEARCH("Pending",AA30)))</formula>
    </cfRule>
    <cfRule type="containsText" dxfId="4745" priority="1837" operator="containsText" text="Done">
      <formula>NOT(ISERROR(SEARCH("Done",AA30)))</formula>
    </cfRule>
    <cfRule type="containsText" dxfId="4744" priority="1838" operator="containsText" text="NA">
      <formula>NOT(ISERROR(SEARCH("NA",#REF!)))</formula>
    </cfRule>
    <cfRule type="containsText" dxfId="4743" priority="1839" operator="containsText" text="Done">
      <formula>NOT(ISERROR(SEARCH("Done",#REF!)))</formula>
    </cfRule>
    <cfRule type="containsText" dxfId="4742" priority="1840" operator="containsText" text="Pending">
      <formula>NOT(ISERROR(SEARCH("Pending",#REF!)))</formula>
    </cfRule>
    <cfRule type="containsText" dxfId="4741" priority="1841" operator="containsText" text="NA">
      <formula>NOT(ISERROR(SEARCH("NA",#REF!)))</formula>
    </cfRule>
    <cfRule type="containsText" dxfId="4740" priority="1842" operator="containsText" text="NA">
      <formula>NOT(ISERROR(SEARCH("NA",AA30)))</formula>
    </cfRule>
    <cfRule type="containsText" dxfId="4739" priority="1843" operator="containsText" text="Done">
      <formula>NOT(ISERROR(SEARCH("Done",AA30)))</formula>
    </cfRule>
    <cfRule type="containsText" dxfId="4738" priority="1844" operator="containsText" text="NA">
      <formula>NOT(ISERROR(SEARCH("NA",#REF!)))</formula>
    </cfRule>
    <cfRule type="containsText" dxfId="4737" priority="1845" operator="containsText" text="Done">
      <formula>NOT(ISERROR(SEARCH("Done",#REF!)))</formula>
    </cfRule>
    <cfRule type="containsText" dxfId="4736" priority="1846" operator="containsText" text="Pending">
      <formula>NOT(ISERROR(SEARCH("Pending",#REF!)))</formula>
    </cfRule>
    <cfRule type="containsText" dxfId="4735" priority="1847" operator="containsText" text="NA">
      <formula>NOT(ISERROR(SEARCH("NA",#REF!)))</formula>
    </cfRule>
    <cfRule type="containsText" dxfId="4734" priority="1848" operator="containsText" text="Done">
      <formula>NOT(ISERROR(SEARCH("Done",#REF!)))</formula>
    </cfRule>
    <cfRule type="containsText" dxfId="4733" priority="1849" operator="containsText" text="Pending">
      <formula>NOT(ISERROR(SEARCH("Pending",#REF!)))</formula>
    </cfRule>
    <cfRule type="containsText" dxfId="4732" priority="1850" operator="containsText" text="NA">
      <formula>NOT(ISERROR(SEARCH("NA",#REF!)))</formula>
    </cfRule>
    <cfRule type="containsText" dxfId="4731" priority="1851" operator="containsText" text="NA">
      <formula>NOT(ISERROR(SEARCH("NA",#REF!)))</formula>
    </cfRule>
    <cfRule type="containsText" dxfId="4730" priority="1852" operator="containsText" text="Done">
      <formula>NOT(ISERROR(SEARCH("Done",#REF!)))</formula>
    </cfRule>
    <cfRule type="containsText" dxfId="4729" priority="1646" operator="containsText" text="NA">
      <formula>NOT(ISERROR(SEARCH("NA",#REF!)))</formula>
    </cfRule>
    <cfRule type="containsText" dxfId="4728" priority="1854" operator="containsText" text="NA">
      <formula>NOT(ISERROR(SEARCH("NA",#REF!)))</formula>
    </cfRule>
    <cfRule type="containsText" dxfId="4727" priority="1855" operator="containsText" text="Done">
      <formula>NOT(ISERROR(SEARCH("Done",#REF!)))</formula>
    </cfRule>
    <cfRule type="containsText" dxfId="4726" priority="1856" operator="containsText" text="Pending">
      <formula>NOT(ISERROR(SEARCH("Pending",#REF!)))</formula>
    </cfRule>
    <cfRule type="containsText" dxfId="4725" priority="1645" operator="containsText" text="Pending">
      <formula>NOT(ISERROR(SEARCH("Pending",#REF!)))</formula>
    </cfRule>
    <cfRule type="containsText" dxfId="4724" priority="1644" operator="containsText" text="Done">
      <formula>NOT(ISERROR(SEARCH("Done",#REF!)))</formula>
    </cfRule>
    <cfRule type="containsText" dxfId="4723" priority="1643" operator="containsText" text="NA">
      <formula>NOT(ISERROR(SEARCH("NA",#REF!)))</formula>
    </cfRule>
    <cfRule type="containsText" dxfId="4722" priority="1642" operator="containsText" text="Done">
      <formula>NOT(ISERROR(SEARCH("Done",AA30)))</formula>
    </cfRule>
    <cfRule type="containsText" dxfId="4721" priority="1641" operator="containsText" text="Pending">
      <formula>NOT(ISERROR(SEARCH("Pending",AA30)))</formula>
    </cfRule>
    <cfRule type="containsText" dxfId="4720" priority="1640" operator="containsText" text="NA">
      <formula>NOT(ISERROR(SEARCH("NA",AA30)))</formula>
    </cfRule>
    <cfRule type="containsText" dxfId="4719" priority="1639" operator="containsText" text="Done">
      <formula>NOT(ISERROR(SEARCH("Done",#REF!)))</formula>
    </cfRule>
    <cfRule type="containsText" dxfId="4718" priority="1638" operator="containsText" text="NA">
      <formula>NOT(ISERROR(SEARCH("NA",#REF!)))</formula>
    </cfRule>
    <cfRule type="containsText" dxfId="4717" priority="1637" operator="containsText" text="Pending">
      <formula>NOT(ISERROR(SEARCH("Pending",#REF!)))</formula>
    </cfRule>
    <cfRule type="containsText" dxfId="4716" priority="1636" operator="containsText" text="Done">
      <formula>NOT(ISERROR(SEARCH("Done",#REF!)))</formula>
    </cfRule>
    <cfRule type="containsText" dxfId="4715" priority="1635" operator="containsText" text="NA">
      <formula>NOT(ISERROR(SEARCH("NA",#REF!)))</formula>
    </cfRule>
    <cfRule type="containsText" dxfId="4714" priority="1634" operator="containsText" text="NA">
      <formula>NOT(ISERROR(SEARCH("NA",#REF!)))</formula>
    </cfRule>
    <cfRule type="containsText" dxfId="4713" priority="1633" operator="containsText" text="Pending">
      <formula>NOT(ISERROR(SEARCH("Pending",#REF!)))</formula>
    </cfRule>
    <cfRule type="containsText" dxfId="4712" priority="1632" operator="containsText" text="Done">
      <formula>NOT(ISERROR(SEARCH("Done",#REF!)))</formula>
    </cfRule>
    <cfRule type="containsText" dxfId="4711" priority="1631" operator="containsText" text="NA">
      <formula>NOT(ISERROR(SEARCH("NA",#REF!)))</formula>
    </cfRule>
    <cfRule type="containsText" dxfId="4710" priority="1630" operator="containsText" text="Pending">
      <formula>NOT(ISERROR(SEARCH("Pending",#REF!)))</formula>
    </cfRule>
    <cfRule type="containsText" dxfId="4709" priority="1629" operator="containsText" text="Done">
      <formula>NOT(ISERROR(SEARCH("Done",#REF!)))</formula>
    </cfRule>
    <cfRule type="containsText" dxfId="4708" priority="1857" operator="containsText" text="NA">
      <formula>NOT(ISERROR(SEARCH("NA",#REF!)))</formula>
    </cfRule>
    <cfRule type="containsText" dxfId="4707" priority="1858" operator="containsText" text="NA">
      <formula>NOT(ISERROR(SEARCH("NA",#REF!)))</formula>
    </cfRule>
    <cfRule type="containsText" dxfId="4706" priority="1859" operator="containsText" text="Done">
      <formula>NOT(ISERROR(SEARCH("Done",#REF!)))</formula>
    </cfRule>
    <cfRule type="containsText" dxfId="4705" priority="1860" operator="containsText" text="Pending">
      <formula>NOT(ISERROR(SEARCH("Pending",#REF!)))</formula>
    </cfRule>
    <cfRule type="containsText" dxfId="4704" priority="1628" operator="containsText" text="NA">
      <formula>NOT(ISERROR(SEARCH("NA",#REF!)))</formula>
    </cfRule>
    <cfRule type="containsText" dxfId="4703" priority="1627" operator="containsText" text="NA">
      <formula>NOT(ISERROR(SEARCH("NA",#REF!)))</formula>
    </cfRule>
    <cfRule type="containsText" dxfId="4702" priority="1626" operator="containsText" text="Pending">
      <formula>NOT(ISERROR(SEARCH("Pending",#REF!)))</formula>
    </cfRule>
    <cfRule type="containsText" dxfId="4701" priority="1861" operator="containsText" text="NA">
      <formula>NOT(ISERROR(SEARCH("NA",#REF!)))</formula>
    </cfRule>
    <cfRule type="containsText" dxfId="4700" priority="1862" operator="containsText" text="NA">
      <formula>NOT(ISERROR(SEARCH("NA",AA30)))</formula>
    </cfRule>
    <cfRule type="containsText" dxfId="4699" priority="1863" operator="containsText" text="Done">
      <formula>NOT(ISERROR(SEARCH("Done",AA30)))</formula>
    </cfRule>
    <cfRule type="containsText" dxfId="4698" priority="1864" operator="containsText" text="NA">
      <formula>NOT(ISERROR(SEARCH("NA",#REF!)))</formula>
    </cfRule>
    <cfRule type="containsText" dxfId="4697" priority="1865" operator="containsText" text="Done">
      <formula>NOT(ISERROR(SEARCH("Done",#REF!)))</formula>
    </cfRule>
    <cfRule type="containsText" dxfId="4696" priority="1866" operator="containsText" text="Pending">
      <formula>NOT(ISERROR(SEARCH("Pending",#REF!)))</formula>
    </cfRule>
    <cfRule type="containsText" dxfId="4695" priority="1867" operator="containsText" text="NA">
      <formula>NOT(ISERROR(SEARCH("NA",#REF!)))</formula>
    </cfRule>
    <cfRule type="containsText" dxfId="4694" priority="1868" operator="containsText" text="NA">
      <formula>NOT(ISERROR(SEARCH("NA",AA30)))</formula>
    </cfRule>
    <cfRule type="containsText" dxfId="4693" priority="1869" operator="containsText" text="Pending">
      <formula>NOT(ISERROR(SEARCH("Pending",AA30)))</formula>
    </cfRule>
    <cfRule type="containsText" dxfId="4692" priority="1870" operator="containsText" text="Done">
      <formula>NOT(ISERROR(SEARCH("Done",AA30)))</formula>
    </cfRule>
    <cfRule type="containsText" dxfId="4691" priority="1871" operator="containsText" text="NA">
      <formula>NOT(ISERROR(SEARCH("NA",#REF!)))</formula>
    </cfRule>
    <cfRule type="containsText" dxfId="4690" priority="1872" operator="containsText" text="Done">
      <formula>NOT(ISERROR(SEARCH("Done",#REF!)))</formula>
    </cfRule>
    <cfRule type="containsText" dxfId="4689" priority="1873" operator="containsText" text="Pending">
      <formula>NOT(ISERROR(SEARCH("Pending",#REF!)))</formula>
    </cfRule>
    <cfRule type="containsText" dxfId="4688" priority="1874" operator="containsText" text="NA">
      <formula>NOT(ISERROR(SEARCH("NA",#REF!)))</formula>
    </cfRule>
    <cfRule type="containsText" dxfId="4687" priority="1875" operator="containsText" text="NA">
      <formula>NOT(ISERROR(SEARCH("NA",#REF!)))</formula>
    </cfRule>
    <cfRule type="containsText" dxfId="4686" priority="1877" operator="containsText" text="Pending">
      <formula>NOT(ISERROR(SEARCH("Pending",#REF!)))</formula>
    </cfRule>
    <cfRule type="containsText" dxfId="4685" priority="1878" operator="containsText" text="NA">
      <formula>NOT(ISERROR(SEARCH("NA",#REF!)))</formula>
    </cfRule>
    <cfRule type="containsText" dxfId="4684" priority="1625" operator="containsText" text="Done">
      <formula>NOT(ISERROR(SEARCH("Done",#REF!)))</formula>
    </cfRule>
    <cfRule type="containsText" dxfId="4683" priority="1624" operator="containsText" text="NA">
      <formula>NOT(ISERROR(SEARCH("NA",#REF!)))</formula>
    </cfRule>
    <cfRule type="containsText" dxfId="4682" priority="1623" operator="containsText" text="NA">
      <formula>NOT(ISERROR(SEARCH("NA",#REF!)))</formula>
    </cfRule>
    <cfRule type="containsText" dxfId="4681" priority="1622" operator="containsText" text="Pending">
      <formula>NOT(ISERROR(SEARCH("Pending",#REF!)))</formula>
    </cfRule>
    <cfRule type="containsText" dxfId="4680" priority="1621" operator="containsText" text="Done">
      <formula>NOT(ISERROR(SEARCH("Done",#REF!)))</formula>
    </cfRule>
    <cfRule type="containsText" dxfId="4679" priority="1620" operator="containsText" text="NA">
      <formula>NOT(ISERROR(SEARCH("NA",#REF!)))</formula>
    </cfRule>
    <cfRule type="containsText" dxfId="4678" priority="1619" operator="containsText" text="NA">
      <formula>NOT(ISERROR(SEARCH("NA",#REF!)))</formula>
    </cfRule>
    <cfRule type="containsText" dxfId="4677" priority="1618" operator="containsText" text="Pending">
      <formula>NOT(ISERROR(SEARCH("Pending",#REF!)))</formula>
    </cfRule>
    <cfRule type="containsText" dxfId="4676" priority="1617" operator="containsText" text="Done">
      <formula>NOT(ISERROR(SEARCH("Done",#REF!)))</formula>
    </cfRule>
    <cfRule type="containsText" dxfId="4675" priority="1616" operator="containsText" text="NA">
      <formula>NOT(ISERROR(SEARCH("NA",#REF!)))</formula>
    </cfRule>
    <cfRule type="containsText" dxfId="4674" priority="1615" operator="containsText" text="Pending">
      <formula>NOT(ISERROR(SEARCH("Pending",#REF!)))</formula>
    </cfRule>
    <cfRule type="containsText" dxfId="4673" priority="1614" operator="containsText" text="Done">
      <formula>NOT(ISERROR(SEARCH("Done",#REF!)))</formula>
    </cfRule>
    <cfRule type="containsText" dxfId="4672" priority="1613" operator="containsText" text="NA">
      <formula>NOT(ISERROR(SEARCH("NA",#REF!)))</formula>
    </cfRule>
    <cfRule type="containsText" dxfId="4671" priority="1612" operator="containsText" text="NA">
      <formula>NOT(ISERROR(SEARCH("NA",#REF!)))</formula>
    </cfRule>
    <cfRule type="containsText" dxfId="4670" priority="1611" operator="containsText" text="Pending">
      <formula>NOT(ISERROR(SEARCH("Pending",#REF!)))</formula>
    </cfRule>
    <cfRule type="containsText" dxfId="4669" priority="1610" operator="containsText" text="Done">
      <formula>NOT(ISERROR(SEARCH("Done",#REF!)))</formula>
    </cfRule>
    <cfRule type="containsText" dxfId="4668" priority="1609" operator="containsText" text="NA">
      <formula>NOT(ISERROR(SEARCH("NA",#REF!)))</formula>
    </cfRule>
    <cfRule type="containsText" dxfId="4667" priority="1608" operator="containsText" text="NA">
      <formula>NOT(ISERROR(SEARCH("NA",#REF!)))</formula>
    </cfRule>
    <cfRule type="containsText" dxfId="4666" priority="1607" operator="containsText" text="Pending">
      <formula>NOT(ISERROR(SEARCH("Pending",#REF!)))</formula>
    </cfRule>
    <cfRule type="containsText" dxfId="4665" priority="1606" operator="containsText" text="Done">
      <formula>NOT(ISERROR(SEARCH("Done",#REF!)))</formula>
    </cfRule>
    <cfRule type="containsText" dxfId="4664" priority="1605" operator="containsText" text="NA">
      <formula>NOT(ISERROR(SEARCH("NA",#REF!)))</formula>
    </cfRule>
    <cfRule type="containsText" dxfId="4663" priority="1604" operator="containsText" text="NA">
      <formula>NOT(ISERROR(SEARCH("NA",#REF!)))</formula>
    </cfRule>
    <cfRule type="containsText" dxfId="4662" priority="1603" operator="containsText" text="Pending">
      <formula>NOT(ISERROR(SEARCH("Pending",#REF!)))</formula>
    </cfRule>
    <cfRule type="containsText" dxfId="4661" priority="1602" operator="containsText" text="Done">
      <formula>NOT(ISERROR(SEARCH("Done",#REF!)))</formula>
    </cfRule>
    <cfRule type="containsText" dxfId="4660" priority="1601" operator="containsText" text="NA">
      <formula>NOT(ISERROR(SEARCH("NA",#REF!)))</formula>
    </cfRule>
    <cfRule type="containsText" dxfId="4659" priority="1600" operator="containsText" text="Pending">
      <formula>NOT(ISERROR(SEARCH("Pending",#REF!)))</formula>
    </cfRule>
    <cfRule type="containsText" dxfId="4658" priority="1599" operator="containsText" text="Done">
      <formula>NOT(ISERROR(SEARCH("Done",#REF!)))</formula>
    </cfRule>
    <cfRule type="containsText" dxfId="4657" priority="1598" operator="containsText" text="NA">
      <formula>NOT(ISERROR(SEARCH("NA",#REF!)))</formula>
    </cfRule>
    <cfRule type="containsText" dxfId="4656" priority="1597" operator="containsText" text="Done">
      <formula>NOT(ISERROR(SEARCH("Done",AA30)))</formula>
    </cfRule>
    <cfRule type="containsText" dxfId="4655" priority="1596" operator="containsText" text="NA">
      <formula>NOT(ISERROR(SEARCH("NA",AA30)))</formula>
    </cfRule>
    <cfRule type="containsText" dxfId="4654" priority="1595" operator="containsText" text="NA">
      <formula>NOT(ISERROR(SEARCH("NA",#REF!)))</formula>
    </cfRule>
    <cfRule type="containsText" dxfId="4653" priority="1594" operator="containsText" text="NA">
      <formula>NOT(ISERROR(SEARCH("NA",#REF!)))</formula>
    </cfRule>
    <cfRule type="containsText" dxfId="4652" priority="1593" operator="containsText" text="Pending">
      <formula>NOT(ISERROR(SEARCH("Pending",#REF!)))</formula>
    </cfRule>
    <cfRule type="containsText" dxfId="4651" priority="1592" operator="containsText" text="Done">
      <formula>NOT(ISERROR(SEARCH("Done",#REF!)))</formula>
    </cfRule>
    <cfRule type="containsText" dxfId="4650" priority="1591" operator="containsText" text="NA">
      <formula>NOT(ISERROR(SEARCH("NA",#REF!)))</formula>
    </cfRule>
    <cfRule type="containsText" dxfId="4649" priority="1590" operator="containsText" text="Pending">
      <formula>NOT(ISERROR(SEARCH("Pending",#REF!)))</formula>
    </cfRule>
    <cfRule type="containsText" dxfId="4648" priority="1589" operator="containsText" text="Done">
      <formula>NOT(ISERROR(SEARCH("Done",#REF!)))</formula>
    </cfRule>
    <cfRule type="containsText" dxfId="4647" priority="1588" operator="containsText" text="NA">
      <formula>NOT(ISERROR(SEARCH("NA",#REF!)))</formula>
    </cfRule>
    <cfRule type="containsText" dxfId="4646" priority="1587" operator="containsText" text="NA">
      <formula>NOT(ISERROR(SEARCH("NA",#REF!)))</formula>
    </cfRule>
    <cfRule type="containsText" dxfId="4645" priority="1586" operator="containsText" text="Pending">
      <formula>NOT(ISERROR(SEARCH("Pending",#REF!)))</formula>
    </cfRule>
    <cfRule type="containsText" dxfId="4644" priority="1876" operator="containsText" text="Done">
      <formula>NOT(ISERROR(SEARCH("Done",#REF!)))</formula>
    </cfRule>
    <cfRule type="containsText" dxfId="4643" priority="1585" operator="containsText" text="Done">
      <formula>NOT(ISERROR(SEARCH("Done",#REF!)))</formula>
    </cfRule>
    <cfRule type="containsText" dxfId="4642" priority="1584" operator="containsText" text="NA">
      <formula>NOT(ISERROR(SEARCH("NA",#REF!)))</formula>
    </cfRule>
    <cfRule type="containsText" dxfId="4641" priority="1583" operator="containsText" text="NA">
      <formula>NOT(ISERROR(SEARCH("NA",#REF!)))</formula>
    </cfRule>
    <cfRule type="containsText" dxfId="4640" priority="1582" operator="containsText" text="Pending">
      <formula>NOT(ISERROR(SEARCH("Pending",#REF!)))</formula>
    </cfRule>
    <cfRule type="containsText" dxfId="4639" priority="1581" operator="containsText" text="Done">
      <formula>NOT(ISERROR(SEARCH("Done",#REF!)))</formula>
    </cfRule>
    <cfRule type="containsText" dxfId="4638" priority="1580" operator="containsText" text="NA">
      <formula>NOT(ISERROR(SEARCH("NA",#REF!)))</formula>
    </cfRule>
    <cfRule type="containsText" dxfId="4637" priority="1579" operator="containsText" text="Pending">
      <formula>NOT(ISERROR(SEARCH("Pending",#REF!)))</formula>
    </cfRule>
    <cfRule type="containsText" dxfId="4636" priority="1578" operator="containsText" text="Done">
      <formula>NOT(ISERROR(SEARCH("Done",#REF!)))</formula>
    </cfRule>
    <cfRule type="containsText" dxfId="4635" priority="1577" operator="containsText" text="NA">
      <formula>NOT(ISERROR(SEARCH("NA",#REF!)))</formula>
    </cfRule>
    <cfRule type="containsText" dxfId="4634" priority="1576" operator="containsText" text="NA">
      <formula>NOT(ISERROR(SEARCH("NA",#REF!)))</formula>
    </cfRule>
    <cfRule type="containsText" dxfId="4633" priority="1575" operator="containsText" text="Pending">
      <formula>NOT(ISERROR(SEARCH("Pending",#REF!)))</formula>
    </cfRule>
    <cfRule type="containsText" dxfId="4632" priority="1574" operator="containsText" text="Done">
      <formula>NOT(ISERROR(SEARCH("Done",#REF!)))</formula>
    </cfRule>
    <cfRule type="containsText" dxfId="4631" priority="1573" operator="containsText" text="NA">
      <formula>NOT(ISERROR(SEARCH("NA",#REF!)))</formula>
    </cfRule>
    <cfRule type="containsText" dxfId="4630" priority="1572" operator="containsText" text="NA">
      <formula>NOT(ISERROR(SEARCH("NA",#REF!)))</formula>
    </cfRule>
    <cfRule type="containsText" dxfId="4629" priority="1571" operator="containsText" text="Pending">
      <formula>NOT(ISERROR(SEARCH("Pending",#REF!)))</formula>
    </cfRule>
    <cfRule type="containsText" dxfId="4628" priority="1570" operator="containsText" text="Done">
      <formula>NOT(ISERROR(SEARCH("Done",#REF!)))</formula>
    </cfRule>
    <cfRule type="containsText" dxfId="4627" priority="1569" operator="containsText" text="NA">
      <formula>NOT(ISERROR(SEARCH("NA",#REF!)))</formula>
    </cfRule>
    <cfRule type="containsText" dxfId="4626" priority="1535" operator="containsText" text="NA">
      <formula>NOT(ISERROR(SEARCH("NA",#REF!)))</formula>
    </cfRule>
    <cfRule type="containsText" dxfId="4625" priority="1536" operator="containsText" text="Done">
      <formula>NOT(ISERROR(SEARCH("Done",#REF!)))</formula>
    </cfRule>
    <cfRule type="containsText" dxfId="4624" priority="1537" operator="containsText" text="Pending">
      <formula>NOT(ISERROR(SEARCH("Pending",#REF!)))</formula>
    </cfRule>
    <cfRule type="containsText" dxfId="4623" priority="1538" operator="containsText" text="NA">
      <formula>NOT(ISERROR(SEARCH("NA",#REF!)))</formula>
    </cfRule>
    <cfRule type="containsText" dxfId="4622" priority="1539" operator="containsText" text="NA">
      <formula>NOT(ISERROR(SEARCH("NA",#REF!)))</formula>
    </cfRule>
    <cfRule type="containsText" dxfId="4621" priority="1540" operator="containsText" text="Done">
      <formula>NOT(ISERROR(SEARCH("Done",#REF!)))</formula>
    </cfRule>
    <cfRule type="containsText" dxfId="4620" priority="1541" operator="containsText" text="Pending">
      <formula>NOT(ISERROR(SEARCH("Pending",#REF!)))</formula>
    </cfRule>
    <cfRule type="containsText" dxfId="4619" priority="1542" operator="containsText" text="NA">
      <formula>NOT(ISERROR(SEARCH("NA",#REF!)))</formula>
    </cfRule>
    <cfRule type="containsText" dxfId="4618" priority="1543" operator="containsText" text="NA">
      <formula>NOT(ISERROR(SEARCH("NA",#REF!)))</formula>
    </cfRule>
    <cfRule type="containsText" dxfId="4617" priority="1544" operator="containsText" text="Done">
      <formula>NOT(ISERROR(SEARCH("Done",#REF!)))</formula>
    </cfRule>
    <cfRule type="containsText" dxfId="4616" priority="1545" operator="containsText" text="Pending">
      <formula>NOT(ISERROR(SEARCH("Pending",#REF!)))</formula>
    </cfRule>
    <cfRule type="containsText" dxfId="4615" priority="1546" operator="containsText" text="NA">
      <formula>NOT(ISERROR(SEARCH("NA",#REF!)))</formula>
    </cfRule>
    <cfRule type="containsText" dxfId="4614" priority="1547" operator="containsText" text="Done">
      <formula>NOT(ISERROR(SEARCH("Done",#REF!)))</formula>
    </cfRule>
    <cfRule type="containsText" dxfId="4613" priority="1548" operator="containsText" text="Pending">
      <formula>NOT(ISERROR(SEARCH("Pending",#REF!)))</formula>
    </cfRule>
    <cfRule type="containsText" dxfId="4612" priority="1549" operator="containsText" text="NA">
      <formula>NOT(ISERROR(SEARCH("NA",#REF!)))</formula>
    </cfRule>
    <cfRule type="containsText" dxfId="4611" priority="1550" operator="containsText" text="NA">
      <formula>NOT(ISERROR(SEARCH("NA",#REF!)))</formula>
    </cfRule>
    <cfRule type="containsText" dxfId="4610" priority="1551" operator="containsText" text="Done">
      <formula>NOT(ISERROR(SEARCH("Done",#REF!)))</formula>
    </cfRule>
    <cfRule type="containsText" dxfId="4609" priority="1552" operator="containsText" text="Pending">
      <formula>NOT(ISERROR(SEARCH("Pending",#REF!)))</formula>
    </cfRule>
    <cfRule type="containsText" dxfId="4608" priority="1553" operator="containsText" text="NA">
      <formula>NOT(ISERROR(SEARCH("NA",#REF!)))</formula>
    </cfRule>
    <cfRule type="containsText" dxfId="4607" priority="1554" operator="containsText" text="NA">
      <formula>NOT(ISERROR(SEARCH("NA",#REF!)))</formula>
    </cfRule>
    <cfRule type="containsText" dxfId="4606" priority="1555" operator="containsText" text="Done">
      <formula>NOT(ISERROR(SEARCH("Done",#REF!)))</formula>
    </cfRule>
    <cfRule type="containsText" dxfId="4605" priority="1556" operator="containsText" text="Pending">
      <formula>NOT(ISERROR(SEARCH("Pending",#REF!)))</formula>
    </cfRule>
    <cfRule type="containsText" dxfId="4604" priority="1557" operator="containsText" text="NA">
      <formula>NOT(ISERROR(SEARCH("NA",#REF!)))</formula>
    </cfRule>
    <cfRule type="containsText" dxfId="4603" priority="1558" operator="containsText" text="NA">
      <formula>NOT(ISERROR(SEARCH("NA",#REF!)))</formula>
    </cfRule>
    <cfRule type="containsText" dxfId="4602" priority="1559" operator="containsText" text="Done">
      <formula>NOT(ISERROR(SEARCH("Done",#REF!)))</formula>
    </cfRule>
    <cfRule type="containsText" dxfId="4601" priority="1560" operator="containsText" text="Pending">
      <formula>NOT(ISERROR(SEARCH("Pending",#REF!)))</formula>
    </cfRule>
    <cfRule type="containsText" dxfId="4600" priority="1561" operator="containsText" text="NA">
      <formula>NOT(ISERROR(SEARCH("NA",#REF!)))</formula>
    </cfRule>
    <cfRule type="containsText" dxfId="4599" priority="1562" operator="containsText" text="NA">
      <formula>NOT(ISERROR(SEARCH("NA",#REF!)))</formula>
    </cfRule>
    <cfRule type="containsText" dxfId="4598" priority="1563" operator="containsText" text="Done">
      <formula>NOT(ISERROR(SEARCH("Done",#REF!)))</formula>
    </cfRule>
    <cfRule type="containsText" dxfId="4597" priority="1564" operator="containsText" text="Pending">
      <formula>NOT(ISERROR(SEARCH("Pending",#REF!)))</formula>
    </cfRule>
    <cfRule type="containsText" dxfId="4596" priority="1565" operator="containsText" text="NA">
      <formula>NOT(ISERROR(SEARCH("NA",#REF!)))</formula>
    </cfRule>
    <cfRule type="containsText" dxfId="4595" priority="1566" operator="containsText" text="NA">
      <formula>NOT(ISERROR(SEARCH("NA",#REF!)))</formula>
    </cfRule>
    <cfRule type="containsText" dxfId="4594" priority="1567" operator="containsText" text="Done">
      <formula>NOT(ISERROR(SEARCH("Done",#REF!)))</formula>
    </cfRule>
    <cfRule type="containsText" dxfId="4593" priority="1568" operator="containsText" text="Pending">
      <formula>NOT(ISERROR(SEARCH("Pending",#REF!)))</formula>
    </cfRule>
    <cfRule type="containsText" dxfId="4592" priority="1834" operator="containsText" text="NA">
      <formula>NOT(ISERROR(SEARCH("NA",#REF!)))</formula>
    </cfRule>
    <cfRule type="containsText" dxfId="4591" priority="76712" operator="containsText" text="NA">
      <formula>NOT(ISERROR(SEARCH("NA",#REF!)))</formula>
    </cfRule>
    <cfRule type="containsText" dxfId="4590" priority="76713" operator="containsText" text="Done">
      <formula>NOT(ISERROR(SEARCH("Done",#REF!)))</formula>
    </cfRule>
    <cfRule type="containsText" dxfId="4589" priority="76714" operator="containsText" text="Pending">
      <formula>NOT(ISERROR(SEARCH("Pending",#REF!)))</formula>
    </cfRule>
    <cfRule type="containsText" dxfId="4588" priority="76715" operator="containsText" text="NA">
      <formula>NOT(ISERROR(SEARCH("NA",#REF!)))</formula>
    </cfRule>
    <cfRule type="containsText" dxfId="4587" priority="76716" operator="containsText" text="NA">
      <formula>NOT(ISERROR(SEARCH("NA",#REF!)))</formula>
    </cfRule>
    <cfRule type="containsText" dxfId="4586" priority="76717" operator="containsText" text="Done">
      <formula>NOT(ISERROR(SEARCH("Done",#REF!)))</formula>
    </cfRule>
    <cfRule type="containsText" dxfId="4585" priority="76718" operator="containsText" text="Pending">
      <formula>NOT(ISERROR(SEARCH("Pending",#REF!)))</formula>
    </cfRule>
    <cfRule type="containsText" dxfId="4584" priority="76719" operator="containsText" text="NA">
      <formula>NOT(ISERROR(SEARCH("NA",#REF!)))</formula>
    </cfRule>
    <cfRule type="containsText" dxfId="4583" priority="76720" operator="containsText" text="Done">
      <formula>NOT(ISERROR(SEARCH("Done",#REF!)))</formula>
    </cfRule>
    <cfRule type="containsText" dxfId="4582" priority="76721" operator="containsText" text="Pending">
      <formula>NOT(ISERROR(SEARCH("Pending",#REF!)))</formula>
    </cfRule>
    <cfRule type="containsText" dxfId="4581" priority="76722" operator="containsText" text="NA">
      <formula>NOT(ISERROR(SEARCH("NA",#REF!)))</formula>
    </cfRule>
    <cfRule type="containsText" dxfId="4580" priority="76723" operator="containsText" text="NA">
      <formula>NOT(ISERROR(SEARCH("NA",#REF!)))</formula>
    </cfRule>
    <cfRule type="containsText" dxfId="4579" priority="76724" operator="containsText" text="Done">
      <formula>NOT(ISERROR(SEARCH("Done",#REF!)))</formula>
    </cfRule>
    <cfRule type="containsText" dxfId="4578" priority="76725" operator="containsText" text="Pending">
      <formula>NOT(ISERROR(SEARCH("Pending",#REF!)))</formula>
    </cfRule>
    <cfRule type="containsText" dxfId="4577" priority="76726" operator="containsText" text="NA">
      <formula>NOT(ISERROR(SEARCH("NA",#REF!)))</formula>
    </cfRule>
    <cfRule type="containsText" dxfId="4576" priority="76727" operator="containsText" text="NA">
      <formula>NOT(ISERROR(SEARCH("NA",#REF!)))</formula>
    </cfRule>
    <cfRule type="containsText" dxfId="4575" priority="76728" operator="containsText" text="Done">
      <formula>NOT(ISERROR(SEARCH("Done",#REF!)))</formula>
    </cfRule>
    <cfRule type="containsText" dxfId="4574" priority="76729" operator="containsText" text="Pending">
      <formula>NOT(ISERROR(SEARCH("Pending",#REF!)))</formula>
    </cfRule>
    <cfRule type="containsText" dxfId="4573" priority="76730" operator="containsText" text="NA">
      <formula>NOT(ISERROR(SEARCH("NA",#REF!)))</formula>
    </cfRule>
    <cfRule type="containsText" dxfId="4572" priority="76731" operator="containsText" text="NA">
      <formula>NOT(ISERROR(SEARCH("NA",#REF!)))</formula>
    </cfRule>
    <cfRule type="containsText" dxfId="4571" priority="76732" operator="containsText" text="Done">
      <formula>NOT(ISERROR(SEARCH("Done",#REF!)))</formula>
    </cfRule>
    <cfRule type="containsText" dxfId="4570" priority="76733" operator="containsText" text="Pending">
      <formula>NOT(ISERROR(SEARCH("Pending",#REF!)))</formula>
    </cfRule>
    <cfRule type="containsText" dxfId="4569" priority="76734" operator="containsText" text="NA">
      <formula>NOT(ISERROR(SEARCH("NA",#REF!)))</formula>
    </cfRule>
    <cfRule type="containsText" dxfId="4568" priority="76735" operator="containsText" text="NA">
      <formula>NOT(ISERROR(SEARCH("NA",#REF!)))</formula>
    </cfRule>
    <cfRule type="containsText" dxfId="4567" priority="76736" operator="containsText" text="Done">
      <formula>NOT(ISERROR(SEARCH("Done",#REF!)))</formula>
    </cfRule>
    <cfRule type="containsText" dxfId="4566" priority="76737" operator="containsText" text="Pending">
      <formula>NOT(ISERROR(SEARCH("Pending",#REF!)))</formula>
    </cfRule>
    <cfRule type="containsText" dxfId="4565" priority="76738" operator="containsText" text="NA">
      <formula>NOT(ISERROR(SEARCH("NA",#REF!)))</formula>
    </cfRule>
    <cfRule type="containsText" dxfId="4564" priority="76739" operator="containsText" text="Done">
      <formula>NOT(ISERROR(SEARCH("Done",#REF!)))</formula>
    </cfRule>
    <cfRule type="containsText" dxfId="4563" priority="76740" operator="containsText" text="Pending">
      <formula>NOT(ISERROR(SEARCH("Pending",#REF!)))</formula>
    </cfRule>
    <cfRule type="containsText" dxfId="4562" priority="76741" operator="containsText" text="NA">
      <formula>NOT(ISERROR(SEARCH("NA",#REF!)))</formula>
    </cfRule>
    <cfRule type="containsText" dxfId="4561" priority="76742" operator="containsText" text="NA">
      <formula>NOT(ISERROR(SEARCH("NA",#REF!)))</formula>
    </cfRule>
    <cfRule type="containsText" dxfId="4560" priority="76743" operator="containsText" text="Done">
      <formula>NOT(ISERROR(SEARCH("Done",#REF!)))</formula>
    </cfRule>
    <cfRule type="containsText" dxfId="4559" priority="76744" operator="containsText" text="Pending">
      <formula>NOT(ISERROR(SEARCH("Pending",#REF!)))</formula>
    </cfRule>
    <cfRule type="containsText" dxfId="4558" priority="76745" operator="containsText" text="NA">
      <formula>NOT(ISERROR(SEARCH("NA",#REF!)))</formula>
    </cfRule>
    <cfRule type="containsText" dxfId="4557" priority="76746" operator="containsText" text="NA">
      <formula>NOT(ISERROR(SEARCH("NA",AA30)))</formula>
    </cfRule>
    <cfRule type="containsText" dxfId="4556" priority="76747" operator="containsText" text="Pending">
      <formula>NOT(ISERROR(SEARCH("Pending",AA30)))</formula>
    </cfRule>
    <cfRule type="containsText" dxfId="4555" priority="76748" operator="containsText" text="Done">
      <formula>NOT(ISERROR(SEARCH("Done",AA30)))</formula>
    </cfRule>
    <cfRule type="containsText" dxfId="4554" priority="76749" operator="containsText" text="NA">
      <formula>NOT(ISERROR(SEARCH("NA",#REF!)))</formula>
    </cfRule>
    <cfRule type="containsText" dxfId="4553" priority="76750" operator="containsText" text="Done">
      <formula>NOT(ISERROR(SEARCH("Done",#REF!)))</formula>
    </cfRule>
    <cfRule type="containsText" dxfId="4552" priority="76751" operator="containsText" text="Pending">
      <formula>NOT(ISERROR(SEARCH("Pending",#REF!)))</formula>
    </cfRule>
    <cfRule type="containsText" dxfId="4551" priority="76752" operator="containsText" text="NA">
      <formula>NOT(ISERROR(SEARCH("NA",#REF!)))</formula>
    </cfRule>
    <cfRule type="containsText" dxfId="4550" priority="76753" operator="containsText" text="Done">
      <formula>NOT(ISERROR(SEARCH("Done",#REF!)))</formula>
    </cfRule>
    <cfRule type="containsText" dxfId="4549" priority="76754" operator="containsText" text="Pending">
      <formula>NOT(ISERROR(SEARCH("Pending",#REF!)))</formula>
    </cfRule>
    <cfRule type="containsText" dxfId="4548" priority="76755" operator="containsText" text="NA">
      <formula>NOT(ISERROR(SEARCH("NA",#REF!)))</formula>
    </cfRule>
    <cfRule type="containsText" dxfId="4547" priority="76756" operator="containsText" text="NA">
      <formula>NOT(ISERROR(SEARCH("NA",#REF!)))</formula>
    </cfRule>
    <cfRule type="containsText" dxfId="4546" priority="76757" operator="containsText" text="Done">
      <formula>NOT(ISERROR(SEARCH("Done",#REF!)))</formula>
    </cfRule>
    <cfRule type="containsText" dxfId="4545" priority="76758" operator="containsText" text="Pending">
      <formula>NOT(ISERROR(SEARCH("Pending",#REF!)))</formula>
    </cfRule>
    <cfRule type="containsText" dxfId="4544" priority="76759" operator="containsText" text="NA">
      <formula>NOT(ISERROR(SEARCH("NA",#REF!)))</formula>
    </cfRule>
    <cfRule type="containsText" dxfId="4543" priority="76760" operator="containsText" text="NA">
      <formula>NOT(ISERROR(SEARCH("NA",AA30)))</formula>
    </cfRule>
    <cfRule type="containsText" dxfId="4542" priority="76761" operator="containsText" text="Done">
      <formula>NOT(ISERROR(SEARCH("Done",AA30)))</formula>
    </cfRule>
    <cfRule type="containsText" dxfId="4541" priority="76762" operator="containsText" text="NA">
      <formula>NOT(ISERROR(SEARCH("NA",#REF!)))</formula>
    </cfRule>
    <cfRule type="containsText" dxfId="4540" priority="76763" operator="containsText" text="Done">
      <formula>NOT(ISERROR(SEARCH("Done",#REF!)))</formula>
    </cfRule>
    <cfRule type="containsText" dxfId="4539" priority="76764" operator="containsText" text="Pending">
      <formula>NOT(ISERROR(SEARCH("Pending",#REF!)))</formula>
    </cfRule>
    <cfRule type="containsText" dxfId="4538" priority="76765" operator="containsText" text="NA">
      <formula>NOT(ISERROR(SEARCH("NA",#REF!)))</formula>
    </cfRule>
    <cfRule type="containsText" dxfId="4537" priority="76766" operator="containsText" text="NA">
      <formula>NOT(ISERROR(SEARCH("NA",AA30)))</formula>
    </cfRule>
    <cfRule type="containsText" dxfId="4536" priority="76767" operator="containsText" text="Pending">
      <formula>NOT(ISERROR(SEARCH("Pending",AA30)))</formula>
    </cfRule>
    <cfRule type="containsText" dxfId="4535" priority="76768" operator="containsText" text="Done">
      <formula>NOT(ISERROR(SEARCH("Done",AA30)))</formula>
    </cfRule>
    <cfRule type="containsText" dxfId="4534" priority="76769" operator="containsText" text="NA">
      <formula>NOT(ISERROR(SEARCH("NA",#REF!)))</formula>
    </cfRule>
    <cfRule type="containsText" dxfId="4533" priority="76770" operator="containsText" text="Done">
      <formula>NOT(ISERROR(SEARCH("Done",#REF!)))</formula>
    </cfRule>
    <cfRule type="containsText" dxfId="4532" priority="76771" operator="containsText" text="Pending">
      <formula>NOT(ISERROR(SEARCH("Pending",#REF!)))</formula>
    </cfRule>
    <cfRule type="containsText" dxfId="4531" priority="76772" operator="containsText" text="NA">
      <formula>NOT(ISERROR(SEARCH("NA",#REF!)))</formula>
    </cfRule>
    <cfRule type="containsText" dxfId="4530" priority="76773" operator="containsText" text="NA">
      <formula>NOT(ISERROR(SEARCH("NA",#REF!)))</formula>
    </cfRule>
    <cfRule type="containsText" dxfId="4529" priority="76774" operator="containsText" text="Done">
      <formula>NOT(ISERROR(SEARCH("Done",#REF!)))</formula>
    </cfRule>
    <cfRule type="containsText" dxfId="4528" priority="76775" operator="containsText" text="Pending">
      <formula>NOT(ISERROR(SEARCH("Pending",#REF!)))</formula>
    </cfRule>
    <cfRule type="containsText" dxfId="4527" priority="76776" operator="containsText" text="NA">
      <formula>NOT(ISERROR(SEARCH("NA",#REF!)))</formula>
    </cfRule>
    <cfRule type="containsText" dxfId="4526" priority="76777" operator="containsText" text="NA">
      <formula>NOT(ISERROR(SEARCH("NA",AA30)))</formula>
    </cfRule>
    <cfRule type="containsText" dxfId="4525" priority="76778" operator="containsText" text="Pending">
      <formula>NOT(ISERROR(SEARCH("Pending",AA30)))</formula>
    </cfRule>
    <cfRule type="containsText" dxfId="4524" priority="76779" operator="containsText" text="Done">
      <formula>NOT(ISERROR(SEARCH("Done",AA30)))</formula>
    </cfRule>
    <cfRule type="containsText" dxfId="4523" priority="76780" operator="containsText" text="NA">
      <formula>NOT(ISERROR(SEARCH("NA",#REF!)))</formula>
    </cfRule>
    <cfRule type="containsText" dxfId="4522" priority="76781" operator="containsText" text="Done">
      <formula>NOT(ISERROR(SEARCH("Done",#REF!)))</formula>
    </cfRule>
    <cfRule type="containsText" dxfId="4521" priority="76782" operator="containsText" text="Pending">
      <formula>NOT(ISERROR(SEARCH("Pending",#REF!)))</formula>
    </cfRule>
    <cfRule type="containsText" dxfId="4520" priority="76783" operator="containsText" text="NA">
      <formula>NOT(ISERROR(SEARCH("NA",#REF!)))</formula>
    </cfRule>
    <cfRule type="containsText" dxfId="4519" priority="76784" operator="containsText" text="NA">
      <formula>NOT(ISERROR(SEARCH("NA",#REF!)))</formula>
    </cfRule>
    <cfRule type="containsText" dxfId="4518" priority="76785" operator="containsText" text="Done">
      <formula>NOT(ISERROR(SEARCH("Done",#REF!)))</formula>
    </cfRule>
    <cfRule type="containsText" dxfId="4517" priority="76786" operator="containsText" text="Pending">
      <formula>NOT(ISERROR(SEARCH("Pending",#REF!)))</formula>
    </cfRule>
    <cfRule type="containsText" dxfId="4516" priority="76787" operator="containsText" text="NA">
      <formula>NOT(ISERROR(SEARCH("NA",#REF!)))</formula>
    </cfRule>
    <cfRule type="containsText" dxfId="4515" priority="76788" operator="containsText" text="NA">
      <formula>NOT(ISERROR(SEARCH("NA",#REF!)))</formula>
    </cfRule>
    <cfRule type="containsText" dxfId="4514" priority="76789" operator="containsText" text="Done">
      <formula>NOT(ISERROR(SEARCH("Done",#REF!)))</formula>
    </cfRule>
    <cfRule type="containsText" dxfId="4513" priority="76790" operator="containsText" text="Pending">
      <formula>NOT(ISERROR(SEARCH("Pending",#REF!)))</formula>
    </cfRule>
    <cfRule type="containsText" dxfId="4512" priority="76791" operator="containsText" text="NA">
      <formula>NOT(ISERROR(SEARCH("NA",#REF!)))</formula>
    </cfRule>
    <cfRule type="containsText" dxfId="4511" priority="76792" operator="containsText" text="NA">
      <formula>NOT(ISERROR(SEARCH("NA",#REF!)))</formula>
    </cfRule>
    <cfRule type="containsText" dxfId="4510" priority="76793" operator="containsText" text="Done">
      <formula>NOT(ISERROR(SEARCH("Done",#REF!)))</formula>
    </cfRule>
    <cfRule type="containsText" dxfId="4509" priority="76794" operator="containsText" text="Pending">
      <formula>NOT(ISERROR(SEARCH("Pending",#REF!)))</formula>
    </cfRule>
    <cfRule type="containsText" dxfId="4508" priority="76795" operator="containsText" text="NA">
      <formula>NOT(ISERROR(SEARCH("NA",#REF!)))</formula>
    </cfRule>
    <cfRule type="containsText" dxfId="4507" priority="76796" operator="containsText" text="NA">
      <formula>NOT(ISERROR(SEARCH("NA",#REF!)))</formula>
    </cfRule>
    <cfRule type="containsText" dxfId="4506" priority="76797" operator="containsText" text="Done">
      <formula>NOT(ISERROR(SEARCH("Done",#REF!)))</formula>
    </cfRule>
    <cfRule type="containsText" dxfId="4505" priority="76798" operator="containsText" text="Pending">
      <formula>NOT(ISERROR(SEARCH("Pending",#REF!)))</formula>
    </cfRule>
    <cfRule type="containsText" dxfId="4504" priority="76799" operator="containsText" text="NA">
      <formula>NOT(ISERROR(SEARCH("NA",#REF!)))</formula>
    </cfRule>
    <cfRule type="containsText" dxfId="4503" priority="76800" operator="containsText" text="NA">
      <formula>NOT(ISERROR(SEARCH("NA",#REF!)))</formula>
    </cfRule>
    <cfRule type="containsText" dxfId="4502" priority="76801" operator="containsText" text="Done">
      <formula>NOT(ISERROR(SEARCH("Done",#REF!)))</formula>
    </cfRule>
    <cfRule type="containsText" dxfId="4501" priority="76802" operator="containsText" text="Pending">
      <formula>NOT(ISERROR(SEARCH("Pending",#REF!)))</formula>
    </cfRule>
    <cfRule type="containsText" dxfId="4500" priority="76803" operator="containsText" text="NA">
      <formula>NOT(ISERROR(SEARCH("NA",#REF!)))</formula>
    </cfRule>
    <cfRule type="containsText" dxfId="4499" priority="76804" operator="containsText" text="NA">
      <formula>NOT(ISERROR(SEARCH("NA",AA30)))</formula>
    </cfRule>
    <cfRule type="containsText" dxfId="4498" priority="76805" operator="containsText" text="Pending">
      <formula>NOT(ISERROR(SEARCH("Pending",AA30)))</formula>
    </cfRule>
    <cfRule type="containsText" dxfId="4497" priority="76806" operator="containsText" text="Done">
      <formula>NOT(ISERROR(SEARCH("Done",AA30)))</formula>
    </cfRule>
    <cfRule type="containsText" dxfId="4496" priority="76807" operator="containsText" text="NA">
      <formula>NOT(ISERROR(SEARCH("NA",#REF!)))</formula>
    </cfRule>
    <cfRule type="containsText" dxfId="4495" priority="76808" operator="containsText" text="Done">
      <formula>NOT(ISERROR(SEARCH("Done",#REF!)))</formula>
    </cfRule>
    <cfRule type="containsText" dxfId="4494" priority="76809" operator="containsText" text="Pending">
      <formula>NOT(ISERROR(SEARCH("Pending",#REF!)))</formula>
    </cfRule>
    <cfRule type="containsText" dxfId="4493" priority="76810" operator="containsText" text="NA">
      <formula>NOT(ISERROR(SEARCH("NA",#REF!)))</formula>
    </cfRule>
  </conditionalFormatting>
  <conditionalFormatting sqref="AA30:AA32">
    <cfRule type="containsText" dxfId="4492" priority="118907" operator="containsText" text="NA">
      <formula>NOT(ISERROR(SEARCH("NA",AA30)))</formula>
    </cfRule>
    <cfRule type="containsText" dxfId="4491" priority="124350" operator="containsText" text="NA">
      <formula>NOT(ISERROR(SEARCH("NA",#REF!)))</formula>
    </cfRule>
    <cfRule type="containsText" dxfId="4490" priority="118908" operator="containsText" text="Done">
      <formula>NOT(ISERROR(SEARCH("Done",AA30)))</formula>
    </cfRule>
    <cfRule type="containsText" dxfId="4489" priority="124349" operator="containsText" text="Pending">
      <formula>NOT(ISERROR(SEARCH("Pending",#REF!)))</formula>
    </cfRule>
    <cfRule type="containsText" dxfId="4488" priority="118909" operator="containsText" text="NA">
      <formula>NOT(ISERROR(SEARCH("NA",#REF!)))</formula>
    </cfRule>
    <cfRule type="containsText" dxfId="4487" priority="118910" operator="containsText" text="Done">
      <formula>NOT(ISERROR(SEARCH("Done",#REF!)))</formula>
    </cfRule>
    <cfRule type="containsText" dxfId="4486" priority="118911" operator="containsText" text="Pending">
      <formula>NOT(ISERROR(SEARCH("Pending",#REF!)))</formula>
    </cfRule>
    <cfRule type="containsText" dxfId="4485" priority="118912" operator="containsText" text="NA">
      <formula>NOT(ISERROR(SEARCH("NA",#REF!)))</formula>
    </cfRule>
    <cfRule type="containsText" dxfId="4484" priority="118913" operator="containsText" text="NA">
      <formula>NOT(ISERROR(SEARCH("NA",AA30)))</formula>
    </cfRule>
    <cfRule type="containsText" dxfId="4483" priority="118914" operator="containsText" text="Pending">
      <formula>NOT(ISERROR(SEARCH("Pending",AA30)))</formula>
    </cfRule>
    <cfRule type="containsText" dxfId="4482" priority="118916" operator="containsText" text="NA">
      <formula>NOT(ISERROR(SEARCH("NA",#REF!)))</formula>
    </cfRule>
    <cfRule type="containsText" dxfId="4481" priority="118917" operator="containsText" text="Done">
      <formula>NOT(ISERROR(SEARCH("Done",#REF!)))</formula>
    </cfRule>
    <cfRule type="containsText" dxfId="4480" priority="118918" operator="containsText" text="Pending">
      <formula>NOT(ISERROR(SEARCH("Pending",#REF!)))</formula>
    </cfRule>
    <cfRule type="containsText" dxfId="4479" priority="118919" operator="containsText" text="NA">
      <formula>NOT(ISERROR(SEARCH("NA",#REF!)))</formula>
    </cfRule>
    <cfRule type="containsText" dxfId="4478" priority="118920" operator="containsText" text="NA">
      <formula>NOT(ISERROR(SEARCH("NA",#REF!)))</formula>
    </cfRule>
    <cfRule type="containsText" dxfId="4477" priority="118921" operator="containsText" text="Done">
      <formula>NOT(ISERROR(SEARCH("Done",#REF!)))</formula>
    </cfRule>
    <cfRule type="containsText" dxfId="4476" priority="118922" operator="containsText" text="Pending">
      <formula>NOT(ISERROR(SEARCH("Pending",#REF!)))</formula>
    </cfRule>
    <cfRule type="containsText" dxfId="4475" priority="118923" operator="containsText" text="NA">
      <formula>NOT(ISERROR(SEARCH("NA",#REF!)))</formula>
    </cfRule>
    <cfRule type="containsText" dxfId="4474" priority="124348" operator="containsText" text="Done">
      <formula>NOT(ISERROR(SEARCH("Done",#REF!)))</formula>
    </cfRule>
    <cfRule type="containsText" dxfId="4473" priority="118915" operator="containsText" text="Done">
      <formula>NOT(ISERROR(SEARCH("Done",AA30)))</formula>
    </cfRule>
    <cfRule type="containsText" dxfId="4472" priority="124347" operator="containsText" text="NA">
      <formula>NOT(ISERROR(SEARCH("NA",#REF!)))</formula>
    </cfRule>
  </conditionalFormatting>
  <conditionalFormatting sqref="AA39:AA40">
    <cfRule type="containsText" dxfId="4471" priority="137246" operator="containsText" text="Done">
      <formula>NOT(ISERROR(SEARCH("Done",#REF!)))</formula>
    </cfRule>
    <cfRule type="containsText" dxfId="4470" priority="138932" operator="containsText" text="NA">
      <formula>NOT(ISERROR(SEARCH("NA",#REF!)))</formula>
    </cfRule>
    <cfRule type="containsText" dxfId="4469" priority="138089" operator="containsText" text="Pending">
      <formula>NOT(ISERROR(SEARCH("Pending",#REF!)))</formula>
    </cfRule>
  </conditionalFormatting>
  <conditionalFormatting sqref="AA51">
    <cfRule type="containsText" dxfId="4468" priority="111640" operator="containsText" text="Pending">
      <formula>NOT(ISERROR(SEARCH("Pending",N115)))</formula>
    </cfRule>
    <cfRule type="containsText" dxfId="4467" priority="111641" operator="containsText" text="NA">
      <formula>NOT(ISERROR(SEARCH("NA",N115)))</formula>
    </cfRule>
    <cfRule type="containsText" dxfId="4466" priority="111639" operator="containsText" text="Done">
      <formula>NOT(ISERROR(SEARCH("Done",N115)))</formula>
    </cfRule>
  </conditionalFormatting>
  <conditionalFormatting sqref="AA53">
    <cfRule type="containsText" dxfId="4465" priority="5454" operator="containsText" text="NA">
      <formula>NOT(ISERROR(SEARCH("NA",N117)))</formula>
    </cfRule>
    <cfRule type="containsText" dxfId="4464" priority="5453" operator="containsText" text="Pending">
      <formula>NOT(ISERROR(SEARCH("Pending",N117)))</formula>
    </cfRule>
    <cfRule type="containsText" dxfId="4463" priority="5452" operator="containsText" text="Done">
      <formula>NOT(ISERROR(SEARCH("Done",N117)))</formula>
    </cfRule>
  </conditionalFormatting>
  <conditionalFormatting sqref="AA57">
    <cfRule type="containsText" dxfId="4462" priority="119865" operator="containsText" text="NA">
      <formula>NOT(ISERROR(SEARCH("NA",#REF!)))</formula>
    </cfRule>
    <cfRule type="containsText" dxfId="4461" priority="119859" operator="containsText" text="Pending">
      <formula>NOT(ISERROR(SEARCH("Pending",#REF!)))</formula>
    </cfRule>
    <cfRule type="containsText" dxfId="4460" priority="119858" operator="containsText" text="Pending">
      <formula>NOT(ISERROR(SEARCH("Pending",#REF!)))</formula>
    </cfRule>
    <cfRule type="containsText" dxfId="4459" priority="119864" operator="containsText" text="NA">
      <formula>NOT(ISERROR(SEARCH("NA",#REF!)))</formula>
    </cfRule>
  </conditionalFormatting>
  <conditionalFormatting sqref="AA76:AA83 AA78:AB83">
    <cfRule type="containsText" dxfId="4458" priority="119365" operator="containsText" text="NA">
      <formula>NOT(ISERROR(SEARCH("NA",#REF!)))</formula>
    </cfRule>
    <cfRule type="containsText" dxfId="4457" priority="119304" operator="containsText" text="Done">
      <formula>NOT(ISERROR(SEARCH("Done",#REF!)))</formula>
    </cfRule>
    <cfRule type="containsText" dxfId="4456" priority="119334" operator="containsText" text="Pending">
      <formula>NOT(ISERROR(SEARCH("Pending",#REF!)))</formula>
    </cfRule>
    <cfRule type="containsText" dxfId="4455" priority="109396" operator="containsText" text="Pending">
      <formula>NOT(ISERROR(SEARCH("Pending",#REF!)))</formula>
    </cfRule>
    <cfRule type="containsText" dxfId="4454" priority="109397" operator="containsText" text="NA">
      <formula>NOT(ISERROR(SEARCH("NA",#REF!)))</formula>
    </cfRule>
    <cfRule type="containsText" dxfId="4453" priority="109398" operator="containsText" text="Done">
      <formula>NOT(ISERROR(SEARCH("Done",#REF!)))</formula>
    </cfRule>
    <cfRule type="containsText" dxfId="4452" priority="119335" operator="containsText" text="Pending">
      <formula>NOT(ISERROR(SEARCH("Pending",#REF!)))</formula>
    </cfRule>
    <cfRule type="containsText" dxfId="4451" priority="119364" operator="containsText" text="NA">
      <formula>NOT(ISERROR(SEARCH("NA",#REF!)))</formula>
    </cfRule>
  </conditionalFormatting>
  <conditionalFormatting sqref="AA76:AA83">
    <cfRule type="containsText" dxfId="4450" priority="1094" operator="containsText" text="Done">
      <formula>NOT(ISERROR(SEARCH("Done",#REF!)))</formula>
    </cfRule>
    <cfRule type="containsText" dxfId="4449" priority="1095" operator="containsText" text="Pending">
      <formula>NOT(ISERROR(SEARCH("Pending",#REF!)))</formula>
    </cfRule>
    <cfRule type="containsText" dxfId="4448" priority="1096" operator="containsText" text="Pending">
      <formula>NOT(ISERROR(SEARCH("Pending",#REF!)))</formula>
    </cfRule>
    <cfRule type="containsText" dxfId="4447" priority="1097" operator="containsText" text="NA">
      <formula>NOT(ISERROR(SEARCH("NA",#REF!)))</formula>
    </cfRule>
    <cfRule type="containsText" dxfId="4446" priority="1098" operator="containsText" text="NA">
      <formula>NOT(ISERROR(SEARCH("NA",#REF!)))</formula>
    </cfRule>
    <cfRule type="containsText" dxfId="4445" priority="4803" operator="containsText" text="Pending">
      <formula>NOT(ISERROR(SEARCH("Pending",#REF!)))</formula>
    </cfRule>
    <cfRule type="containsText" dxfId="4444" priority="4802" operator="containsText" text="Pending">
      <formula>NOT(ISERROR(SEARCH("Pending",#REF!)))</formula>
    </cfRule>
    <cfRule type="containsText" dxfId="4443" priority="4801" operator="containsText" text="Pending">
      <formula>NOT(ISERROR(SEARCH("Pending",#REF!)))</formula>
    </cfRule>
    <cfRule type="containsText" dxfId="4442" priority="4800" operator="containsText" text="Done">
      <formula>NOT(ISERROR(SEARCH("Done",#REF!)))</formula>
    </cfRule>
    <cfRule type="containsText" dxfId="4441" priority="1092" operator="containsText" text="NA">
      <formula>NOT(ISERROR(SEARCH("NA",#REF!)))</formula>
    </cfRule>
    <cfRule type="containsText" dxfId="4440" priority="4808" operator="containsText" text="Pending">
      <formula>NOT(ISERROR(SEARCH("Pending",#REF!)))</formula>
    </cfRule>
    <cfRule type="containsText" dxfId="4439" priority="1093" operator="containsText" text="NA">
      <formula>NOT(ISERROR(SEARCH("NA",#REF!)))</formula>
    </cfRule>
    <cfRule type="containsText" dxfId="4438" priority="4812" operator="containsText" text="Done">
      <formula>NOT(ISERROR(SEARCH("Done",#REF!)))</formula>
    </cfRule>
    <cfRule type="containsText" dxfId="4437" priority="4813" operator="containsText" text="Pending">
      <formula>NOT(ISERROR(SEARCH("Pending",#REF!)))</formula>
    </cfRule>
    <cfRule type="containsText" dxfId="4436" priority="4814" operator="containsText" text="Pending">
      <formula>NOT(ISERROR(SEARCH("Pending",#REF!)))</formula>
    </cfRule>
    <cfRule type="containsText" dxfId="4435" priority="4816" operator="containsText" text="NA">
      <formula>NOT(ISERROR(SEARCH("NA",#REF!)))</formula>
    </cfRule>
    <cfRule type="containsText" dxfId="4434" priority="4815" operator="containsText" text="NA">
      <formula>NOT(ISERROR(SEARCH("NA",#REF!)))</formula>
    </cfRule>
    <cfRule type="containsText" dxfId="4433" priority="1086" operator="containsText" text="NA">
      <formula>NOT(ISERROR(SEARCH("NA",#REF!)))</formula>
    </cfRule>
    <cfRule type="containsText" dxfId="4432" priority="1082" operator="containsText" text="Done">
      <formula>NOT(ISERROR(SEARCH("Done",#REF!)))</formula>
    </cfRule>
    <cfRule type="containsText" dxfId="4431" priority="1083" operator="containsText" text="Pending">
      <formula>NOT(ISERROR(SEARCH("Pending",#REF!)))</formula>
    </cfRule>
    <cfRule type="containsText" dxfId="4430" priority="1084" operator="containsText" text="Pending">
      <formula>NOT(ISERROR(SEARCH("Pending",#REF!)))</formula>
    </cfRule>
    <cfRule type="containsText" dxfId="4429" priority="1085" operator="containsText" text="Pending">
      <formula>NOT(ISERROR(SEARCH("Pending",#REF!)))</formula>
    </cfRule>
    <cfRule type="containsText" dxfId="4428" priority="1087" operator="containsText" text="NA">
      <formula>NOT(ISERROR(SEARCH("NA",#REF!)))</formula>
    </cfRule>
    <cfRule type="containsText" dxfId="4427" priority="1088" operator="containsText" text="NA">
      <formula>NOT(ISERROR(SEARCH("NA",#REF!)))</formula>
    </cfRule>
    <cfRule type="containsText" dxfId="4426" priority="1089" operator="containsText" text="Done">
      <formula>NOT(ISERROR(SEARCH("Done",#REF!)))</formula>
    </cfRule>
    <cfRule type="containsText" dxfId="4425" priority="1090" operator="containsText" text="Pending">
      <formula>NOT(ISERROR(SEARCH("Pending",#REF!)))</formula>
    </cfRule>
    <cfRule type="containsText" dxfId="4424" priority="4811" operator="containsText" text="NA">
      <formula>NOT(ISERROR(SEARCH("NA",#REF!)))</formula>
    </cfRule>
    <cfRule type="containsText" dxfId="4423" priority="1091" operator="containsText" text="Pending">
      <formula>NOT(ISERROR(SEARCH("Pending",#REF!)))</formula>
    </cfRule>
    <cfRule type="containsText" dxfId="4422" priority="4810" operator="containsText" text="NA">
      <formula>NOT(ISERROR(SEARCH("NA",#REF!)))</formula>
    </cfRule>
    <cfRule type="containsText" dxfId="4421" priority="4809" operator="containsText" text="Pending">
      <formula>NOT(ISERROR(SEARCH("Pending",#REF!)))</formula>
    </cfRule>
    <cfRule type="containsText" dxfId="4420" priority="4807" operator="containsText" text="Done">
      <formula>NOT(ISERROR(SEARCH("Done",#REF!)))</formula>
    </cfRule>
    <cfRule type="containsText" dxfId="4419" priority="4806" operator="containsText" text="NA">
      <formula>NOT(ISERROR(SEARCH("NA",#REF!)))</formula>
    </cfRule>
    <cfRule type="containsText" dxfId="4418" priority="4805" operator="containsText" text="NA">
      <formula>NOT(ISERROR(SEARCH("NA",#REF!)))</formula>
    </cfRule>
    <cfRule type="containsText" dxfId="4417" priority="4804" operator="containsText" text="NA">
      <formula>NOT(ISERROR(SEARCH("NA",#REF!)))</formula>
    </cfRule>
  </conditionalFormatting>
  <conditionalFormatting sqref="AA77:AA83 AA78:AB83">
    <cfRule type="containsText" dxfId="4416" priority="109332" operator="containsText" text="Done">
      <formula>NOT(ISERROR(SEARCH("Done",#REF!)))</formula>
    </cfRule>
    <cfRule type="containsText" dxfId="4415" priority="119123" operator="containsText" text="Pending">
      <formula>NOT(ISERROR(SEARCH("Pending",#REF!)))</formula>
    </cfRule>
    <cfRule type="containsText" dxfId="4414" priority="119124" operator="containsText" text="NA">
      <formula>NOT(ISERROR(SEARCH("NA",#REF!)))</formula>
    </cfRule>
    <cfRule type="containsText" dxfId="4413" priority="119125" operator="containsText" text="NA">
      <formula>NOT(ISERROR(SEARCH("NA",#REF!)))</formula>
    </cfRule>
    <cfRule type="containsText" dxfId="4412" priority="109338" operator="containsText" text="NA">
      <formula>NOT(ISERROR(SEARCH("NA",#REF!)))</formula>
    </cfRule>
    <cfRule type="containsText" dxfId="4411" priority="119120" operator="containsText" text="Done">
      <formula>NOT(ISERROR(SEARCH("Done",#REF!)))</formula>
    </cfRule>
    <cfRule type="containsText" dxfId="4410" priority="109337" operator="containsText" text="NA">
      <formula>NOT(ISERROR(SEARCH("NA",#REF!)))</formula>
    </cfRule>
    <cfRule type="containsText" dxfId="4409" priority="109336" operator="containsText" text="Pending">
      <formula>NOT(ISERROR(SEARCH("Pending",#REF!)))</formula>
    </cfRule>
    <cfRule type="containsText" dxfId="4408" priority="109335" operator="containsText" text="Pending">
      <formula>NOT(ISERROR(SEARCH("Pending",#REF!)))</formula>
    </cfRule>
    <cfRule type="containsText" dxfId="4407" priority="109333" operator="containsText" text="Done">
      <formula>NOT(ISERROR(SEARCH("Done",#REF!)))</formula>
    </cfRule>
    <cfRule type="containsText" dxfId="4406" priority="119122" operator="containsText" text="Pending">
      <formula>NOT(ISERROR(SEARCH("Pending",#REF!)))</formula>
    </cfRule>
    <cfRule type="containsText" dxfId="4405" priority="109331" operator="containsText" text="NA">
      <formula>NOT(ISERROR(SEARCH("NA",#REF!)))</formula>
    </cfRule>
    <cfRule type="containsText" dxfId="4404" priority="109339" operator="containsText" text="NA">
      <formula>NOT(ISERROR(SEARCH("NA",#REF!)))</formula>
    </cfRule>
  </conditionalFormatting>
  <conditionalFormatting sqref="AA79:AA83">
    <cfRule type="containsText" dxfId="4403" priority="3622" operator="containsText" text="Pending">
      <formula>NOT(ISERROR(SEARCH("Pending",#REF!)))</formula>
    </cfRule>
    <cfRule type="containsText" dxfId="4402" priority="3616" operator="containsText" text="Done">
      <formula>NOT(ISERROR(SEARCH("Done",#REF!)))</formula>
    </cfRule>
    <cfRule type="containsText" dxfId="4401" priority="3618" operator="containsText" text="Pending">
      <formula>NOT(ISERROR(SEARCH("Pending",#REF!)))</formula>
    </cfRule>
    <cfRule type="containsText" dxfId="4400" priority="3613" operator="containsText" text="NA">
      <formula>NOT(ISERROR(SEARCH("NA",#REF!)))</formula>
    </cfRule>
    <cfRule type="containsText" dxfId="4399" priority="3614" operator="containsText" text="NA">
      <formula>NOT(ISERROR(SEARCH("NA",#REF!)))</formula>
    </cfRule>
    <cfRule type="containsText" dxfId="4398" priority="3615" operator="containsText" text="NA">
      <formula>NOT(ISERROR(SEARCH("NA",#REF!)))</formula>
    </cfRule>
    <cfRule type="containsText" dxfId="4397" priority="3623" operator="containsText" text="Pending">
      <formula>NOT(ISERROR(SEARCH("Pending",#REF!)))</formula>
    </cfRule>
    <cfRule type="containsText" dxfId="4396" priority="3619" operator="containsText" text="NA">
      <formula>NOT(ISERROR(SEARCH("NA",#REF!)))</formula>
    </cfRule>
    <cfRule type="containsText" dxfId="4395" priority="3620" operator="containsText" text="NA">
      <formula>NOT(ISERROR(SEARCH("NA",#REF!)))</formula>
    </cfRule>
    <cfRule type="containsText" dxfId="4394" priority="3621" operator="containsText" text="Done">
      <formula>NOT(ISERROR(SEARCH("Done",#REF!)))</formula>
    </cfRule>
    <cfRule type="containsText" dxfId="4393" priority="3617" operator="containsText" text="Pending">
      <formula>NOT(ISERROR(SEARCH("Pending",#REF!)))</formula>
    </cfRule>
    <cfRule type="containsText" dxfId="4392" priority="3609" operator="containsText" text="Done">
      <formula>NOT(ISERROR(SEARCH("Done",#REF!)))</formula>
    </cfRule>
    <cfRule type="containsText" dxfId="4391" priority="3610" operator="containsText" text="Pending">
      <formula>NOT(ISERROR(SEARCH("Pending",#REF!)))</formula>
    </cfRule>
    <cfRule type="containsText" dxfId="4390" priority="3624" operator="containsText" text="NA">
      <formula>NOT(ISERROR(SEARCH("NA",#REF!)))</formula>
    </cfRule>
    <cfRule type="containsText" dxfId="4389" priority="3625" operator="containsText" text="NA">
      <formula>NOT(ISERROR(SEARCH("NA",#REF!)))</formula>
    </cfRule>
    <cfRule type="containsText" dxfId="4388" priority="3611" operator="containsText" text="Pending">
      <formula>NOT(ISERROR(SEARCH("Pending",#REF!)))</formula>
    </cfRule>
    <cfRule type="containsText" dxfId="4387" priority="3612" operator="containsText" text="Pending">
      <formula>NOT(ISERROR(SEARCH("Pending",#REF!)))</formula>
    </cfRule>
  </conditionalFormatting>
  <conditionalFormatting sqref="AA86:AA88">
    <cfRule type="containsText" dxfId="4386" priority="77358" operator="containsText" text="Done">
      <formula>NOT(ISERROR(SEARCH("Done",#REF!)))</formula>
    </cfRule>
    <cfRule type="containsText" dxfId="4385" priority="77399" operator="containsText" text="NA">
      <formula>NOT(ISERROR(SEARCH("NA",#REF!)))</formula>
    </cfRule>
    <cfRule type="containsText" dxfId="4384" priority="77398" operator="containsText" text="NA">
      <formula>NOT(ISERROR(SEARCH("NA",#REF!)))</formula>
    </cfRule>
    <cfRule type="containsText" dxfId="4383" priority="77393" operator="containsText" text="Pending">
      <formula>NOT(ISERROR(SEARCH("Pending",#REF!)))</formula>
    </cfRule>
    <cfRule type="containsText" dxfId="4382" priority="77389" operator="containsText" text="Done">
      <formula>NOT(ISERROR(SEARCH("Done",#REF!)))</formula>
    </cfRule>
    <cfRule type="containsText" dxfId="4381" priority="77380" operator="containsText" text="NA">
      <formula>NOT(ISERROR(SEARCH("NA",#REF!)))</formula>
    </cfRule>
    <cfRule type="containsText" dxfId="4380" priority="77379" operator="containsText" text="NA">
      <formula>NOT(ISERROR(SEARCH("NA",#REF!)))</formula>
    </cfRule>
    <cfRule type="containsText" dxfId="4379" priority="77377" operator="containsText" text="Pending">
      <formula>NOT(ISERROR(SEARCH("Pending",#REF!)))</formula>
    </cfRule>
    <cfRule type="containsText" dxfId="4378" priority="77362" operator="containsText" text="NA">
      <formula>NOT(ISERROR(SEARCH("NA",#REF!)))</formula>
    </cfRule>
    <cfRule type="containsText" dxfId="4377" priority="77376" operator="containsText" text="Pending">
      <formula>NOT(ISERROR(SEARCH("Pending",#REF!)))</formula>
    </cfRule>
    <cfRule type="containsText" dxfId="4376" priority="77394" operator="containsText" text="Pending">
      <formula>NOT(ISERROR(SEARCH("Pending",#REF!)))</formula>
    </cfRule>
    <cfRule type="containsText" dxfId="4375" priority="77361" operator="containsText" text="NA">
      <formula>NOT(ISERROR(SEARCH("NA",#REF!)))</formula>
    </cfRule>
    <cfRule type="containsText" dxfId="4374" priority="77360" operator="containsText" text="Pending">
      <formula>NOT(ISERROR(SEARCH("Pending",#REF!)))</formula>
    </cfRule>
    <cfRule type="containsText" dxfId="4373" priority="77359" operator="containsText" text="Pending">
      <formula>NOT(ISERROR(SEARCH("Pending",#REF!)))</formula>
    </cfRule>
    <cfRule type="containsText" dxfId="4372" priority="77378" operator="containsText" text="NA">
      <formula>NOT(ISERROR(SEARCH("NA",#REF!)))</formula>
    </cfRule>
    <cfRule type="containsText" dxfId="4371" priority="77374" operator="containsText" text="Done">
      <formula>NOT(ISERROR(SEARCH("Done",#REF!)))</formula>
    </cfRule>
    <cfRule type="containsText" dxfId="4370" priority="77375" operator="containsText" text="Pending">
      <formula>NOT(ISERROR(SEARCH("Pending",#REF!)))</formula>
    </cfRule>
  </conditionalFormatting>
  <conditionalFormatting sqref="AA89">
    <cfRule type="containsText" dxfId="4369" priority="4232" operator="containsText" text="Pending">
      <formula>NOT(ISERROR(SEARCH("Pending",#REF!)))</formula>
    </cfRule>
    <cfRule type="containsText" dxfId="4368" priority="4231" operator="containsText" text="Done">
      <formula>NOT(ISERROR(SEARCH("Done",#REF!)))</formula>
    </cfRule>
    <cfRule type="containsText" dxfId="4367" priority="4229" operator="containsText" text="NA">
      <formula>NOT(ISERROR(SEARCH("NA",AA89)))</formula>
    </cfRule>
    <cfRule type="containsText" dxfId="4366" priority="4228" operator="containsText" text="NA">
      <formula>NOT(ISERROR(SEARCH("NA",#REF!)))</formula>
    </cfRule>
    <cfRule type="containsText" dxfId="4365" priority="4227" operator="containsText" text="Pending">
      <formula>NOT(ISERROR(SEARCH("Pending",#REF!)))</formula>
    </cfRule>
    <cfRule type="containsText" dxfId="4364" priority="4224" operator="containsText" text="NA">
      <formula>NOT(ISERROR(SEARCH("NA",AA89)))</formula>
    </cfRule>
    <cfRule type="containsText" dxfId="4363" priority="4230" operator="containsText" text="Done">
      <formula>NOT(ISERROR(SEARCH("Done",AA89)))</formula>
    </cfRule>
    <cfRule type="containsText" dxfId="4362" priority="4226" operator="containsText" text="Done">
      <formula>NOT(ISERROR(SEARCH("Done",#REF!)))</formula>
    </cfRule>
    <cfRule type="containsText" dxfId="4361" priority="4225" operator="containsText" text="Done">
      <formula>NOT(ISERROR(SEARCH("Done",AA89)))</formula>
    </cfRule>
    <cfRule type="containsText" dxfId="4360" priority="4233" operator="containsText" text="NA">
      <formula>NOT(ISERROR(SEARCH("NA",#REF!)))</formula>
    </cfRule>
  </conditionalFormatting>
  <conditionalFormatting sqref="AA18:AB18">
    <cfRule type="containsText" dxfId="4359" priority="127847" operator="containsText" text="NA">
      <formula>NOT(ISERROR(SEARCH("NA",Q52)))</formula>
    </cfRule>
    <cfRule type="containsText" dxfId="4358" priority="127827" operator="containsText" text="Done">
      <formula>NOT(ISERROR(SEARCH("Done",Q52)))</formula>
    </cfRule>
    <cfRule type="containsText" dxfId="4357" priority="127837" operator="containsText" text="Pending">
      <formula>NOT(ISERROR(SEARCH("Pending",Q52)))</formula>
    </cfRule>
  </conditionalFormatting>
  <conditionalFormatting sqref="AA19:AB19">
    <cfRule type="containsText" dxfId="4356" priority="123627" operator="containsText" text="Pending">
      <formula>NOT(ISERROR(SEARCH("Pending",X91)))</formula>
    </cfRule>
    <cfRule type="containsText" dxfId="4355" priority="123628" operator="containsText" text="Done">
      <formula>NOT(ISERROR(SEARCH("Done",X91)))</formula>
    </cfRule>
    <cfRule type="containsText" dxfId="4354" priority="123626" operator="containsText" text="NA">
      <formula>NOT(ISERROR(SEARCH("NA",X91)))</formula>
    </cfRule>
  </conditionalFormatting>
  <conditionalFormatting sqref="AA21:AB24">
    <cfRule type="containsText" dxfId="4353" priority="127850" operator="containsText" text="NA">
      <formula>NOT(ISERROR(SEARCH("NA",Q52)))</formula>
    </cfRule>
    <cfRule type="containsText" dxfId="4352" priority="127849" operator="containsText" text="NA">
      <formula>NOT(ISERROR(SEARCH("NA",Q52)))</formula>
    </cfRule>
    <cfRule type="containsText" dxfId="4351" priority="127829" operator="containsText" text="Done">
      <formula>NOT(ISERROR(SEARCH("Done",Q52)))</formula>
    </cfRule>
    <cfRule type="containsText" dxfId="4350" priority="127830" operator="containsText" text="Done">
      <formula>NOT(ISERROR(SEARCH("Done",Q52)))</formula>
    </cfRule>
    <cfRule type="containsText" dxfId="4349" priority="127828" operator="containsText" text="Done">
      <formula>NOT(ISERROR(SEARCH("Done",Q52)))</formula>
    </cfRule>
    <cfRule type="containsText" dxfId="4348" priority="127838" operator="containsText" text="Pending">
      <formula>NOT(ISERROR(SEARCH("Pending",Q52)))</formula>
    </cfRule>
    <cfRule type="containsText" dxfId="4347" priority="127839" operator="containsText" text="Pending">
      <formula>NOT(ISERROR(SEARCH("Pending",Q52)))</formula>
    </cfRule>
    <cfRule type="containsText" dxfId="4346" priority="127840" operator="containsText" text="Pending">
      <formula>NOT(ISERROR(SEARCH("Pending",Q52)))</formula>
    </cfRule>
    <cfRule type="containsText" dxfId="4345" priority="127848" operator="containsText" text="NA">
      <formula>NOT(ISERROR(SEARCH("NA",Q52)))</formula>
    </cfRule>
  </conditionalFormatting>
  <conditionalFormatting sqref="AA22:AB24">
    <cfRule type="containsText" dxfId="4344" priority="127841" operator="containsText" text="Pending">
      <formula>NOT(ISERROR(SEARCH("Pending",Q52)))</formula>
    </cfRule>
    <cfRule type="containsText" dxfId="4343" priority="127853" operator="containsText" text="NA">
      <formula>NOT(ISERROR(SEARCH("NA",Q52)))</formula>
    </cfRule>
    <cfRule type="containsText" dxfId="4342" priority="127852" operator="containsText" text="NA">
      <formula>NOT(ISERROR(SEARCH("NA",Q52)))</formula>
    </cfRule>
    <cfRule type="containsText" dxfId="4341" priority="127851" operator="containsText" text="NA">
      <formula>NOT(ISERROR(SEARCH("NA",Q52)))</formula>
    </cfRule>
    <cfRule type="containsText" dxfId="4340" priority="127843" operator="containsText" text="Pending">
      <formula>NOT(ISERROR(SEARCH("Pending",Q52)))</formula>
    </cfRule>
    <cfRule type="containsText" dxfId="4339" priority="127831" operator="containsText" text="Done">
      <formula>NOT(ISERROR(SEARCH("Done",Q52)))</formula>
    </cfRule>
    <cfRule type="containsText" dxfId="4338" priority="127832" operator="containsText" text="Done">
      <formula>NOT(ISERROR(SEARCH("Done",Q52)))</formula>
    </cfRule>
    <cfRule type="containsText" dxfId="4337" priority="127842" operator="containsText" text="Pending">
      <formula>NOT(ISERROR(SEARCH("Pending",Q52)))</formula>
    </cfRule>
    <cfRule type="containsText" dxfId="4336" priority="127833" operator="containsText" text="Done">
      <formula>NOT(ISERROR(SEARCH("Done",Q52)))</formula>
    </cfRule>
  </conditionalFormatting>
  <conditionalFormatting sqref="AA29:AB29 AB30:AB32">
    <cfRule type="containsText" dxfId="4335" priority="123401" operator="containsText" text="NA">
      <formula>NOT(ISERROR(SEARCH("NA",AA29)))</formula>
    </cfRule>
    <cfRule type="containsText" dxfId="4334" priority="123402" operator="containsText" text="Done">
      <formula>NOT(ISERROR(SEARCH("Done",AA29)))</formula>
    </cfRule>
    <cfRule type="containsText" dxfId="4333" priority="123403" operator="containsText" text="NA">
      <formula>NOT(ISERROR(SEARCH("NA",#REF!)))</formula>
    </cfRule>
    <cfRule type="containsText" dxfId="4332" priority="123404" operator="containsText" text="Done">
      <formula>NOT(ISERROR(SEARCH("Done",#REF!)))</formula>
    </cfRule>
    <cfRule type="containsText" dxfId="4331" priority="123405" operator="containsText" text="Pending">
      <formula>NOT(ISERROR(SEARCH("Pending",#REF!)))</formula>
    </cfRule>
    <cfRule type="containsText" dxfId="4330" priority="123406" operator="containsText" text="NA">
      <formula>NOT(ISERROR(SEARCH("NA",#REF!)))</formula>
    </cfRule>
  </conditionalFormatting>
  <conditionalFormatting sqref="AA29:AB29">
    <cfRule type="containsText" dxfId="4329" priority="75098" operator="containsText" text="NA">
      <formula>NOT(ISERROR(SEARCH("NA",#REF!)))</formula>
    </cfRule>
    <cfRule type="containsText" dxfId="4328" priority="75053" operator="containsText" text="NA">
      <formula>NOT(ISERROR(SEARCH("NA",#REF!)))</formula>
    </cfRule>
    <cfRule type="containsText" dxfId="4327" priority="75056" operator="containsText" text="NA">
      <formula>NOT(ISERROR(SEARCH("NA",#REF!)))</formula>
    </cfRule>
    <cfRule type="containsText" dxfId="4326" priority="75055" operator="containsText" text="Pending">
      <formula>NOT(ISERROR(SEARCH("Pending",#REF!)))</formula>
    </cfRule>
    <cfRule type="containsText" dxfId="4325" priority="75054" operator="containsText" text="Done">
      <formula>NOT(ISERROR(SEARCH("Done",#REF!)))</formula>
    </cfRule>
    <cfRule type="containsText" dxfId="4324" priority="75035" operator="containsText" text="Done">
      <formula>NOT(ISERROR(SEARCH("Done",#REF!)))</formula>
    </cfRule>
    <cfRule type="containsText" dxfId="4323" priority="75052" operator="containsText" text="NA">
      <formula>NOT(ISERROR(SEARCH("NA",#REF!)))</formula>
    </cfRule>
    <cfRule type="containsText" dxfId="4322" priority="75057" operator="containsText" text="Done">
      <formula>NOT(ISERROR(SEARCH("Done",#REF!)))</formula>
    </cfRule>
    <cfRule type="containsText" dxfId="4321" priority="75058" operator="containsText" text="Pending">
      <formula>NOT(ISERROR(SEARCH("Pending",#REF!)))</formula>
    </cfRule>
    <cfRule type="containsText" dxfId="4320" priority="75059" operator="containsText" text="NA">
      <formula>NOT(ISERROR(SEARCH("NA",#REF!)))</formula>
    </cfRule>
    <cfRule type="containsText" dxfId="4319" priority="75060" operator="containsText" text="NA">
      <formula>NOT(ISERROR(SEARCH("NA",#REF!)))</formula>
    </cfRule>
    <cfRule type="containsText" dxfId="4318" priority="75061" operator="containsText" text="Done">
      <formula>NOT(ISERROR(SEARCH("Done",#REF!)))</formula>
    </cfRule>
    <cfRule type="containsText" dxfId="4317" priority="75062" operator="containsText" text="Pending">
      <formula>NOT(ISERROR(SEARCH("Pending",#REF!)))</formula>
    </cfRule>
    <cfRule type="containsText" dxfId="4316" priority="75063" operator="containsText" text="NA">
      <formula>NOT(ISERROR(SEARCH("NA",#REF!)))</formula>
    </cfRule>
    <cfRule type="containsText" dxfId="4315" priority="75051" operator="containsText" text="Pending">
      <formula>NOT(ISERROR(SEARCH("Pending",#REF!)))</formula>
    </cfRule>
    <cfRule type="containsText" dxfId="4314" priority="75050" operator="containsText" text="Done">
      <formula>NOT(ISERROR(SEARCH("Done",#REF!)))</formula>
    </cfRule>
    <cfRule type="containsText" dxfId="4313" priority="75049" operator="containsText" text="NA">
      <formula>NOT(ISERROR(SEARCH("NA",#REF!)))</formula>
    </cfRule>
    <cfRule type="containsText" dxfId="4312" priority="75048" operator="containsText" text="NA">
      <formula>NOT(ISERROR(SEARCH("NA",#REF!)))</formula>
    </cfRule>
    <cfRule type="containsText" dxfId="4311" priority="75047" operator="containsText" text="Pending">
      <formula>NOT(ISERROR(SEARCH("Pending",#REF!)))</formula>
    </cfRule>
    <cfRule type="containsText" dxfId="4310" priority="75046" operator="containsText" text="Done">
      <formula>NOT(ISERROR(SEARCH("Done",#REF!)))</formula>
    </cfRule>
    <cfRule type="containsText" dxfId="4309" priority="75045" operator="containsText" text="NA">
      <formula>NOT(ISERROR(SEARCH("NA",#REF!)))</formula>
    </cfRule>
    <cfRule type="containsText" dxfId="4308" priority="75044" operator="containsText" text="NA">
      <formula>NOT(ISERROR(SEARCH("NA",#REF!)))</formula>
    </cfRule>
    <cfRule type="containsText" dxfId="4307" priority="75043" operator="containsText" text="Pending">
      <formula>NOT(ISERROR(SEARCH("Pending",#REF!)))</formula>
    </cfRule>
    <cfRule type="containsText" dxfId="4306" priority="75042" operator="containsText" text="Done">
      <formula>NOT(ISERROR(SEARCH("Done",#REF!)))</formula>
    </cfRule>
    <cfRule type="containsText" dxfId="4305" priority="75041" operator="containsText" text="NA">
      <formula>NOT(ISERROR(SEARCH("NA",#REF!)))</formula>
    </cfRule>
    <cfRule type="containsText" dxfId="4304" priority="75040" operator="containsText" text="NA">
      <formula>NOT(ISERROR(SEARCH("NA",#REF!)))</formula>
    </cfRule>
    <cfRule type="containsText" dxfId="4303" priority="75039" operator="containsText" text="Pending">
      <formula>NOT(ISERROR(SEARCH("Pending",#REF!)))</formula>
    </cfRule>
    <cfRule type="containsText" dxfId="4302" priority="75038" operator="containsText" text="Done">
      <formula>NOT(ISERROR(SEARCH("Done",#REF!)))</formula>
    </cfRule>
    <cfRule type="containsText" dxfId="4301" priority="75037" operator="containsText" text="NA">
      <formula>NOT(ISERROR(SEARCH("NA",#REF!)))</formula>
    </cfRule>
    <cfRule type="containsText" dxfId="4300" priority="75036" operator="containsText" text="Pending">
      <formula>NOT(ISERROR(SEARCH("Pending",#REF!)))</formula>
    </cfRule>
    <cfRule type="containsText" dxfId="4299" priority="75034" operator="containsText" text="NA">
      <formula>NOT(ISERROR(SEARCH("NA",#REF!)))</formula>
    </cfRule>
    <cfRule type="containsText" dxfId="4298" priority="75033" operator="containsText" text="NA">
      <formula>NOT(ISERROR(SEARCH("NA",#REF!)))</formula>
    </cfRule>
    <cfRule type="containsText" dxfId="4297" priority="75032" operator="containsText" text="Pending">
      <formula>NOT(ISERROR(SEARCH("Pending",#REF!)))</formula>
    </cfRule>
    <cfRule type="containsText" dxfId="4296" priority="75031" operator="containsText" text="Done">
      <formula>NOT(ISERROR(SEARCH("Done",#REF!)))</formula>
    </cfRule>
    <cfRule type="containsText" dxfId="4295" priority="75030" operator="containsText" text="NA">
      <formula>NOT(ISERROR(SEARCH("NA",#REF!)))</formula>
    </cfRule>
    <cfRule type="containsText" dxfId="4294" priority="75064" operator="containsText" text="NA">
      <formula>NOT(ISERROR(SEARCH("NA",AA29)))</formula>
    </cfRule>
    <cfRule type="containsText" dxfId="4293" priority="75105" operator="containsText" text="NA">
      <formula>NOT(ISERROR(SEARCH("NA",#REF!)))</formula>
    </cfRule>
    <cfRule type="containsText" dxfId="4292" priority="75104" operator="containsText" text="Pending">
      <formula>NOT(ISERROR(SEARCH("Pending",#REF!)))</formula>
    </cfRule>
    <cfRule type="containsText" dxfId="4291" priority="75103" operator="containsText" text="Done">
      <formula>NOT(ISERROR(SEARCH("Done",#REF!)))</formula>
    </cfRule>
    <cfRule type="containsText" dxfId="4290" priority="75102" operator="containsText" text="NA">
      <formula>NOT(ISERROR(SEARCH("NA",#REF!)))</formula>
    </cfRule>
    <cfRule type="containsText" dxfId="4289" priority="75101" operator="containsText" text="NA">
      <formula>NOT(ISERROR(SEARCH("NA",#REF!)))</formula>
    </cfRule>
    <cfRule type="containsText" dxfId="4288" priority="75099" operator="containsText" text="Done">
      <formula>NOT(ISERROR(SEARCH("Done",#REF!)))</formula>
    </cfRule>
    <cfRule type="containsText" dxfId="4287" priority="75097" operator="containsText" text="Done">
      <formula>NOT(ISERROR(SEARCH("Done",AA29)))</formula>
    </cfRule>
    <cfRule type="containsText" dxfId="4286" priority="75096" operator="containsText" text="Pending">
      <formula>NOT(ISERROR(SEARCH("Pending",AA29)))</formula>
    </cfRule>
    <cfRule type="containsText" dxfId="4285" priority="75095" operator="containsText" text="NA">
      <formula>NOT(ISERROR(SEARCH("NA",AA29)))</formula>
    </cfRule>
    <cfRule type="containsText" dxfId="4284" priority="75094" operator="containsText" text="NA">
      <formula>NOT(ISERROR(SEARCH("NA",#REF!)))</formula>
    </cfRule>
    <cfRule type="containsText" dxfId="4283" priority="75093" operator="containsText" text="Pending">
      <formula>NOT(ISERROR(SEARCH("Pending",#REF!)))</formula>
    </cfRule>
    <cfRule type="containsText" dxfId="4282" priority="75092" operator="containsText" text="Done">
      <formula>NOT(ISERROR(SEARCH("Done",#REF!)))</formula>
    </cfRule>
    <cfRule type="containsText" dxfId="4281" priority="75091" operator="containsText" text="NA">
      <formula>NOT(ISERROR(SEARCH("NA",#REF!)))</formula>
    </cfRule>
    <cfRule type="containsText" dxfId="4280" priority="75090" operator="containsText" text="Done">
      <formula>NOT(ISERROR(SEARCH("Done",AA29)))</formula>
    </cfRule>
    <cfRule type="containsText" dxfId="4279" priority="75089" operator="containsText" text="NA">
      <formula>NOT(ISERROR(SEARCH("NA",AA29)))</formula>
    </cfRule>
    <cfRule type="containsText" dxfId="4278" priority="75088" operator="containsText" text="NA">
      <formula>NOT(ISERROR(SEARCH("NA",#REF!)))</formula>
    </cfRule>
    <cfRule type="containsText" dxfId="4277" priority="75087" operator="containsText" text="Pending">
      <formula>NOT(ISERROR(SEARCH("Pending",#REF!)))</formula>
    </cfRule>
    <cfRule type="containsText" dxfId="4276" priority="75086" operator="containsText" text="Done">
      <formula>NOT(ISERROR(SEARCH("Done",#REF!)))</formula>
    </cfRule>
    <cfRule type="containsText" dxfId="4275" priority="75085" operator="containsText" text="NA">
      <formula>NOT(ISERROR(SEARCH("NA",#REF!)))</formula>
    </cfRule>
    <cfRule type="containsText" dxfId="4274" priority="75084" operator="containsText" text="NA">
      <formula>NOT(ISERROR(SEARCH("NA",#REF!)))</formula>
    </cfRule>
    <cfRule type="containsText" dxfId="4273" priority="75083" operator="containsText" text="Pending">
      <formula>NOT(ISERROR(SEARCH("Pending",#REF!)))</formula>
    </cfRule>
    <cfRule type="containsText" dxfId="4272" priority="75082" operator="containsText" text="Done">
      <formula>NOT(ISERROR(SEARCH("Done",#REF!)))</formula>
    </cfRule>
    <cfRule type="containsText" dxfId="4271" priority="75081" operator="containsText" text="NA">
      <formula>NOT(ISERROR(SEARCH("NA",#REF!)))</formula>
    </cfRule>
    <cfRule type="containsText" dxfId="4270" priority="75080" operator="containsText" text="Pending">
      <formula>NOT(ISERROR(SEARCH("Pending",#REF!)))</formula>
    </cfRule>
    <cfRule type="containsText" dxfId="4269" priority="75079" operator="containsText" text="Done">
      <formula>NOT(ISERROR(SEARCH("Done",#REF!)))</formula>
    </cfRule>
    <cfRule type="containsText" dxfId="4268" priority="75078" operator="containsText" text="NA">
      <formula>NOT(ISERROR(SEARCH("NA",#REF!)))</formula>
    </cfRule>
    <cfRule type="containsText" dxfId="4267" priority="75077" operator="containsText" text="NA">
      <formula>NOT(ISERROR(SEARCH("NA",#REF!)))</formula>
    </cfRule>
    <cfRule type="containsText" dxfId="4266" priority="75076" operator="containsText" text="Pending">
      <formula>NOT(ISERROR(SEARCH("Pending",#REF!)))</formula>
    </cfRule>
    <cfRule type="containsText" dxfId="4265" priority="75075" operator="containsText" text="Done">
      <formula>NOT(ISERROR(SEARCH("Done",#REF!)))</formula>
    </cfRule>
    <cfRule type="containsText" dxfId="4264" priority="75074" operator="containsText" text="NA">
      <formula>NOT(ISERROR(SEARCH("NA",#REF!)))</formula>
    </cfRule>
    <cfRule type="containsText" dxfId="4263" priority="75065" operator="containsText" text="Pending">
      <formula>NOT(ISERROR(SEARCH("Pending",AA29)))</formula>
    </cfRule>
    <cfRule type="containsText" dxfId="4262" priority="75066" operator="containsText" text="Done">
      <formula>NOT(ISERROR(SEARCH("Done",AA29)))</formula>
    </cfRule>
    <cfRule type="containsText" dxfId="4261" priority="75067" operator="containsText" text="NA">
      <formula>NOT(ISERROR(SEARCH("NA",#REF!)))</formula>
    </cfRule>
    <cfRule type="containsText" dxfId="4260" priority="75100" operator="containsText" text="Pending">
      <formula>NOT(ISERROR(SEARCH("Pending",#REF!)))</formula>
    </cfRule>
    <cfRule type="containsText" dxfId="4259" priority="75068" operator="containsText" text="Done">
      <formula>NOT(ISERROR(SEARCH("Done",#REF!)))</formula>
    </cfRule>
    <cfRule type="containsText" dxfId="4258" priority="75069" operator="containsText" text="Pending">
      <formula>NOT(ISERROR(SEARCH("Pending",#REF!)))</formula>
    </cfRule>
    <cfRule type="containsText" dxfId="4257" priority="75070" operator="containsText" text="NA">
      <formula>NOT(ISERROR(SEARCH("NA",#REF!)))</formula>
    </cfRule>
    <cfRule type="containsText" dxfId="4256" priority="75071" operator="containsText" text="Done">
      <formula>NOT(ISERROR(SEARCH("Done",#REF!)))</formula>
    </cfRule>
    <cfRule type="containsText" dxfId="4255" priority="75072" operator="containsText" text="Pending">
      <formula>NOT(ISERROR(SEARCH("Pending",#REF!)))</formula>
    </cfRule>
    <cfRule type="containsText" dxfId="4254" priority="75073" operator="containsText" text="NA">
      <formula>NOT(ISERROR(SEARCH("NA",#REF!)))</formula>
    </cfRule>
  </conditionalFormatting>
  <conditionalFormatting sqref="AA29:AB30">
    <cfRule type="containsText" dxfId="4253" priority="3443" operator="containsText" text="Pending">
      <formula>NOT(ISERROR(SEARCH("Pending",#REF!)))</formula>
    </cfRule>
    <cfRule type="containsText" dxfId="4252" priority="3444" operator="containsText" text="NA">
      <formula>NOT(ISERROR(SEARCH("NA",#REF!)))</formula>
    </cfRule>
    <cfRule type="containsText" dxfId="4251" priority="3445" operator="containsText" text="NA">
      <formula>NOT(ISERROR(SEARCH("NA",#REF!)))</formula>
    </cfRule>
    <cfRule type="containsText" dxfId="4250" priority="3446" operator="containsText" text="Done">
      <formula>NOT(ISERROR(SEARCH("Done",#REF!)))</formula>
    </cfRule>
    <cfRule type="containsText" dxfId="4249" priority="3447" operator="containsText" text="Pending">
      <formula>NOT(ISERROR(SEARCH("Pending",#REF!)))</formula>
    </cfRule>
    <cfRule type="containsText" dxfId="4248" priority="3448" operator="containsText" text="NA">
      <formula>NOT(ISERROR(SEARCH("NA",#REF!)))</formula>
    </cfRule>
    <cfRule type="containsText" dxfId="4247" priority="3449" operator="containsText" text="NA">
      <formula>NOT(ISERROR(SEARCH("NA",#REF!)))</formula>
    </cfRule>
    <cfRule type="containsText" dxfId="4246" priority="3464" operator="containsText" text="NA">
      <formula>NOT(ISERROR(SEARCH("NA",#REF!)))</formula>
    </cfRule>
    <cfRule type="containsText" dxfId="4245" priority="3452" operator="containsText" text="NA">
      <formula>NOT(ISERROR(SEARCH("NA",#REF!)))</formula>
    </cfRule>
    <cfRule type="containsText" dxfId="4244" priority="3465" operator="containsText" text="Done">
      <formula>NOT(ISERROR(SEARCH("Done",#REF!)))</formula>
    </cfRule>
    <cfRule type="containsText" dxfId="4243" priority="3466" operator="containsText" text="Pending">
      <formula>NOT(ISERROR(SEARCH("Pending",#REF!)))</formula>
    </cfRule>
    <cfRule type="containsText" dxfId="4242" priority="3467" operator="containsText" text="NA">
      <formula>NOT(ISERROR(SEARCH("NA",#REF!)))</formula>
    </cfRule>
    <cfRule type="containsText" dxfId="4241" priority="3453" operator="containsText" text="NA">
      <formula>NOT(ISERROR(SEARCH("NA",#REF!)))</formula>
    </cfRule>
    <cfRule type="containsText" dxfId="4240" priority="3450" operator="containsText" text="Done">
      <formula>NOT(ISERROR(SEARCH("Done",#REF!)))</formula>
    </cfRule>
    <cfRule type="containsText" dxfId="4239" priority="3454" operator="containsText" text="Done">
      <formula>NOT(ISERROR(SEARCH("Done",#REF!)))</formula>
    </cfRule>
    <cfRule type="containsText" dxfId="4238" priority="3490" operator="containsText" text="Done">
      <formula>NOT(ISERROR(SEARCH("Done",#REF!)))</formula>
    </cfRule>
    <cfRule type="containsText" dxfId="4237" priority="3455" operator="containsText" text="Pending">
      <formula>NOT(ISERROR(SEARCH("Pending",#REF!)))</formula>
    </cfRule>
    <cfRule type="containsText" dxfId="4236" priority="3456" operator="containsText" text="NA">
      <formula>NOT(ISERROR(SEARCH("NA",#REF!)))</formula>
    </cfRule>
    <cfRule type="containsText" dxfId="4235" priority="3457" operator="containsText" text="Done">
      <formula>NOT(ISERROR(SEARCH("Done",#REF!)))</formula>
    </cfRule>
    <cfRule type="containsText" dxfId="4234" priority="3458" operator="containsText" text="Pending">
      <formula>NOT(ISERROR(SEARCH("Pending",#REF!)))</formula>
    </cfRule>
    <cfRule type="containsText" dxfId="4233" priority="3459" operator="containsText" text="NA">
      <formula>NOT(ISERROR(SEARCH("NA",#REF!)))</formula>
    </cfRule>
    <cfRule type="containsText" dxfId="4232" priority="3460" operator="containsText" text="NA">
      <formula>NOT(ISERROR(SEARCH("NA",#REF!)))</formula>
    </cfRule>
    <cfRule type="containsText" dxfId="4231" priority="3468" operator="containsText" text="Done">
      <formula>NOT(ISERROR(SEARCH("Done",#REF!)))</formula>
    </cfRule>
    <cfRule type="containsText" dxfId="4230" priority="3461" operator="containsText" text="Done">
      <formula>NOT(ISERROR(SEARCH("Done",#REF!)))</formula>
    </cfRule>
    <cfRule type="containsText" dxfId="4229" priority="3439" operator="containsText" text="Done">
      <formula>NOT(ISERROR(SEARCH("Done",#REF!)))</formula>
    </cfRule>
    <cfRule type="containsText" dxfId="4228" priority="3462" operator="containsText" text="Pending">
      <formula>NOT(ISERROR(SEARCH("Pending",#REF!)))</formula>
    </cfRule>
    <cfRule type="containsText" dxfId="4227" priority="3463" operator="containsText" text="NA">
      <formula>NOT(ISERROR(SEARCH("NA",#REF!)))</formula>
    </cfRule>
    <cfRule type="containsText" dxfId="4226" priority="3469" operator="containsText" text="Pending">
      <formula>NOT(ISERROR(SEARCH("Pending",#REF!)))</formula>
    </cfRule>
    <cfRule type="containsText" dxfId="4225" priority="3470" operator="containsText" text="NA">
      <formula>NOT(ISERROR(SEARCH("NA",#REF!)))</formula>
    </cfRule>
    <cfRule type="containsText" dxfId="4224" priority="3471" operator="containsText" text="NA">
      <formula>NOT(ISERROR(SEARCH("NA",#REF!)))</formula>
    </cfRule>
    <cfRule type="containsText" dxfId="4223" priority="3472" operator="containsText" text="Done">
      <formula>NOT(ISERROR(SEARCH("Done",#REF!)))</formula>
    </cfRule>
    <cfRule type="containsText" dxfId="4222" priority="3473" operator="containsText" text="Pending">
      <formula>NOT(ISERROR(SEARCH("Pending",#REF!)))</formula>
    </cfRule>
    <cfRule type="containsText" dxfId="4221" priority="3474" operator="containsText" text="NA">
      <formula>NOT(ISERROR(SEARCH("NA",#REF!)))</formula>
    </cfRule>
    <cfRule type="containsText" dxfId="4220" priority="3475" operator="containsText" text="NA">
      <formula>NOT(ISERROR(SEARCH("NA",#REF!)))</formula>
    </cfRule>
    <cfRule type="containsText" dxfId="4219" priority="3482" operator="containsText" text="NA">
      <formula>NOT(ISERROR(SEARCH("NA",#REF!)))</formula>
    </cfRule>
    <cfRule type="containsText" dxfId="4218" priority="3483" operator="containsText" text="NA">
      <formula>NOT(ISERROR(SEARCH("NA",AA29)))</formula>
    </cfRule>
    <cfRule type="containsText" dxfId="4217" priority="3484" operator="containsText" text="Done">
      <formula>NOT(ISERROR(SEARCH("Done",AA29)))</formula>
    </cfRule>
    <cfRule type="containsText" dxfId="4216" priority="3485" operator="containsText" text="NA">
      <formula>NOT(ISERROR(SEARCH("NA",#REF!)))</formula>
    </cfRule>
    <cfRule type="containsText" dxfId="4215" priority="3486" operator="containsText" text="Done">
      <formula>NOT(ISERROR(SEARCH("Done",#REF!)))</formula>
    </cfRule>
    <cfRule type="containsText" dxfId="4214" priority="3487" operator="containsText" text="Pending">
      <formula>NOT(ISERROR(SEARCH("Pending",#REF!)))</formula>
    </cfRule>
    <cfRule type="containsText" dxfId="4213" priority="3491" operator="containsText" text="Pending">
      <formula>NOT(ISERROR(SEARCH("Pending",#REF!)))</formula>
    </cfRule>
    <cfRule type="containsText" dxfId="4212" priority="3492" operator="containsText" text="NA">
      <formula>NOT(ISERROR(SEARCH("NA",#REF!)))</formula>
    </cfRule>
    <cfRule type="containsText" dxfId="4211" priority="3493" operator="containsText" text="Done">
      <formula>NOT(ISERROR(SEARCH("Done",#REF!)))</formula>
    </cfRule>
    <cfRule type="containsText" dxfId="4210" priority="3494" operator="containsText" text="Pending">
      <formula>NOT(ISERROR(SEARCH("Pending",#REF!)))</formula>
    </cfRule>
    <cfRule type="containsText" dxfId="4209" priority="3495" operator="containsText" text="NA">
      <formula>NOT(ISERROR(SEARCH("NA",#REF!)))</formula>
    </cfRule>
    <cfRule type="containsText" dxfId="4208" priority="3496" operator="containsText" text="NA">
      <formula>NOT(ISERROR(SEARCH("NA",#REF!)))</formula>
    </cfRule>
    <cfRule type="containsText" dxfId="4207" priority="3497" operator="containsText" text="Done">
      <formula>NOT(ISERROR(SEARCH("Done",#REF!)))</formula>
    </cfRule>
    <cfRule type="containsText" dxfId="4206" priority="3498" operator="containsText" text="Pending">
      <formula>NOT(ISERROR(SEARCH("Pending",#REF!)))</formula>
    </cfRule>
    <cfRule type="containsText" dxfId="4205" priority="3499" operator="containsText" text="NA">
      <formula>NOT(ISERROR(SEARCH("NA",#REF!)))</formula>
    </cfRule>
    <cfRule type="containsText" dxfId="4204" priority="3488" operator="containsText" text="NA">
      <formula>NOT(ISERROR(SEARCH("NA",#REF!)))</formula>
    </cfRule>
    <cfRule type="containsText" dxfId="4203" priority="3489" operator="containsText" text="NA">
      <formula>NOT(ISERROR(SEARCH("NA",#REF!)))</formula>
    </cfRule>
    <cfRule type="containsText" dxfId="4202" priority="3440" operator="containsText" text="Pending">
      <formula>NOT(ISERROR(SEARCH("Pending",#REF!)))</formula>
    </cfRule>
    <cfRule type="containsText" dxfId="4201" priority="3451" operator="containsText" text="Pending">
      <formula>NOT(ISERROR(SEARCH("Pending",#REF!)))</formula>
    </cfRule>
    <cfRule type="containsText" dxfId="4200" priority="3476" operator="containsText" text="Done">
      <formula>NOT(ISERROR(SEARCH("Done",#REF!)))</formula>
    </cfRule>
    <cfRule type="containsText" dxfId="4199" priority="3477" operator="containsText" text="Pending">
      <formula>NOT(ISERROR(SEARCH("Pending",#REF!)))</formula>
    </cfRule>
    <cfRule type="containsText" dxfId="4198" priority="3441" operator="containsText" text="NA">
      <formula>NOT(ISERROR(SEARCH("NA",#REF!)))</formula>
    </cfRule>
    <cfRule type="containsText" dxfId="4197" priority="3428" operator="containsText" text="Done">
      <formula>NOT(ISERROR(SEARCH("Done",#REF!)))</formula>
    </cfRule>
    <cfRule type="containsText" dxfId="4196" priority="3427" operator="containsText" text="NA">
      <formula>NOT(ISERROR(SEARCH("NA",#REF!)))</formula>
    </cfRule>
    <cfRule type="containsText" dxfId="4195" priority="3426" operator="containsText" text="NA">
      <formula>NOT(ISERROR(SEARCH("NA",#REF!)))</formula>
    </cfRule>
    <cfRule type="containsText" dxfId="4194" priority="3425" operator="containsText" text="Pending">
      <formula>NOT(ISERROR(SEARCH("Pending",#REF!)))</formula>
    </cfRule>
    <cfRule type="containsText" dxfId="4193" priority="3424" operator="containsText" text="Done">
      <formula>NOT(ISERROR(SEARCH("Done",#REF!)))</formula>
    </cfRule>
    <cfRule type="containsText" dxfId="4192" priority="3423" operator="containsText" text="NA">
      <formula>NOT(ISERROR(SEARCH("NA",#REF!)))</formula>
    </cfRule>
    <cfRule type="containsText" dxfId="4191" priority="3422" operator="containsText" text="NA">
      <formula>NOT(ISERROR(SEARCH("NA",#REF!)))</formula>
    </cfRule>
    <cfRule type="containsText" dxfId="4190" priority="3421" operator="containsText" text="Pending">
      <formula>NOT(ISERROR(SEARCH("Pending",#REF!)))</formula>
    </cfRule>
    <cfRule type="containsText" dxfId="4189" priority="3420" operator="containsText" text="Done">
      <formula>NOT(ISERROR(SEARCH("Done",#REF!)))</formula>
    </cfRule>
    <cfRule type="containsText" dxfId="4188" priority="3419" operator="containsText" text="NA">
      <formula>NOT(ISERROR(SEARCH("NA",#REF!)))</formula>
    </cfRule>
    <cfRule type="containsText" dxfId="4187" priority="3418" operator="containsText" text="NA">
      <formula>NOT(ISERROR(SEARCH("NA",#REF!)))</formula>
    </cfRule>
    <cfRule type="containsText" dxfId="4186" priority="3417" operator="containsText" text="Pending">
      <formula>NOT(ISERROR(SEARCH("Pending",#REF!)))</formula>
    </cfRule>
    <cfRule type="containsText" dxfId="4185" priority="3416" operator="containsText" text="Done">
      <formula>NOT(ISERROR(SEARCH("Done",#REF!)))</formula>
    </cfRule>
    <cfRule type="containsText" dxfId="4184" priority="3415" operator="containsText" text="NA">
      <formula>NOT(ISERROR(SEARCH("NA",#REF!)))</formula>
    </cfRule>
    <cfRule type="containsText" dxfId="4183" priority="3478" operator="containsText" text="NA">
      <formula>NOT(ISERROR(SEARCH("NA",#REF!)))</formula>
    </cfRule>
    <cfRule type="containsText" dxfId="4182" priority="3479" operator="containsText" text="Done">
      <formula>NOT(ISERROR(SEARCH("Done",#REF!)))</formula>
    </cfRule>
    <cfRule type="containsText" dxfId="4181" priority="3480" operator="containsText" text="Pending">
      <formula>NOT(ISERROR(SEARCH("Pending",#REF!)))</formula>
    </cfRule>
    <cfRule type="containsText" dxfId="4180" priority="3435" operator="containsText" text="Done">
      <formula>NOT(ISERROR(SEARCH("Done",#REF!)))</formula>
    </cfRule>
    <cfRule type="containsText" dxfId="4179" priority="3436" operator="containsText" text="Pending">
      <formula>NOT(ISERROR(SEARCH("Pending",#REF!)))</formula>
    </cfRule>
    <cfRule type="containsText" dxfId="4178" priority="3437" operator="containsText" text="NA">
      <formula>NOT(ISERROR(SEARCH("NA",#REF!)))</formula>
    </cfRule>
    <cfRule type="containsText" dxfId="4177" priority="3438" operator="containsText" text="NA">
      <formula>NOT(ISERROR(SEARCH("NA",#REF!)))</formula>
    </cfRule>
    <cfRule type="containsText" dxfId="4176" priority="3429" operator="containsText" text="Pending">
      <formula>NOT(ISERROR(SEARCH("Pending",#REF!)))</formula>
    </cfRule>
    <cfRule type="containsText" dxfId="4175" priority="3481" operator="containsText" text="NA">
      <formula>NOT(ISERROR(SEARCH("NA",#REF!)))</formula>
    </cfRule>
    <cfRule type="containsText" dxfId="4174" priority="3442" operator="containsText" text="Done">
      <formula>NOT(ISERROR(SEARCH("Done",#REF!)))</formula>
    </cfRule>
    <cfRule type="containsText" dxfId="4173" priority="3434" operator="containsText" text="NA">
      <formula>NOT(ISERROR(SEARCH("NA",#REF!)))</formula>
    </cfRule>
    <cfRule type="containsText" dxfId="4172" priority="3433" operator="containsText" text="NA">
      <formula>NOT(ISERROR(SEARCH("NA",#REF!)))</formula>
    </cfRule>
    <cfRule type="containsText" dxfId="4171" priority="3432" operator="containsText" text="Pending">
      <formula>NOT(ISERROR(SEARCH("Pending",#REF!)))</formula>
    </cfRule>
    <cfRule type="containsText" dxfId="4170" priority="3431" operator="containsText" text="Done">
      <formula>NOT(ISERROR(SEARCH("Done",#REF!)))</formula>
    </cfRule>
    <cfRule type="containsText" dxfId="4169" priority="3430" operator="containsText" text="NA">
      <formula>NOT(ISERROR(SEARCH("NA",#REF!)))</formula>
    </cfRule>
  </conditionalFormatting>
  <conditionalFormatting sqref="AA30:AB32">
    <cfRule type="containsText" dxfId="4168" priority="123346" operator="containsText" text="NA">
      <formula>NOT(ISERROR(SEARCH("NA",AA30)))</formula>
    </cfRule>
    <cfRule type="containsText" dxfId="4167" priority="123355" operator="containsText" text="NA">
      <formula>NOT(ISERROR(SEARCH("NA",#REF!)))</formula>
    </cfRule>
    <cfRule type="containsText" dxfId="4166" priority="123356" operator="containsText" text="Done">
      <formula>NOT(ISERROR(SEARCH("Done",#REF!)))</formula>
    </cfRule>
    <cfRule type="containsText" dxfId="4165" priority="123347" operator="containsText" text="Done">
      <formula>NOT(ISERROR(SEARCH("Done",AA30)))</formula>
    </cfRule>
    <cfRule type="containsText" dxfId="4164" priority="123357" operator="containsText" text="Pending">
      <formula>NOT(ISERROR(SEARCH("Pending",#REF!)))</formula>
    </cfRule>
    <cfRule type="containsText" dxfId="4163" priority="123358" operator="containsText" text="NA">
      <formula>NOT(ISERROR(SEARCH("NA",#REF!)))</formula>
    </cfRule>
    <cfRule type="containsText" dxfId="4162" priority="123348" operator="containsText" text="NA">
      <formula>NOT(ISERROR(SEARCH("NA",#REF!)))</formula>
    </cfRule>
    <cfRule type="containsText" dxfId="4161" priority="123349" operator="containsText" text="Done">
      <formula>NOT(ISERROR(SEARCH("Done",#REF!)))</formula>
    </cfRule>
    <cfRule type="containsText" dxfId="4160" priority="123350" operator="containsText" text="Pending">
      <formula>NOT(ISERROR(SEARCH("Pending",#REF!)))</formula>
    </cfRule>
    <cfRule type="containsText" dxfId="4159" priority="123351" operator="containsText" text="NA">
      <formula>NOT(ISERROR(SEARCH("NA",#REF!)))</formula>
    </cfRule>
    <cfRule type="containsText" dxfId="4158" priority="123352" operator="containsText" text="NA">
      <formula>NOT(ISERROR(SEARCH("NA",AA30)))</formula>
    </cfRule>
    <cfRule type="containsText" dxfId="4157" priority="123353" operator="containsText" text="Pending">
      <formula>NOT(ISERROR(SEARCH("Pending",AA30)))</formula>
    </cfRule>
    <cfRule type="containsText" dxfId="4156" priority="123354" operator="containsText" text="Done">
      <formula>NOT(ISERROR(SEARCH("Done",AA30)))</formula>
    </cfRule>
  </conditionalFormatting>
  <conditionalFormatting sqref="AA49:AB53">
    <cfRule type="containsText" dxfId="4155" priority="127348" operator="containsText" text="NA">
      <formula>NOT(ISERROR(SEARCH("NA",#REF!)))</formula>
    </cfRule>
    <cfRule type="containsText" dxfId="4154" priority="127347" operator="containsText" text="NA">
      <formula>NOT(ISERROR(SEARCH("NA",#REF!)))</formula>
    </cfRule>
    <cfRule type="containsText" dxfId="4153" priority="127346" operator="containsText" text="Pending">
      <formula>NOT(ISERROR(SEARCH("Pending",#REF!)))</formula>
    </cfRule>
    <cfRule type="containsText" dxfId="4152" priority="127345" operator="containsText" text="Pending">
      <formula>NOT(ISERROR(SEARCH("Pending",#REF!)))</formula>
    </cfRule>
    <cfRule type="containsText" dxfId="4151" priority="127344" operator="containsText" text="Pending">
      <formula>NOT(ISERROR(SEARCH("Pending",#REF!)))</formula>
    </cfRule>
    <cfRule type="containsText" dxfId="4150" priority="127341" operator="containsText" text="Done">
      <formula>NOT(ISERROR(SEARCH("Done",#REF!)))</formula>
    </cfRule>
    <cfRule type="containsText" dxfId="4149" priority="127349" operator="containsText" text="NA">
      <formula>NOT(ISERROR(SEARCH("NA",#REF!)))</formula>
    </cfRule>
  </conditionalFormatting>
  <conditionalFormatting sqref="AA77:AB83">
    <cfRule type="containsText" dxfId="4148" priority="109326" operator="containsText" text="Pending">
      <formula>NOT(ISERROR(SEARCH("Pending",#REF!)))</formula>
    </cfRule>
  </conditionalFormatting>
  <conditionalFormatting sqref="AA78:AB83">
    <cfRule type="containsText" dxfId="4147" priority="4009" operator="containsText" text="NA">
      <formula>NOT(ISERROR(SEARCH("NA",#REF!)))</formula>
    </cfRule>
    <cfRule type="containsText" dxfId="4146" priority="4002" operator="containsText" text="NA">
      <formula>NOT(ISERROR(SEARCH("NA",#REF!)))</formula>
    </cfRule>
    <cfRule type="containsText" dxfId="4145" priority="4012" operator="containsText" text="NA">
      <formula>NOT(ISERROR(SEARCH("NA",#REF!)))</formula>
    </cfRule>
    <cfRule type="containsText" dxfId="4144" priority="4011" operator="containsText" text="Pending">
      <formula>NOT(ISERROR(SEARCH("Pending",#REF!)))</formula>
    </cfRule>
    <cfRule type="containsText" dxfId="4143" priority="4010" operator="containsText" text="NA">
      <formula>NOT(ISERROR(SEARCH("NA",#REF!)))</formula>
    </cfRule>
    <cfRule type="containsText" dxfId="4142" priority="4001" operator="containsText" text="NA">
      <formula>NOT(ISERROR(SEARCH("NA",#REF!)))</formula>
    </cfRule>
    <cfRule type="containsText" dxfId="4141" priority="4008" operator="containsText" text="NA">
      <formula>NOT(ISERROR(SEARCH("NA",#REF!)))</formula>
    </cfRule>
    <cfRule type="containsText" dxfId="4140" priority="4007" operator="containsText" text="Pending">
      <formula>NOT(ISERROR(SEARCH("Pending",#REF!)))</formula>
    </cfRule>
    <cfRule type="containsText" dxfId="4139" priority="109330" operator="containsText" text="Pending">
      <formula>NOT(ISERROR(SEARCH("Pending",#REF!)))</formula>
    </cfRule>
    <cfRule type="containsText" dxfId="4138" priority="3996" operator="containsText" text="Pending">
      <formula>NOT(ISERROR(SEARCH("Pending",#REF!)))</formula>
    </cfRule>
    <cfRule type="containsText" dxfId="4137" priority="3997" operator="containsText" text="NA">
      <formula>NOT(ISERROR(SEARCH("NA",#REF!)))</formula>
    </cfRule>
    <cfRule type="containsText" dxfId="4136" priority="4006" operator="containsText" text="Pending">
      <formula>NOT(ISERROR(SEARCH("Pending",#REF!)))</formula>
    </cfRule>
    <cfRule type="containsText" dxfId="4135" priority="3998" operator="containsText" text="Done">
      <formula>NOT(ISERROR(SEARCH("Done",#REF!)))</formula>
    </cfRule>
    <cfRule type="containsText" dxfId="4134" priority="3999" operator="containsText" text="Pending">
      <formula>NOT(ISERROR(SEARCH("Pending",#REF!)))</formula>
    </cfRule>
    <cfRule type="containsText" dxfId="4133" priority="4020" operator="containsText" text="NA">
      <formula>NOT(ISERROR(SEARCH("NA",#REF!)))</formula>
    </cfRule>
    <cfRule type="containsText" dxfId="4132" priority="4019" operator="containsText" text="NA">
      <formula>NOT(ISERROR(SEARCH("NA",#REF!)))</formula>
    </cfRule>
    <cfRule type="containsText" dxfId="4131" priority="4018" operator="containsText" text="NA">
      <formula>NOT(ISERROR(SEARCH("NA",#REF!)))</formula>
    </cfRule>
    <cfRule type="containsText" dxfId="4130" priority="4017" operator="containsText" text="Pending">
      <formula>NOT(ISERROR(SEARCH("Pending",#REF!)))</formula>
    </cfRule>
    <cfRule type="containsText" dxfId="4129" priority="4000" operator="containsText" text="Pending">
      <formula>NOT(ISERROR(SEARCH("Pending",#REF!)))</formula>
    </cfRule>
    <cfRule type="containsText" dxfId="4128" priority="4016" operator="containsText" text="Pending">
      <formula>NOT(ISERROR(SEARCH("Pending",#REF!)))</formula>
    </cfRule>
    <cfRule type="containsText" dxfId="4127" priority="4015" operator="containsText" text="Pending">
      <formula>NOT(ISERROR(SEARCH("Pending",#REF!)))</formula>
    </cfRule>
    <cfRule type="containsText" dxfId="4126" priority="4014" operator="containsText" text="Done">
      <formula>NOT(ISERROR(SEARCH("Done",#REF!)))</formula>
    </cfRule>
    <cfRule type="containsText" dxfId="4125" priority="4013" operator="containsText" text="Done">
      <formula>NOT(ISERROR(SEARCH("Done",#REF!)))</formula>
    </cfRule>
    <cfRule type="containsText" dxfId="4124" priority="4005" operator="containsText" text="Pending">
      <formula>NOT(ISERROR(SEARCH("Pending",#REF!)))</formula>
    </cfRule>
    <cfRule type="containsText" dxfId="4123" priority="4004" operator="containsText" text="Done">
      <formula>NOT(ISERROR(SEARCH("Done",#REF!)))</formula>
    </cfRule>
    <cfRule type="containsText" dxfId="4122" priority="4003" operator="containsText" text="Done">
      <formula>NOT(ISERROR(SEARCH("Done",#REF!)))</formula>
    </cfRule>
  </conditionalFormatting>
  <conditionalFormatting sqref="AA81:AB81">
    <cfRule type="containsText" dxfId="4121" priority="293" operator="containsText" text="NA">
      <formula>NOT(ISERROR(SEARCH("NA",#REF!)))</formula>
    </cfRule>
    <cfRule type="containsText" dxfId="4120" priority="242" operator="containsText" text="Pending">
      <formula>NOT(ISERROR(SEARCH("Pending",#REF!)))</formula>
    </cfRule>
    <cfRule type="containsText" dxfId="4119" priority="283" operator="containsText" text="NA">
      <formula>NOT(ISERROR(SEARCH("NA",#REF!)))</formula>
    </cfRule>
    <cfRule type="containsText" dxfId="4118" priority="285" operator="containsText" text="NA">
      <formula>NOT(ISERROR(SEARCH("NA",#REF!)))</formula>
    </cfRule>
    <cfRule type="containsText" dxfId="4117" priority="241" operator="containsText" text="Done">
      <formula>NOT(ISERROR(SEARCH("Done",#REF!)))</formula>
    </cfRule>
    <cfRule type="containsText" dxfId="4116" priority="240" operator="containsText" text="NA">
      <formula>NOT(ISERROR(SEARCH("NA",#REF!)))</formula>
    </cfRule>
    <cfRule type="containsText" dxfId="4115" priority="239" operator="containsText" text="Pending">
      <formula>NOT(ISERROR(SEARCH("Pending",#REF!)))</formula>
    </cfRule>
    <cfRule type="containsText" dxfId="4114" priority="243" operator="containsText" text="Pending">
      <formula>NOT(ISERROR(SEARCH("Pending",#REF!)))</formula>
    </cfRule>
    <cfRule type="containsText" dxfId="4113" priority="244" operator="containsText" text="NA">
      <formula>NOT(ISERROR(SEARCH("NA",#REF!)))</formula>
    </cfRule>
    <cfRule type="containsText" dxfId="4112" priority="245" operator="containsText" text="NA">
      <formula>NOT(ISERROR(SEARCH("NA",#REF!)))</formula>
    </cfRule>
    <cfRule type="containsText" dxfId="4111" priority="246" operator="containsText" text="Done">
      <formula>NOT(ISERROR(SEARCH("Done",#REF!)))</formula>
    </cfRule>
    <cfRule type="containsText" dxfId="4110" priority="247" operator="containsText" text="Done">
      <formula>NOT(ISERROR(SEARCH("Done",#REF!)))</formula>
    </cfRule>
    <cfRule type="containsText" dxfId="4109" priority="248" operator="containsText" text="Pending">
      <formula>NOT(ISERROR(SEARCH("Pending",#REF!)))</formula>
    </cfRule>
    <cfRule type="containsText" dxfId="4108" priority="250" operator="containsText" text="Pending">
      <formula>NOT(ISERROR(SEARCH("Pending",#REF!)))</formula>
    </cfRule>
    <cfRule type="containsText" dxfId="4107" priority="251" operator="containsText" text="NA">
      <formula>NOT(ISERROR(SEARCH("NA",#REF!)))</formula>
    </cfRule>
    <cfRule type="containsText" dxfId="4106" priority="252" operator="containsText" text="NA">
      <formula>NOT(ISERROR(SEARCH("NA",#REF!)))</formula>
    </cfRule>
    <cfRule type="containsText" dxfId="4105" priority="253" operator="containsText" text="NA">
      <formula>NOT(ISERROR(SEARCH("NA",#REF!)))</formula>
    </cfRule>
    <cfRule type="containsText" dxfId="4104" priority="254" operator="containsText" text="Pending">
      <formula>NOT(ISERROR(SEARCH("Pending",#REF!)))</formula>
    </cfRule>
    <cfRule type="containsText" dxfId="4103" priority="255" operator="containsText" text="NA">
      <formula>NOT(ISERROR(SEARCH("NA",#REF!)))</formula>
    </cfRule>
    <cfRule type="containsText" dxfId="4102" priority="256" operator="containsText" text="Done">
      <formula>NOT(ISERROR(SEARCH("Done",#REF!)))</formula>
    </cfRule>
    <cfRule type="containsText" dxfId="4101" priority="257" operator="containsText" text="Pending">
      <formula>NOT(ISERROR(SEARCH("Pending",#REF!)))</formula>
    </cfRule>
    <cfRule type="containsText" dxfId="4100" priority="258" operator="containsText" text="Pending">
      <formula>NOT(ISERROR(SEARCH("Pending",#REF!)))</formula>
    </cfRule>
    <cfRule type="containsText" dxfId="4099" priority="259" operator="containsText" text="NA">
      <formula>NOT(ISERROR(SEARCH("NA",#REF!)))</formula>
    </cfRule>
    <cfRule type="containsText" dxfId="4098" priority="260" operator="containsText" text="NA">
      <formula>NOT(ISERROR(SEARCH("NA",#REF!)))</formula>
    </cfRule>
    <cfRule type="containsText" dxfId="4097" priority="261" operator="containsText" text="Done">
      <formula>NOT(ISERROR(SEARCH("Done",#REF!)))</formula>
    </cfRule>
    <cfRule type="containsText" dxfId="4096" priority="262" operator="containsText" text="Done">
      <formula>NOT(ISERROR(SEARCH("Done",#REF!)))</formula>
    </cfRule>
    <cfRule type="containsText" dxfId="4095" priority="263" operator="containsText" text="Pending">
      <formula>NOT(ISERROR(SEARCH("Pending",#REF!)))</formula>
    </cfRule>
    <cfRule type="containsText" dxfId="4094" priority="264" operator="containsText" text="Pending">
      <formula>NOT(ISERROR(SEARCH("Pending",#REF!)))</formula>
    </cfRule>
    <cfRule type="containsText" dxfId="4093" priority="265" operator="containsText" text="Pending">
      <formula>NOT(ISERROR(SEARCH("Pending",#REF!)))</formula>
    </cfRule>
    <cfRule type="containsText" dxfId="4092" priority="266" operator="containsText" text="NA">
      <formula>NOT(ISERROR(SEARCH("NA",#REF!)))</formula>
    </cfRule>
    <cfRule type="containsText" dxfId="4091" priority="267" operator="containsText" text="NA">
      <formula>NOT(ISERROR(SEARCH("NA",#REF!)))</formula>
    </cfRule>
    <cfRule type="containsText" dxfId="4090" priority="268" operator="containsText" text="NA">
      <formula>NOT(ISERROR(SEARCH("NA",#REF!)))</formula>
    </cfRule>
    <cfRule type="containsText" dxfId="4089" priority="269" operator="containsText" text="Pending">
      <formula>NOT(ISERROR(SEARCH("Pending",#REF!)))</formula>
    </cfRule>
    <cfRule type="containsText" dxfId="4088" priority="270" operator="containsText" text="NA">
      <formula>NOT(ISERROR(SEARCH("NA",#REF!)))</formula>
    </cfRule>
    <cfRule type="containsText" dxfId="4087" priority="271" operator="containsText" text="Done">
      <formula>NOT(ISERROR(SEARCH("Done",#REF!)))</formula>
    </cfRule>
    <cfRule type="containsText" dxfId="4086" priority="272" operator="containsText" text="Pending">
      <formula>NOT(ISERROR(SEARCH("Pending",#REF!)))</formula>
    </cfRule>
    <cfRule type="containsText" dxfId="4085" priority="273" operator="containsText" text="Pending">
      <formula>NOT(ISERROR(SEARCH("Pending",#REF!)))</formula>
    </cfRule>
    <cfRule type="containsText" dxfId="4084" priority="274" operator="containsText" text="NA">
      <formula>NOT(ISERROR(SEARCH("NA",#REF!)))</formula>
    </cfRule>
    <cfRule type="containsText" dxfId="4083" priority="275" operator="containsText" text="NA">
      <formula>NOT(ISERROR(SEARCH("NA",#REF!)))</formula>
    </cfRule>
    <cfRule type="containsText" dxfId="4082" priority="276" operator="containsText" text="Done">
      <formula>NOT(ISERROR(SEARCH("Done",#REF!)))</formula>
    </cfRule>
    <cfRule type="containsText" dxfId="4081" priority="277" operator="containsText" text="Done">
      <formula>NOT(ISERROR(SEARCH("Done",#REF!)))</formula>
    </cfRule>
    <cfRule type="containsText" dxfId="4080" priority="278" operator="containsText" text="Pending">
      <formula>NOT(ISERROR(SEARCH("Pending",#REF!)))</formula>
    </cfRule>
    <cfRule type="containsText" dxfId="4079" priority="279" operator="containsText" text="Pending">
      <formula>NOT(ISERROR(SEARCH("Pending",#REF!)))</formula>
    </cfRule>
    <cfRule type="containsText" dxfId="4078" priority="280" operator="containsText" text="Pending">
      <formula>NOT(ISERROR(SEARCH("Pending",#REF!)))</formula>
    </cfRule>
    <cfRule type="containsText" dxfId="4077" priority="281" operator="containsText" text="NA">
      <formula>NOT(ISERROR(SEARCH("NA",#REF!)))</formula>
    </cfRule>
    <cfRule type="containsText" dxfId="4076" priority="282" operator="containsText" text="NA">
      <formula>NOT(ISERROR(SEARCH("NA",#REF!)))</formula>
    </cfRule>
    <cfRule type="containsText" dxfId="4075" priority="284" operator="containsText" text="Pending">
      <formula>NOT(ISERROR(SEARCH("Pending",#REF!)))</formula>
    </cfRule>
    <cfRule type="containsText" dxfId="4074" priority="286" operator="containsText" text="Done">
      <formula>NOT(ISERROR(SEARCH("Done",#REF!)))</formula>
    </cfRule>
    <cfRule type="containsText" dxfId="4073" priority="287" operator="containsText" text="Done">
      <formula>NOT(ISERROR(SEARCH("Done",#REF!)))</formula>
    </cfRule>
    <cfRule type="containsText" dxfId="4072" priority="288" operator="containsText" text="Pending">
      <formula>NOT(ISERROR(SEARCH("Pending",#REF!)))</formula>
    </cfRule>
    <cfRule type="containsText" dxfId="4071" priority="289" operator="containsText" text="Pending">
      <formula>NOT(ISERROR(SEARCH("Pending",#REF!)))</formula>
    </cfRule>
    <cfRule type="containsText" dxfId="4070" priority="290" operator="containsText" text="Pending">
      <formula>NOT(ISERROR(SEARCH("Pending",#REF!)))</formula>
    </cfRule>
    <cfRule type="containsText" dxfId="4069" priority="249" operator="containsText" text="Pending">
      <formula>NOT(ISERROR(SEARCH("Pending",#REF!)))</formula>
    </cfRule>
    <cfRule type="containsText" dxfId="4068" priority="291" operator="containsText" text="NA">
      <formula>NOT(ISERROR(SEARCH("NA",#REF!)))</formula>
    </cfRule>
    <cfRule type="containsText" dxfId="4067" priority="292" operator="containsText" text="NA">
      <formula>NOT(ISERROR(SEARCH("NA",#REF!)))</formula>
    </cfRule>
  </conditionalFormatting>
  <conditionalFormatting sqref="AA82:AB82">
    <cfRule type="containsText" dxfId="4066" priority="298" operator="containsText" text="Pending">
      <formula>NOT(ISERROR(SEARCH("Pending",#REF!)))</formula>
    </cfRule>
    <cfRule type="containsText" dxfId="4065" priority="325" operator="containsText" text="NA">
      <formula>NOT(ISERROR(SEARCH("NA",#REF!)))</formula>
    </cfRule>
    <cfRule type="containsText" dxfId="4064" priority="324" operator="containsText" text="Pending">
      <formula>NOT(ISERROR(SEARCH("Pending",#REF!)))</formula>
    </cfRule>
    <cfRule type="containsText" dxfId="4063" priority="323" operator="containsText" text="NA">
      <formula>NOT(ISERROR(SEARCH("NA",#REF!)))</formula>
    </cfRule>
    <cfRule type="containsText" dxfId="4062" priority="322" operator="containsText" text="NA">
      <formula>NOT(ISERROR(SEARCH("NA",#REF!)))</formula>
    </cfRule>
    <cfRule type="containsText" dxfId="4061" priority="321" operator="containsText" text="NA">
      <formula>NOT(ISERROR(SEARCH("NA",#REF!)))</formula>
    </cfRule>
    <cfRule type="containsText" dxfId="4060" priority="295" operator="containsText" text="NA">
      <formula>NOT(ISERROR(SEARCH("NA",#REF!)))</formula>
    </cfRule>
    <cfRule type="containsText" dxfId="4059" priority="296" operator="containsText" text="Done">
      <formula>NOT(ISERROR(SEARCH("Done",#REF!)))</formula>
    </cfRule>
    <cfRule type="containsText" dxfId="4058" priority="297" operator="containsText" text="Pending">
      <formula>NOT(ISERROR(SEARCH("Pending",#REF!)))</formula>
    </cfRule>
    <cfRule type="containsText" dxfId="4057" priority="307" operator="containsText" text="NA">
      <formula>NOT(ISERROR(SEARCH("NA",#REF!)))</formula>
    </cfRule>
    <cfRule type="containsText" dxfId="4056" priority="299" operator="containsText" text="NA">
      <formula>NOT(ISERROR(SEARCH("NA",#REF!)))</formula>
    </cfRule>
    <cfRule type="containsText" dxfId="4055" priority="300" operator="containsText" text="NA">
      <formula>NOT(ISERROR(SEARCH("NA",#REF!)))</formula>
    </cfRule>
    <cfRule type="containsText" dxfId="4054" priority="301" operator="containsText" text="Done">
      <formula>NOT(ISERROR(SEARCH("Done",#REF!)))</formula>
    </cfRule>
    <cfRule type="containsText" dxfId="4053" priority="302" operator="containsText" text="Done">
      <formula>NOT(ISERROR(SEARCH("Done",#REF!)))</formula>
    </cfRule>
    <cfRule type="containsText" dxfId="4052" priority="303" operator="containsText" text="Pending">
      <formula>NOT(ISERROR(SEARCH("Pending",#REF!)))</formula>
    </cfRule>
    <cfRule type="containsText" dxfId="4051" priority="304" operator="containsText" text="Pending">
      <formula>NOT(ISERROR(SEARCH("Pending",#REF!)))</formula>
    </cfRule>
    <cfRule type="containsText" dxfId="4050" priority="305" operator="containsText" text="Pending">
      <formula>NOT(ISERROR(SEARCH("Pending",#REF!)))</formula>
    </cfRule>
    <cfRule type="containsText" dxfId="4049" priority="306" operator="containsText" text="NA">
      <formula>NOT(ISERROR(SEARCH("NA",#REF!)))</formula>
    </cfRule>
    <cfRule type="containsText" dxfId="4048" priority="320" operator="containsText" text="Pending">
      <formula>NOT(ISERROR(SEARCH("Pending",#REF!)))</formula>
    </cfRule>
    <cfRule type="containsText" dxfId="4047" priority="308" operator="containsText" text="NA">
      <formula>NOT(ISERROR(SEARCH("NA",#REF!)))</formula>
    </cfRule>
    <cfRule type="containsText" dxfId="4046" priority="309" operator="containsText" text="Pending">
      <formula>NOT(ISERROR(SEARCH("Pending",#REF!)))</formula>
    </cfRule>
    <cfRule type="containsText" dxfId="4045" priority="310" operator="containsText" text="NA">
      <formula>NOT(ISERROR(SEARCH("NA",#REF!)))</formula>
    </cfRule>
    <cfRule type="containsText" dxfId="4044" priority="311" operator="containsText" text="Done">
      <formula>NOT(ISERROR(SEARCH("Done",#REF!)))</formula>
    </cfRule>
    <cfRule type="containsText" dxfId="4043" priority="312" operator="containsText" text="Pending">
      <formula>NOT(ISERROR(SEARCH("Pending",#REF!)))</formula>
    </cfRule>
    <cfRule type="containsText" dxfId="4042" priority="313" operator="containsText" text="Pending">
      <formula>NOT(ISERROR(SEARCH("Pending",#REF!)))</formula>
    </cfRule>
    <cfRule type="containsText" dxfId="4041" priority="294" operator="containsText" text="Pending">
      <formula>NOT(ISERROR(SEARCH("Pending",#REF!)))</formula>
    </cfRule>
    <cfRule type="containsText" dxfId="4040" priority="319" operator="containsText" text="Pending">
      <formula>NOT(ISERROR(SEARCH("Pending",#REF!)))</formula>
    </cfRule>
    <cfRule type="containsText" dxfId="4039" priority="348" operator="containsText" text="NA">
      <formula>NOT(ISERROR(SEARCH("NA",#REF!)))</formula>
    </cfRule>
    <cfRule type="containsText" dxfId="4038" priority="347" operator="containsText" text="NA">
      <formula>NOT(ISERROR(SEARCH("NA",#REF!)))</formula>
    </cfRule>
    <cfRule type="containsText" dxfId="4037" priority="346" operator="containsText" text="NA">
      <formula>NOT(ISERROR(SEARCH("NA",#REF!)))</formula>
    </cfRule>
    <cfRule type="containsText" dxfId="4036" priority="345" operator="containsText" text="Pending">
      <formula>NOT(ISERROR(SEARCH("Pending",#REF!)))</formula>
    </cfRule>
    <cfRule type="containsText" dxfId="4035" priority="344" operator="containsText" text="Pending">
      <formula>NOT(ISERROR(SEARCH("Pending",#REF!)))</formula>
    </cfRule>
    <cfRule type="containsText" dxfId="4034" priority="343" operator="containsText" text="Pending">
      <formula>NOT(ISERROR(SEARCH("Pending",#REF!)))</formula>
    </cfRule>
    <cfRule type="containsText" dxfId="4033" priority="342" operator="containsText" text="Done">
      <formula>NOT(ISERROR(SEARCH("Done",#REF!)))</formula>
    </cfRule>
    <cfRule type="containsText" dxfId="4032" priority="341" operator="containsText" text="Done">
      <formula>NOT(ISERROR(SEARCH("Done",#REF!)))</formula>
    </cfRule>
    <cfRule type="containsText" dxfId="4031" priority="340" operator="containsText" text="NA">
      <formula>NOT(ISERROR(SEARCH("NA",#REF!)))</formula>
    </cfRule>
    <cfRule type="containsText" dxfId="4030" priority="339" operator="containsText" text="Pending">
      <formula>NOT(ISERROR(SEARCH("Pending",#REF!)))</formula>
    </cfRule>
    <cfRule type="containsText" dxfId="4029" priority="338" operator="containsText" text="NA">
      <formula>NOT(ISERROR(SEARCH("NA",#REF!)))</formula>
    </cfRule>
    <cfRule type="containsText" dxfId="4028" priority="337" operator="containsText" text="NA">
      <formula>NOT(ISERROR(SEARCH("NA",#REF!)))</formula>
    </cfRule>
    <cfRule type="containsText" dxfId="4027" priority="336" operator="containsText" text="NA">
      <formula>NOT(ISERROR(SEARCH("NA",#REF!)))</formula>
    </cfRule>
    <cfRule type="containsText" dxfId="4026" priority="335" operator="containsText" text="Pending">
      <formula>NOT(ISERROR(SEARCH("Pending",#REF!)))</formula>
    </cfRule>
    <cfRule type="containsText" dxfId="4025" priority="334" operator="containsText" text="Pending">
      <formula>NOT(ISERROR(SEARCH("Pending",#REF!)))</formula>
    </cfRule>
    <cfRule type="containsText" dxfId="4024" priority="333" operator="containsText" text="Pending">
      <formula>NOT(ISERROR(SEARCH("Pending",#REF!)))</formula>
    </cfRule>
    <cfRule type="containsText" dxfId="4023" priority="332" operator="containsText" text="Done">
      <formula>NOT(ISERROR(SEARCH("Done",#REF!)))</formula>
    </cfRule>
    <cfRule type="containsText" dxfId="4022" priority="331" operator="containsText" text="Done">
      <formula>NOT(ISERROR(SEARCH("Done",#REF!)))</formula>
    </cfRule>
    <cfRule type="containsText" dxfId="4021" priority="330" operator="containsText" text="NA">
      <formula>NOT(ISERROR(SEARCH("NA",#REF!)))</formula>
    </cfRule>
    <cfRule type="containsText" dxfId="4020" priority="329" operator="containsText" text="NA">
      <formula>NOT(ISERROR(SEARCH("NA",#REF!)))</formula>
    </cfRule>
    <cfRule type="containsText" dxfId="4019" priority="314" operator="containsText" text="NA">
      <formula>NOT(ISERROR(SEARCH("NA",#REF!)))</formula>
    </cfRule>
    <cfRule type="containsText" dxfId="4018" priority="328" operator="containsText" text="Pending">
      <formula>NOT(ISERROR(SEARCH("Pending",#REF!)))</formula>
    </cfRule>
    <cfRule type="containsText" dxfId="4017" priority="315" operator="containsText" text="NA">
      <formula>NOT(ISERROR(SEARCH("NA",#REF!)))</formula>
    </cfRule>
    <cfRule type="containsText" dxfId="4016" priority="316" operator="containsText" text="Done">
      <formula>NOT(ISERROR(SEARCH("Done",#REF!)))</formula>
    </cfRule>
    <cfRule type="containsText" dxfId="4015" priority="317" operator="containsText" text="Done">
      <formula>NOT(ISERROR(SEARCH("Done",#REF!)))</formula>
    </cfRule>
    <cfRule type="containsText" dxfId="4014" priority="318" operator="containsText" text="Pending">
      <formula>NOT(ISERROR(SEARCH("Pending",#REF!)))</formula>
    </cfRule>
    <cfRule type="containsText" dxfId="4013" priority="327" operator="containsText" text="Pending">
      <formula>NOT(ISERROR(SEARCH("Pending",#REF!)))</formula>
    </cfRule>
    <cfRule type="containsText" dxfId="4012" priority="326" operator="containsText" text="Done">
      <formula>NOT(ISERROR(SEARCH("Done",#REF!)))</formula>
    </cfRule>
  </conditionalFormatting>
  <conditionalFormatting sqref="AA31:AF32">
    <cfRule type="containsText" dxfId="4011" priority="2560" operator="containsText" text="NA">
      <formula>NOT(ISERROR(SEARCH("NA",#REF!)))</formula>
    </cfRule>
    <cfRule type="containsText" dxfId="4010" priority="2559" operator="containsText" text="Pending">
      <formula>NOT(ISERROR(SEARCH("Pending",#REF!)))</formula>
    </cfRule>
    <cfRule type="containsText" dxfId="4009" priority="2558" operator="containsText" text="Done">
      <formula>NOT(ISERROR(SEARCH("Done",#REF!)))</formula>
    </cfRule>
    <cfRule type="containsText" dxfId="4008" priority="2557" operator="containsText" text="NA">
      <formula>NOT(ISERROR(SEARCH("NA",#REF!)))</formula>
    </cfRule>
  </conditionalFormatting>
  <conditionalFormatting sqref="AB7:AB11">
    <cfRule type="containsText" dxfId="4007" priority="109736" operator="containsText" text="Done">
      <formula>NOT(ISERROR(SEARCH("Done",#REF!)))</formula>
    </cfRule>
    <cfRule type="containsText" dxfId="4006" priority="109737" operator="containsText" text="Done">
      <formula>NOT(ISERROR(SEARCH("Done",#REF!)))</formula>
    </cfRule>
    <cfRule type="containsText" dxfId="4005" priority="109738" operator="containsText" text="Done">
      <formula>NOT(ISERROR(SEARCH("Done",#REF!)))</formula>
    </cfRule>
    <cfRule type="containsText" dxfId="4004" priority="109739" operator="containsText" text="Pending">
      <formula>NOT(ISERROR(SEARCH("Pending",#REF!)))</formula>
    </cfRule>
    <cfRule type="containsText" dxfId="4003" priority="109740" operator="containsText" text="Pending">
      <formula>NOT(ISERROR(SEARCH("Pending",#REF!)))</formula>
    </cfRule>
    <cfRule type="containsText" dxfId="4002" priority="109743" operator="containsText" text="NA">
      <formula>NOT(ISERROR(SEARCH("NA",#REF!)))</formula>
    </cfRule>
    <cfRule type="containsText" dxfId="4001" priority="109744" operator="containsText" text="NA">
      <formula>NOT(ISERROR(SEARCH("NA",#REF!)))</formula>
    </cfRule>
    <cfRule type="containsText" dxfId="4000" priority="109742" operator="containsText" text="NA">
      <formula>NOT(ISERROR(SEARCH("NA",#REF!)))</formula>
    </cfRule>
    <cfRule type="containsText" dxfId="3999" priority="109741" operator="containsText" text="Pending">
      <formula>NOT(ISERROR(SEARCH("Pending",#REF!)))</formula>
    </cfRule>
  </conditionalFormatting>
  <conditionalFormatting sqref="AB8">
    <cfRule type="containsText" dxfId="3998" priority="109735" operator="containsText" text="NA">
      <formula>NOT(ISERROR(SEARCH("NA",#REF!)))</formula>
    </cfRule>
    <cfRule type="containsText" dxfId="3997" priority="109732" operator="containsText" text="Pending">
      <formula>NOT(ISERROR(SEARCH("Pending",#REF!)))</formula>
    </cfRule>
    <cfRule type="containsText" dxfId="3996" priority="109731" operator="containsText" text="Pending">
      <formula>NOT(ISERROR(SEARCH("Pending",#REF!)))</formula>
    </cfRule>
    <cfRule type="containsText" dxfId="3995" priority="109734" operator="containsText" text="NA">
      <formula>NOT(ISERROR(SEARCH("NA",#REF!)))</formula>
    </cfRule>
    <cfRule type="containsText" dxfId="3994" priority="109733" operator="containsText" text="NA">
      <formula>NOT(ISERROR(SEARCH("NA",#REF!)))</formula>
    </cfRule>
    <cfRule type="containsText" dxfId="3993" priority="109727" operator="containsText" text="Done">
      <formula>NOT(ISERROR(SEARCH("Done",#REF!)))</formula>
    </cfRule>
    <cfRule type="containsText" dxfId="3992" priority="109728" operator="containsText" text="Done">
      <formula>NOT(ISERROR(SEARCH("Done",#REF!)))</formula>
    </cfRule>
    <cfRule type="containsText" dxfId="3991" priority="109729" operator="containsText" text="Done">
      <formula>NOT(ISERROR(SEARCH("Done",#REF!)))</formula>
    </cfRule>
    <cfRule type="containsText" dxfId="3990" priority="109730" operator="containsText" text="Pending">
      <formula>NOT(ISERROR(SEARCH("Pending",#REF!)))</formula>
    </cfRule>
  </conditionalFormatting>
  <conditionalFormatting sqref="AB9">
    <cfRule type="containsText" dxfId="3989" priority="109722" operator="containsText" text="Pending">
      <formula>NOT(ISERROR(SEARCH("Pending",#REF!)))</formula>
    </cfRule>
    <cfRule type="containsText" dxfId="3988" priority="109720" operator="containsText" text="Done">
      <formula>NOT(ISERROR(SEARCH("Done",#REF!)))</formula>
    </cfRule>
    <cfRule type="containsText" dxfId="3987" priority="109718" operator="containsText" text="Done">
      <formula>NOT(ISERROR(SEARCH("Done",#REF!)))</formula>
    </cfRule>
    <cfRule type="containsText" dxfId="3986" priority="109721" operator="containsText" text="Pending">
      <formula>NOT(ISERROR(SEARCH("Pending",#REF!)))</formula>
    </cfRule>
    <cfRule type="containsText" dxfId="3985" priority="109726" operator="containsText" text="NA">
      <formula>NOT(ISERROR(SEARCH("NA",#REF!)))</formula>
    </cfRule>
    <cfRule type="containsText" dxfId="3984" priority="109719" operator="containsText" text="Done">
      <formula>NOT(ISERROR(SEARCH("Done",#REF!)))</formula>
    </cfRule>
    <cfRule type="containsText" dxfId="3983" priority="109725" operator="containsText" text="NA">
      <formula>NOT(ISERROR(SEARCH("NA",#REF!)))</formula>
    </cfRule>
    <cfRule type="containsText" dxfId="3982" priority="109724" operator="containsText" text="NA">
      <formula>NOT(ISERROR(SEARCH("NA",#REF!)))</formula>
    </cfRule>
    <cfRule type="containsText" dxfId="3981" priority="109723" operator="containsText" text="Pending">
      <formula>NOT(ISERROR(SEARCH("Pending",#REF!)))</formula>
    </cfRule>
  </conditionalFormatting>
  <conditionalFormatting sqref="AB10">
    <cfRule type="containsText" dxfId="3980" priority="109717" operator="containsText" text="NA">
      <formula>NOT(ISERROR(SEARCH("NA",#REF!)))</formula>
    </cfRule>
    <cfRule type="containsText" dxfId="3979" priority="109711" operator="containsText" text="Done">
      <formula>NOT(ISERROR(SEARCH("Done",#REF!)))</formula>
    </cfRule>
    <cfRule type="containsText" dxfId="3978" priority="109712" operator="containsText" text="Pending">
      <formula>NOT(ISERROR(SEARCH("Pending",#REF!)))</formula>
    </cfRule>
    <cfRule type="containsText" dxfId="3977" priority="109713" operator="containsText" text="Pending">
      <formula>NOT(ISERROR(SEARCH("Pending",#REF!)))</formula>
    </cfRule>
    <cfRule type="containsText" dxfId="3976" priority="109714" operator="containsText" text="Pending">
      <formula>NOT(ISERROR(SEARCH("Pending",#REF!)))</formula>
    </cfRule>
    <cfRule type="containsText" dxfId="3975" priority="109709" operator="containsText" text="Done">
      <formula>NOT(ISERROR(SEARCH("Done",#REF!)))</formula>
    </cfRule>
    <cfRule type="containsText" dxfId="3974" priority="109715" operator="containsText" text="NA">
      <formula>NOT(ISERROR(SEARCH("NA",#REF!)))</formula>
    </cfRule>
    <cfRule type="containsText" dxfId="3973" priority="109710" operator="containsText" text="Done">
      <formula>NOT(ISERROR(SEARCH("Done",#REF!)))</formula>
    </cfRule>
    <cfRule type="containsText" dxfId="3972" priority="109716" operator="containsText" text="NA">
      <formula>NOT(ISERROR(SEARCH("NA",#REF!)))</formula>
    </cfRule>
  </conditionalFormatting>
  <conditionalFormatting sqref="AB13">
    <cfRule type="containsText" dxfId="3971" priority="5312" operator="containsText" text="NA">
      <formula>NOT(ISERROR(SEARCH("NA",#REF!)))</formula>
    </cfRule>
    <cfRule type="containsText" dxfId="3970" priority="5313" operator="containsText" text="Pending">
      <formula>NOT(ISERROR(SEARCH("Pending",#REF!)))</formula>
    </cfRule>
    <cfRule type="containsText" dxfId="3969" priority="5314" operator="containsText" text="NA">
      <formula>NOT(ISERROR(SEARCH("NA",#REF!)))</formula>
    </cfRule>
    <cfRule type="containsText" dxfId="3968" priority="5307" operator="containsText" text="Pending">
      <formula>NOT(ISERROR(SEARCH("Pending",#REF!)))</formula>
    </cfRule>
    <cfRule type="containsText" dxfId="3967" priority="5315" operator="containsText" text="Done">
      <formula>NOT(ISERROR(SEARCH("Done",#REF!)))</formula>
    </cfRule>
    <cfRule type="containsText" dxfId="3966" priority="5305" operator="containsText" text="Done">
      <formula>NOT(ISERROR(SEARCH("Done",#REF!)))</formula>
    </cfRule>
    <cfRule type="containsText" dxfId="3965" priority="5306" operator="containsText" text="Done">
      <formula>NOT(ISERROR(SEARCH("Done",#REF!)))</formula>
    </cfRule>
    <cfRule type="containsText" dxfId="3964" priority="5311" operator="containsText" text="NA">
      <formula>NOT(ISERROR(SEARCH("NA",#REF!)))</formula>
    </cfRule>
    <cfRule type="containsText" dxfId="3963" priority="5304" operator="containsText" text="Done">
      <formula>NOT(ISERROR(SEARCH("Done",#REF!)))</formula>
    </cfRule>
    <cfRule type="containsText" dxfId="3962" priority="5310" operator="containsText" text="NA">
      <formula>NOT(ISERROR(SEARCH("NA",#REF!)))</formula>
    </cfRule>
    <cfRule type="containsText" dxfId="3961" priority="5309" operator="containsText" text="Pending">
      <formula>NOT(ISERROR(SEARCH("Pending",#REF!)))</formula>
    </cfRule>
    <cfRule type="containsText" dxfId="3960" priority="5308" operator="containsText" text="Pending">
      <formula>NOT(ISERROR(SEARCH("Pending",#REF!)))</formula>
    </cfRule>
  </conditionalFormatting>
  <conditionalFormatting sqref="AB14">
    <cfRule type="containsText" dxfId="3959" priority="5302" operator="containsText" text="NA">
      <formula>NOT(ISERROR(SEARCH("NA",#REF!)))</formula>
    </cfRule>
    <cfRule type="containsText" dxfId="3958" priority="5301" operator="containsText" text="Pending">
      <formula>NOT(ISERROR(SEARCH("Pending",#REF!)))</formula>
    </cfRule>
    <cfRule type="containsText" dxfId="3957" priority="5300" operator="containsText" text="NA">
      <formula>NOT(ISERROR(SEARCH("NA",#REF!)))</formula>
    </cfRule>
    <cfRule type="containsText" dxfId="3956" priority="5299" operator="containsText" text="NA">
      <formula>NOT(ISERROR(SEARCH("NA",#REF!)))</formula>
    </cfRule>
    <cfRule type="containsText" dxfId="3955" priority="5298" operator="containsText" text="NA">
      <formula>NOT(ISERROR(SEARCH("NA",#REF!)))</formula>
    </cfRule>
    <cfRule type="containsText" dxfId="3954" priority="5292" operator="containsText" text="Done">
      <formula>NOT(ISERROR(SEARCH("Done",#REF!)))</formula>
    </cfRule>
    <cfRule type="containsText" dxfId="3953" priority="5297" operator="containsText" text="Pending">
      <formula>NOT(ISERROR(SEARCH("Pending",#REF!)))</formula>
    </cfRule>
    <cfRule type="containsText" dxfId="3952" priority="5296" operator="containsText" text="Pending">
      <formula>NOT(ISERROR(SEARCH("Pending",#REF!)))</formula>
    </cfRule>
    <cfRule type="containsText" dxfId="3951" priority="5295" operator="containsText" text="Pending">
      <formula>NOT(ISERROR(SEARCH("Pending",#REF!)))</formula>
    </cfRule>
    <cfRule type="containsText" dxfId="3950" priority="5293" operator="containsText" text="Done">
      <formula>NOT(ISERROR(SEARCH("Done",#REF!)))</formula>
    </cfRule>
    <cfRule type="containsText" dxfId="3949" priority="5294" operator="containsText" text="Done">
      <formula>NOT(ISERROR(SEARCH("Done",#REF!)))</formula>
    </cfRule>
    <cfRule type="containsText" dxfId="3948" priority="5303" operator="containsText" text="Done">
      <formula>NOT(ISERROR(SEARCH("Done",#REF!)))</formula>
    </cfRule>
  </conditionalFormatting>
  <conditionalFormatting sqref="AB21:AB24">
    <cfRule type="containsText" dxfId="3947" priority="135778" operator="containsText" text="Pending">
      <formula>NOT(ISERROR(SEARCH("Pending",#REF!)))</formula>
    </cfRule>
    <cfRule type="containsText" dxfId="3946" priority="75629" operator="containsText" text="NA">
      <formula>NOT(ISERROR(SEARCH("NA",Y93)))</formula>
    </cfRule>
    <cfRule type="containsText" dxfId="3945" priority="75630" operator="containsText" text="Pending">
      <formula>NOT(ISERROR(SEARCH("Pending",Y93)))</formula>
    </cfRule>
    <cfRule type="containsText" dxfId="3944" priority="135996" operator="containsText" text="NA">
      <formula>NOT(ISERROR(SEARCH("NA",#REF!)))</formula>
    </cfRule>
    <cfRule type="containsText" dxfId="3943" priority="75631" operator="containsText" text="Done">
      <formula>NOT(ISERROR(SEARCH("Done",Y93)))</formula>
    </cfRule>
  </conditionalFormatting>
  <conditionalFormatting sqref="AB22:AB24">
    <cfRule type="containsText" dxfId="3942" priority="136016" operator="containsText" text="NA">
      <formula>NOT(ISERROR(SEARCH("NA",#REF!)))</formula>
    </cfRule>
  </conditionalFormatting>
  <conditionalFormatting sqref="AB23:AB24">
    <cfRule type="containsText" dxfId="3941" priority="4928" operator="containsText" text="Done">
      <formula>NOT(ISERROR(SEARCH("Done",R52)))</formula>
    </cfRule>
    <cfRule type="containsText" dxfId="3940" priority="4929" operator="containsText" text="Pending">
      <formula>NOT(ISERROR(SEARCH("Pending",R52)))</formula>
    </cfRule>
    <cfRule type="containsText" dxfId="3939" priority="4930" operator="containsText" text="NA">
      <formula>NOT(ISERROR(SEARCH("NA",R52)))</formula>
    </cfRule>
  </conditionalFormatting>
  <conditionalFormatting sqref="AB25">
    <cfRule type="containsText" dxfId="3938" priority="3527" operator="containsText" text="Done">
      <formula>NOT(ISERROR(SEARCH("Done",R56)))</formula>
    </cfRule>
    <cfRule type="containsText" dxfId="3937" priority="3528" operator="containsText" text="Pending">
      <formula>NOT(ISERROR(SEARCH("Pending",R56)))</formula>
    </cfRule>
    <cfRule type="containsText" dxfId="3936" priority="3529" operator="containsText" text="NA">
      <formula>NOT(ISERROR(SEARCH("NA",R56)))</formula>
    </cfRule>
  </conditionalFormatting>
  <conditionalFormatting sqref="AB25:AB26">
    <cfRule type="containsText" dxfId="3935" priority="4933" operator="containsText" text="NA">
      <formula>NOT(ISERROR(SEARCH("NA",R56)))</formula>
    </cfRule>
    <cfRule type="containsText" dxfId="3934" priority="4932" operator="containsText" text="Pending">
      <formula>NOT(ISERROR(SEARCH("Pending",R56)))</formula>
    </cfRule>
    <cfRule type="containsText" dxfId="3933" priority="4931" operator="containsText" text="Done">
      <formula>NOT(ISERROR(SEARCH("Done",R56)))</formula>
    </cfRule>
  </conditionalFormatting>
  <conditionalFormatting sqref="AB26">
    <cfRule type="containsText" dxfId="3932" priority="4090" operator="containsText" text="Pending">
      <formula>NOT(ISERROR(SEARCH("Pending",#REF!)))</formula>
    </cfRule>
    <cfRule type="containsText" dxfId="3931" priority="3397" operator="containsText" text="Done">
      <formula>NOT(ISERROR(SEARCH("Done",R56)))</formula>
    </cfRule>
    <cfRule type="containsText" dxfId="3930" priority="3398" operator="containsText" text="Done">
      <formula>NOT(ISERROR(SEARCH("Done",R56)))</formula>
    </cfRule>
    <cfRule type="containsText" dxfId="3929" priority="3399" operator="containsText" text="Done">
      <formula>NOT(ISERROR(SEARCH("Done",R56)))</formula>
    </cfRule>
    <cfRule type="containsText" dxfId="3928" priority="4073" operator="containsText" text="NA">
      <formula>NOT(ISERROR(SEARCH("NA",Y98)))</formula>
    </cfRule>
    <cfRule type="containsText" dxfId="3927" priority="4075" operator="containsText" text="Done">
      <formula>NOT(ISERROR(SEARCH("Done",Y98)))</formula>
    </cfRule>
    <cfRule type="containsText" dxfId="3926" priority="4076" operator="containsText" text="Pending">
      <formula>NOT(ISERROR(SEARCH("Pending",#REF!)))</formula>
    </cfRule>
    <cfRule type="containsText" dxfId="3925" priority="4077" operator="containsText" text="NA">
      <formula>NOT(ISERROR(SEARCH("NA",#REF!)))</formula>
    </cfRule>
    <cfRule type="containsText" dxfId="3924" priority="4078" operator="containsText" text="Done">
      <formula>NOT(ISERROR(SEARCH("Done",R56)))</formula>
    </cfRule>
    <cfRule type="containsText" dxfId="3923" priority="4079" operator="containsText" text="Done">
      <formula>NOT(ISERROR(SEARCH("Done",R56)))</formula>
    </cfRule>
    <cfRule type="containsText" dxfId="3922" priority="4080" operator="containsText" text="Done">
      <formula>NOT(ISERROR(SEARCH("Done",R56)))</formula>
    </cfRule>
    <cfRule type="containsText" dxfId="3921" priority="4081" operator="containsText" text="Pending">
      <formula>NOT(ISERROR(SEARCH("Pending",R56)))</formula>
    </cfRule>
    <cfRule type="containsText" dxfId="3920" priority="4082" operator="containsText" text="Pending">
      <formula>NOT(ISERROR(SEARCH("Pending",R56)))</formula>
    </cfRule>
    <cfRule type="containsText" dxfId="3919" priority="4083" operator="containsText" text="Pending">
      <formula>NOT(ISERROR(SEARCH("Pending",R56)))</formula>
    </cfRule>
    <cfRule type="containsText" dxfId="3918" priority="4084" operator="containsText" text="NA">
      <formula>NOT(ISERROR(SEARCH("NA",R56)))</formula>
    </cfRule>
    <cfRule type="containsText" dxfId="3917" priority="4085" operator="containsText" text="NA">
      <formula>NOT(ISERROR(SEARCH("NA",R56)))</formula>
    </cfRule>
    <cfRule type="containsText" dxfId="3916" priority="4086" operator="containsText" text="NA">
      <formula>NOT(ISERROR(SEARCH("NA",R56)))</formula>
    </cfRule>
    <cfRule type="containsText" dxfId="3915" priority="4087" operator="containsText" text="NA">
      <formula>NOT(ISERROR(SEARCH("NA",Y98)))</formula>
    </cfRule>
    <cfRule type="containsText" dxfId="3914" priority="4088" operator="containsText" text="Pending">
      <formula>NOT(ISERROR(SEARCH("Pending",Y98)))</formula>
    </cfRule>
    <cfRule type="containsText" dxfId="3913" priority="3394" operator="containsText" text="NA">
      <formula>NOT(ISERROR(SEARCH("NA",#REF!)))</formula>
    </cfRule>
    <cfRule type="containsText" dxfId="3912" priority="3395" operator="containsText" text="Pending">
      <formula>NOT(ISERROR(SEARCH("Pending",#REF!)))</formula>
    </cfRule>
    <cfRule type="containsText" dxfId="3911" priority="3396" operator="containsText" text="NA">
      <formula>NOT(ISERROR(SEARCH("NA",#REF!)))</formula>
    </cfRule>
    <cfRule type="containsText" dxfId="3910" priority="3392" operator="containsText" text="Done">
      <formula>NOT(ISERROR(SEARCH("Done",Y98)))</formula>
    </cfRule>
    <cfRule type="containsText" dxfId="3909" priority="3391" operator="containsText" text="Pending">
      <formula>NOT(ISERROR(SEARCH("Pending",Y98)))</formula>
    </cfRule>
    <cfRule type="containsText" dxfId="3908" priority="3390" operator="containsText" text="NA">
      <formula>NOT(ISERROR(SEARCH("NA",Y98)))</formula>
    </cfRule>
    <cfRule type="containsText" dxfId="3907" priority="3393" operator="containsText" text="Pending">
      <formula>NOT(ISERROR(SEARCH("Pending",#REF!)))</formula>
    </cfRule>
    <cfRule type="containsText" dxfId="3906" priority="3389" operator="containsText" text="NA">
      <formula>NOT(ISERROR(SEARCH("NA",R55)))</formula>
    </cfRule>
    <cfRule type="containsText" dxfId="3905" priority="3388" operator="containsText" text="Pending">
      <formula>NOT(ISERROR(SEARCH("Pending",R55)))</formula>
    </cfRule>
    <cfRule type="containsText" dxfId="3904" priority="3407" operator="containsText" text="Done">
      <formula>NOT(ISERROR(SEARCH("Done",R57)))</formula>
    </cfRule>
    <cfRule type="containsText" dxfId="3903" priority="3406" operator="containsText" text="Done">
      <formula>NOT(ISERROR(SEARCH("Done",R57)))</formula>
    </cfRule>
    <cfRule type="containsText" dxfId="3902" priority="3405" operator="containsText" text="NA">
      <formula>NOT(ISERROR(SEARCH("NA",R56)))</formula>
    </cfRule>
    <cfRule type="containsText" dxfId="3901" priority="3404" operator="containsText" text="NA">
      <formula>NOT(ISERROR(SEARCH("NA",R56)))</formula>
    </cfRule>
    <cfRule type="containsText" dxfId="3900" priority="3403" operator="containsText" text="NA">
      <formula>NOT(ISERROR(SEARCH("NA",R56)))</formula>
    </cfRule>
    <cfRule type="containsText" dxfId="3899" priority="3412" operator="containsText" text="NA">
      <formula>NOT(ISERROR(SEARCH("NA",R57)))</formula>
    </cfRule>
    <cfRule type="containsText" dxfId="3898" priority="3402" operator="containsText" text="Pending">
      <formula>NOT(ISERROR(SEARCH("Pending",R56)))</formula>
    </cfRule>
    <cfRule type="containsText" dxfId="3897" priority="3414" operator="containsText" text="NA">
      <formula>NOT(ISERROR(SEARCH("NA",R57)))</formula>
    </cfRule>
    <cfRule type="containsText" dxfId="3896" priority="3401" operator="containsText" text="Pending">
      <formula>NOT(ISERROR(SEARCH("Pending",R56)))</formula>
    </cfRule>
    <cfRule type="containsText" dxfId="3895" priority="3400" operator="containsText" text="Pending">
      <formula>NOT(ISERROR(SEARCH("Pending",R56)))</formula>
    </cfRule>
    <cfRule type="containsText" dxfId="3894" priority="4100" operator="containsText" text="NA">
      <formula>NOT(ISERROR(SEARCH("NA",R56)))</formula>
    </cfRule>
    <cfRule type="containsText" dxfId="3893" priority="3387" operator="containsText" text="Done">
      <formula>NOT(ISERROR(SEARCH("Done",R55)))</formula>
    </cfRule>
    <cfRule type="containsText" dxfId="3892" priority="4099" operator="containsText" text="NA">
      <formula>NOT(ISERROR(SEARCH("NA",R56)))</formula>
    </cfRule>
    <cfRule type="containsText" dxfId="3891" priority="4098" operator="containsText" text="NA">
      <formula>NOT(ISERROR(SEARCH("NA",R56)))</formula>
    </cfRule>
    <cfRule type="containsText" dxfId="3890" priority="4097" operator="containsText" text="Pending">
      <formula>NOT(ISERROR(SEARCH("Pending",R56)))</formula>
    </cfRule>
    <cfRule type="containsText" dxfId="3889" priority="4096" operator="containsText" text="Pending">
      <formula>NOT(ISERROR(SEARCH("Pending",R56)))</formula>
    </cfRule>
    <cfRule type="containsText" dxfId="3888" priority="4074" operator="containsText" text="Pending">
      <formula>NOT(ISERROR(SEARCH("Pending",Y98)))</formula>
    </cfRule>
    <cfRule type="containsText" dxfId="3887" priority="4095" operator="containsText" text="Pending">
      <formula>NOT(ISERROR(SEARCH("Pending",R56)))</formula>
    </cfRule>
    <cfRule type="containsText" dxfId="3886" priority="4094" operator="containsText" text="Done">
      <formula>NOT(ISERROR(SEARCH("Done",R56)))</formula>
    </cfRule>
    <cfRule type="containsText" dxfId="3885" priority="3411" operator="containsText" text="Pending">
      <formula>NOT(ISERROR(SEARCH("Pending",R57)))</formula>
    </cfRule>
    <cfRule type="containsText" dxfId="3884" priority="3410" operator="containsText" text="Pending">
      <formula>NOT(ISERROR(SEARCH("Pending",R57)))</formula>
    </cfRule>
    <cfRule type="containsText" dxfId="3883" priority="3409" operator="containsText" text="Pending">
      <formula>NOT(ISERROR(SEARCH("Pending",R57)))</formula>
    </cfRule>
    <cfRule type="containsText" dxfId="3882" priority="3408" operator="containsText" text="Done">
      <formula>NOT(ISERROR(SEARCH("Done",R57)))</formula>
    </cfRule>
    <cfRule type="containsText" dxfId="3881" priority="4093" operator="containsText" text="Done">
      <formula>NOT(ISERROR(SEARCH("Done",R56)))</formula>
    </cfRule>
    <cfRule type="containsText" dxfId="3880" priority="4092" operator="containsText" text="Done">
      <formula>NOT(ISERROR(SEARCH("Done",R56)))</formula>
    </cfRule>
    <cfRule type="containsText" dxfId="3879" priority="4091" operator="containsText" text="NA">
      <formula>NOT(ISERROR(SEARCH("NA",#REF!)))</formula>
    </cfRule>
    <cfRule type="containsText" dxfId="3878" priority="4089" operator="containsText" text="Done">
      <formula>NOT(ISERROR(SEARCH("Done",Y98)))</formula>
    </cfRule>
    <cfRule type="containsText" dxfId="3877" priority="3413" operator="containsText" text="NA">
      <formula>NOT(ISERROR(SEARCH("NA",R57)))</formula>
    </cfRule>
  </conditionalFormatting>
  <conditionalFormatting sqref="AB29">
    <cfRule type="containsText" dxfId="3876" priority="109284" operator="containsText" text="NA">
      <formula>NOT(ISERROR(SEARCH("NA",#REF!)))</formula>
    </cfRule>
    <cfRule type="containsText" dxfId="3875" priority="109285" operator="containsText" text="Done">
      <formula>NOT(ISERROR(SEARCH("Done",#REF!)))</formula>
    </cfRule>
    <cfRule type="containsText" dxfId="3874" priority="109286" operator="containsText" text="Pending">
      <formula>NOT(ISERROR(SEARCH("Pending",#REF!)))</formula>
    </cfRule>
    <cfRule type="containsText" dxfId="3873" priority="109287" operator="containsText" text="NA">
      <formula>NOT(ISERROR(SEARCH("NA",#REF!)))</formula>
    </cfRule>
    <cfRule type="containsText" dxfId="3872" priority="109288" operator="containsText" text="Done">
      <formula>NOT(ISERROR(SEARCH("Done",#REF!)))</formula>
    </cfRule>
    <cfRule type="containsText" dxfId="3871" priority="109289" operator="containsText" text="Pending">
      <formula>NOT(ISERROR(SEARCH("Pending",#REF!)))</formula>
    </cfRule>
    <cfRule type="containsText" dxfId="3870" priority="109698" operator="containsText" text="NA">
      <formula>NOT(ISERROR(SEARCH("NA",#REF!)))</formula>
    </cfRule>
    <cfRule type="containsText" dxfId="3869" priority="109701" operator="containsText" text="NA">
      <formula>NOT(ISERROR(SEARCH("NA",#REF!)))</formula>
    </cfRule>
    <cfRule type="containsText" dxfId="3868" priority="109700" operator="containsText" text="Pending">
      <formula>NOT(ISERROR(SEARCH("Pending",#REF!)))</formula>
    </cfRule>
    <cfRule type="containsText" dxfId="3867" priority="109291" operator="containsText" text="NA">
      <formula>NOT(ISERROR(SEARCH("NA",#REF!)))</formula>
    </cfRule>
    <cfRule type="containsText" dxfId="3866" priority="109292" operator="containsText" text="Done">
      <formula>NOT(ISERROR(SEARCH("Done",#REF!)))</formula>
    </cfRule>
    <cfRule type="containsText" dxfId="3865" priority="109293" operator="containsText" text="Pending">
      <formula>NOT(ISERROR(SEARCH("Pending",#REF!)))</formula>
    </cfRule>
    <cfRule type="containsText" dxfId="3864" priority="109294" operator="containsText" text="NA">
      <formula>NOT(ISERROR(SEARCH("NA",#REF!)))</formula>
    </cfRule>
    <cfRule type="containsText" dxfId="3863" priority="109699" operator="containsText" text="Done">
      <formula>NOT(ISERROR(SEARCH("Done",#REF!)))</formula>
    </cfRule>
    <cfRule type="containsText" dxfId="3862" priority="109290" operator="containsText" text="NA">
      <formula>NOT(ISERROR(SEARCH("NA",#REF!)))</formula>
    </cfRule>
  </conditionalFormatting>
  <conditionalFormatting sqref="AB29:AB30">
    <cfRule type="containsText" dxfId="3861" priority="1446" operator="containsText" text="NA">
      <formula>NOT(ISERROR(SEARCH("NA",AB29)))</formula>
    </cfRule>
    <cfRule type="containsText" dxfId="3860" priority="1447" operator="containsText" text="Pending">
      <formula>NOT(ISERROR(SEARCH("Pending",AB29)))</formula>
    </cfRule>
    <cfRule type="containsText" dxfId="3859" priority="1448" operator="containsText" text="Done">
      <formula>NOT(ISERROR(SEARCH("Done",AB29)))</formula>
    </cfRule>
    <cfRule type="containsText" dxfId="3858" priority="1449" operator="containsText" text="NA">
      <formula>NOT(ISERROR(SEARCH("NA",#REF!)))</formula>
    </cfRule>
    <cfRule type="containsText" dxfId="3857" priority="1450" operator="containsText" text="Done">
      <formula>NOT(ISERROR(SEARCH("Done",#REF!)))</formula>
    </cfRule>
    <cfRule type="containsText" dxfId="3856" priority="1451" operator="containsText" text="Pending">
      <formula>NOT(ISERROR(SEARCH("Pending",#REF!)))</formula>
    </cfRule>
    <cfRule type="containsText" dxfId="3855" priority="1452" operator="containsText" text="NA">
      <formula>NOT(ISERROR(SEARCH("NA",#REF!)))</formula>
    </cfRule>
    <cfRule type="containsText" dxfId="3854" priority="1453" operator="containsText" text="Pending">
      <formula>NOT(ISERROR(SEARCH("Pending",#REF!)))</formula>
    </cfRule>
    <cfRule type="containsText" dxfId="3853" priority="1454" operator="containsText" text="NA">
      <formula>NOT(ISERROR(SEARCH("NA",#REF!)))</formula>
    </cfRule>
    <cfRule type="containsText" dxfId="3852" priority="1455" operator="containsText" text="NA">
      <formula>NOT(ISERROR(SEARCH("NA",#REF!)))</formula>
    </cfRule>
    <cfRule type="containsText" dxfId="3851" priority="1456" operator="containsText" text="Done">
      <formula>NOT(ISERROR(SEARCH("Done",#REF!)))</formula>
    </cfRule>
    <cfRule type="containsText" dxfId="3850" priority="1457" operator="containsText" text="Pending">
      <formula>NOT(ISERROR(SEARCH("Pending",#REF!)))</formula>
    </cfRule>
    <cfRule type="containsText" dxfId="3849" priority="1458" operator="containsText" text="NA">
      <formula>NOT(ISERROR(SEARCH("NA",#REF!)))</formula>
    </cfRule>
    <cfRule type="containsText" dxfId="3848" priority="1459" operator="containsText" text="NA">
      <formula>NOT(ISERROR(SEARCH("NA",#REF!)))</formula>
    </cfRule>
    <cfRule type="containsText" dxfId="3847" priority="1460" operator="containsText" text="Done">
      <formula>NOT(ISERROR(SEARCH("Done",#REF!)))</formula>
    </cfRule>
    <cfRule type="containsText" dxfId="3846" priority="1461" operator="containsText" text="Pending">
      <formula>NOT(ISERROR(SEARCH("Pending",#REF!)))</formula>
    </cfRule>
    <cfRule type="containsText" dxfId="3845" priority="1462" operator="containsText" text="NA">
      <formula>NOT(ISERROR(SEARCH("NA",#REF!)))</formula>
    </cfRule>
    <cfRule type="containsText" dxfId="3844" priority="1463" operator="containsText" text="Done">
      <formula>NOT(ISERROR(SEARCH("Done",#REF!)))</formula>
    </cfRule>
    <cfRule type="containsText" dxfId="3843" priority="1464" operator="containsText" text="Pending">
      <formula>NOT(ISERROR(SEARCH("Pending",#REF!)))</formula>
    </cfRule>
    <cfRule type="containsText" dxfId="3842" priority="1465" operator="containsText" text="NA">
      <formula>NOT(ISERROR(SEARCH("NA",#REF!)))</formula>
    </cfRule>
    <cfRule type="containsText" dxfId="3841" priority="1466" operator="containsText" text="NA">
      <formula>NOT(ISERROR(SEARCH("NA",#REF!)))</formula>
    </cfRule>
    <cfRule type="containsText" dxfId="3840" priority="1468" operator="containsText" text="Pending">
      <formula>NOT(ISERROR(SEARCH("Pending",#REF!)))</formula>
    </cfRule>
    <cfRule type="containsText" dxfId="3839" priority="1469" operator="containsText" text="NA">
      <formula>NOT(ISERROR(SEARCH("NA",#REF!)))</formula>
    </cfRule>
    <cfRule type="containsText" dxfId="3838" priority="1470" operator="containsText" text="NA">
      <formula>NOT(ISERROR(SEARCH("NA",#REF!)))</formula>
    </cfRule>
    <cfRule type="containsText" dxfId="3837" priority="1471" operator="containsText" text="Done">
      <formula>NOT(ISERROR(SEARCH("Done",#REF!)))</formula>
    </cfRule>
    <cfRule type="containsText" dxfId="3836" priority="1472" operator="containsText" text="Pending">
      <formula>NOT(ISERROR(SEARCH("Pending",#REF!)))</formula>
    </cfRule>
    <cfRule type="containsText" dxfId="3835" priority="1473" operator="containsText" text="NA">
      <formula>NOT(ISERROR(SEARCH("NA",#REF!)))</formula>
    </cfRule>
    <cfRule type="containsText" dxfId="3834" priority="1474" operator="containsText" text="NA">
      <formula>NOT(ISERROR(SEARCH("NA",#REF!)))</formula>
    </cfRule>
    <cfRule type="containsText" dxfId="3833" priority="1475" operator="containsText" text="Done">
      <formula>NOT(ISERROR(SEARCH("Done",#REF!)))</formula>
    </cfRule>
    <cfRule type="containsText" dxfId="3832" priority="1476" operator="containsText" text="Pending">
      <formula>NOT(ISERROR(SEARCH("Pending",#REF!)))</formula>
    </cfRule>
    <cfRule type="containsText" dxfId="3831" priority="1477" operator="containsText" text="NA">
      <formula>NOT(ISERROR(SEARCH("NA",#REF!)))</formula>
    </cfRule>
    <cfRule type="containsText" dxfId="3830" priority="1478" operator="containsText" text="NA">
      <formula>NOT(ISERROR(SEARCH("NA",#REF!)))</formula>
    </cfRule>
    <cfRule type="containsText" dxfId="3829" priority="1479" operator="containsText" text="Done">
      <formula>NOT(ISERROR(SEARCH("Done",#REF!)))</formula>
    </cfRule>
    <cfRule type="containsText" dxfId="3828" priority="1480" operator="containsText" text="Pending">
      <formula>NOT(ISERROR(SEARCH("Pending",#REF!)))</formula>
    </cfRule>
    <cfRule type="containsText" dxfId="3827" priority="1481" operator="containsText" text="NA">
      <formula>NOT(ISERROR(SEARCH("NA",#REF!)))</formula>
    </cfRule>
    <cfRule type="containsText" dxfId="3826" priority="1482" operator="containsText" text="Done">
      <formula>NOT(ISERROR(SEARCH("Done",#REF!)))</formula>
    </cfRule>
    <cfRule type="containsText" dxfId="3825" priority="1483" operator="containsText" text="Pending">
      <formula>NOT(ISERROR(SEARCH("Pending",#REF!)))</formula>
    </cfRule>
    <cfRule type="containsText" dxfId="3824" priority="1484" operator="containsText" text="NA">
      <formula>NOT(ISERROR(SEARCH("NA",#REF!)))</formula>
    </cfRule>
    <cfRule type="containsText" dxfId="3823" priority="1485" operator="containsText" text="NA">
      <formula>NOT(ISERROR(SEARCH("NA",#REF!)))</formula>
    </cfRule>
    <cfRule type="containsText" dxfId="3822" priority="1486" operator="containsText" text="Done">
      <formula>NOT(ISERROR(SEARCH("Done",#REF!)))</formula>
    </cfRule>
    <cfRule type="containsText" dxfId="3821" priority="1487" operator="containsText" text="Pending">
      <formula>NOT(ISERROR(SEARCH("Pending",#REF!)))</formula>
    </cfRule>
    <cfRule type="containsText" dxfId="3820" priority="1488" operator="containsText" text="NA">
      <formula>NOT(ISERROR(SEARCH("NA",#REF!)))</formula>
    </cfRule>
    <cfRule type="containsText" dxfId="3819" priority="1489" operator="containsText" text="NA">
      <formula>NOT(ISERROR(SEARCH("NA",#REF!)))</formula>
    </cfRule>
    <cfRule type="containsText" dxfId="3818" priority="1490" operator="containsText" text="Done">
      <formula>NOT(ISERROR(SEARCH("Done",#REF!)))</formula>
    </cfRule>
    <cfRule type="containsText" dxfId="3817" priority="1491" operator="containsText" text="Pending">
      <formula>NOT(ISERROR(SEARCH("Pending",#REF!)))</formula>
    </cfRule>
    <cfRule type="containsText" dxfId="3816" priority="1492" operator="containsText" text="NA">
      <formula>NOT(ISERROR(SEARCH("NA",#REF!)))</formula>
    </cfRule>
    <cfRule type="containsText" dxfId="3815" priority="1493" operator="containsText" text="NA">
      <formula>NOT(ISERROR(SEARCH("NA",#REF!)))</formula>
    </cfRule>
    <cfRule type="containsText" dxfId="3814" priority="1494" operator="containsText" text="Done">
      <formula>NOT(ISERROR(SEARCH("Done",#REF!)))</formula>
    </cfRule>
    <cfRule type="containsText" dxfId="3813" priority="1495" operator="containsText" text="Pending">
      <formula>NOT(ISERROR(SEARCH("Pending",#REF!)))</formula>
    </cfRule>
    <cfRule type="containsText" dxfId="3812" priority="1496" operator="containsText" text="NA">
      <formula>NOT(ISERROR(SEARCH("NA",#REF!)))</formula>
    </cfRule>
    <cfRule type="containsText" dxfId="3811" priority="1497" operator="containsText" text="Done">
      <formula>NOT(ISERROR(SEARCH("Done",#REF!)))</formula>
    </cfRule>
    <cfRule type="containsText" dxfId="3810" priority="1498" operator="containsText" text="Pending">
      <formula>NOT(ISERROR(SEARCH("Pending",#REF!)))</formula>
    </cfRule>
    <cfRule type="containsText" dxfId="3809" priority="1499" operator="containsText" text="NA">
      <formula>NOT(ISERROR(SEARCH("NA",#REF!)))</formula>
    </cfRule>
    <cfRule type="containsText" dxfId="3808" priority="1500" operator="containsText" text="NA">
      <formula>NOT(ISERROR(SEARCH("NA",#REF!)))</formula>
    </cfRule>
    <cfRule type="containsText" dxfId="3807" priority="1501" operator="containsText" text="Done">
      <formula>NOT(ISERROR(SEARCH("Done",#REF!)))</formula>
    </cfRule>
    <cfRule type="containsText" dxfId="3806" priority="1502" operator="containsText" text="Pending">
      <formula>NOT(ISERROR(SEARCH("Pending",#REF!)))</formula>
    </cfRule>
    <cfRule type="containsText" dxfId="3805" priority="1503" operator="containsText" text="NA">
      <formula>NOT(ISERROR(SEARCH("NA",#REF!)))</formula>
    </cfRule>
    <cfRule type="containsText" dxfId="3804" priority="1504" operator="containsText" text="Done">
      <formula>NOT(ISERROR(SEARCH("Done",#REF!)))</formula>
    </cfRule>
    <cfRule type="containsText" dxfId="3803" priority="1505" operator="containsText" text="NA">
      <formula>NOT(ISERROR(SEARCH("NA",AB29)))</formula>
    </cfRule>
    <cfRule type="containsText" dxfId="3802" priority="1506" operator="containsText" text="Pending">
      <formula>NOT(ISERROR(SEARCH("Pending",AB29)))</formula>
    </cfRule>
    <cfRule type="containsText" dxfId="3801" priority="1507" operator="containsText" text="Done">
      <formula>NOT(ISERROR(SEARCH("Done",AB29)))</formula>
    </cfRule>
    <cfRule type="containsText" dxfId="3800" priority="1508" operator="containsText" text="NA">
      <formula>NOT(ISERROR(SEARCH("NA",#REF!)))</formula>
    </cfRule>
    <cfRule type="containsText" dxfId="3799" priority="1509" operator="containsText" text="Done">
      <formula>NOT(ISERROR(SEARCH("Done",#REF!)))</formula>
    </cfRule>
    <cfRule type="containsText" dxfId="3798" priority="1510" operator="containsText" text="Pending">
      <formula>NOT(ISERROR(SEARCH("Pending",#REF!)))</formula>
    </cfRule>
    <cfRule type="containsText" dxfId="3797" priority="1511" operator="containsText" text="NA">
      <formula>NOT(ISERROR(SEARCH("NA",#REF!)))</formula>
    </cfRule>
    <cfRule type="containsText" dxfId="3796" priority="1512" operator="containsText" text="Pending">
      <formula>NOT(ISERROR(SEARCH("Pending",#REF!)))</formula>
    </cfRule>
    <cfRule type="containsText" dxfId="3795" priority="1513" operator="containsText" text="NA">
      <formula>NOT(ISERROR(SEARCH("NA",#REF!)))</formula>
    </cfRule>
    <cfRule type="containsText" dxfId="3794" priority="1514" operator="containsText" text="NA">
      <formula>NOT(ISERROR(SEARCH("NA",#REF!)))</formula>
    </cfRule>
    <cfRule type="containsText" dxfId="3793" priority="1515" operator="containsText" text="Done">
      <formula>NOT(ISERROR(SEARCH("Done",#REF!)))</formula>
    </cfRule>
    <cfRule type="containsText" dxfId="3792" priority="1516" operator="containsText" text="Pending">
      <formula>NOT(ISERROR(SEARCH("Pending",#REF!)))</formula>
    </cfRule>
    <cfRule type="containsText" dxfId="3791" priority="1517" operator="containsText" text="NA">
      <formula>NOT(ISERROR(SEARCH("NA",#REF!)))</formula>
    </cfRule>
    <cfRule type="containsText" dxfId="3790" priority="1518" operator="containsText" text="NA">
      <formula>NOT(ISERROR(SEARCH("NA",AB29)))</formula>
    </cfRule>
    <cfRule type="containsText" dxfId="3789" priority="1519" operator="containsText" text="Done">
      <formula>NOT(ISERROR(SEARCH("Done",AB29)))</formula>
    </cfRule>
    <cfRule type="containsText" dxfId="3788" priority="1520" operator="containsText" text="NA">
      <formula>NOT(ISERROR(SEARCH("NA",#REF!)))</formula>
    </cfRule>
    <cfRule type="containsText" dxfId="3787" priority="1521" operator="containsText" text="Done">
      <formula>NOT(ISERROR(SEARCH("Done",#REF!)))</formula>
    </cfRule>
    <cfRule type="containsText" dxfId="3786" priority="1522" operator="containsText" text="Pending">
      <formula>NOT(ISERROR(SEARCH("Pending",#REF!)))</formula>
    </cfRule>
    <cfRule type="containsText" dxfId="3785" priority="1523" operator="containsText" text="NA">
      <formula>NOT(ISERROR(SEARCH("NA",#REF!)))</formula>
    </cfRule>
    <cfRule type="containsText" dxfId="3784" priority="1524" operator="containsText" text="NA">
      <formula>NOT(ISERROR(SEARCH("NA",AB29)))</formula>
    </cfRule>
    <cfRule type="containsText" dxfId="3783" priority="1525" operator="containsText" text="Pending">
      <formula>NOT(ISERROR(SEARCH("Pending",AB29)))</formula>
    </cfRule>
    <cfRule type="containsText" dxfId="3782" priority="1526" operator="containsText" text="Done">
      <formula>NOT(ISERROR(SEARCH("Done",AB29)))</formula>
    </cfRule>
    <cfRule type="containsText" dxfId="3781" priority="1527" operator="containsText" text="NA">
      <formula>NOT(ISERROR(SEARCH("NA",#REF!)))</formula>
    </cfRule>
    <cfRule type="containsText" dxfId="3780" priority="1528" operator="containsText" text="Done">
      <formula>NOT(ISERROR(SEARCH("Done",#REF!)))</formula>
    </cfRule>
    <cfRule type="containsText" dxfId="3779" priority="1529" operator="containsText" text="Pending">
      <formula>NOT(ISERROR(SEARCH("Pending",#REF!)))</formula>
    </cfRule>
    <cfRule type="containsText" dxfId="3778" priority="1530" operator="containsText" text="NA">
      <formula>NOT(ISERROR(SEARCH("NA",#REF!)))</formula>
    </cfRule>
    <cfRule type="containsText" dxfId="3777" priority="1531" operator="containsText" text="NA">
      <formula>NOT(ISERROR(SEARCH("NA",#REF!)))</formula>
    </cfRule>
    <cfRule type="containsText" dxfId="3776" priority="1532" operator="containsText" text="Done">
      <formula>NOT(ISERROR(SEARCH("Done",#REF!)))</formula>
    </cfRule>
    <cfRule type="containsText" dxfId="3775" priority="1533" operator="containsText" text="Pending">
      <formula>NOT(ISERROR(SEARCH("Pending",#REF!)))</formula>
    </cfRule>
    <cfRule type="containsText" dxfId="3774" priority="1534" operator="containsText" text="NA">
      <formula>NOT(ISERROR(SEARCH("NA",#REF!)))</formula>
    </cfRule>
    <cfRule type="containsText" dxfId="3773" priority="1467" operator="containsText" text="Done">
      <formula>NOT(ISERROR(SEARCH("Done",#REF!)))</formula>
    </cfRule>
    <cfRule type="containsText" dxfId="3772" priority="1250" operator="containsText" text="NA">
      <formula>NOT(ISERROR(SEARCH("NA",#REF!)))</formula>
    </cfRule>
    <cfRule type="containsText" dxfId="3771" priority="1251" operator="containsText" text="Done">
      <formula>NOT(ISERROR(SEARCH("Done",#REF!)))</formula>
    </cfRule>
    <cfRule type="containsText" dxfId="3770" priority="1252" operator="containsText" text="Pending">
      <formula>NOT(ISERROR(SEARCH("Pending",#REF!)))</formula>
    </cfRule>
    <cfRule type="containsText" dxfId="3769" priority="1253" operator="containsText" text="NA">
      <formula>NOT(ISERROR(SEARCH("NA",#REF!)))</formula>
    </cfRule>
    <cfRule type="containsText" dxfId="3768" priority="1254" operator="containsText" text="NA">
      <formula>NOT(ISERROR(SEARCH("NA",#REF!)))</formula>
    </cfRule>
    <cfRule type="containsText" dxfId="3767" priority="1255" operator="containsText" text="Done">
      <formula>NOT(ISERROR(SEARCH("Done",#REF!)))</formula>
    </cfRule>
    <cfRule type="containsText" dxfId="3766" priority="1256" operator="containsText" text="Pending">
      <formula>NOT(ISERROR(SEARCH("Pending",#REF!)))</formula>
    </cfRule>
    <cfRule type="containsText" dxfId="3765" priority="1257" operator="containsText" text="NA">
      <formula>NOT(ISERROR(SEARCH("NA",#REF!)))</formula>
    </cfRule>
    <cfRule type="containsText" dxfId="3764" priority="1258" operator="containsText" text="NA">
      <formula>NOT(ISERROR(SEARCH("NA",#REF!)))</formula>
    </cfRule>
    <cfRule type="containsText" dxfId="3763" priority="1259" operator="containsText" text="Done">
      <formula>NOT(ISERROR(SEARCH("Done",#REF!)))</formula>
    </cfRule>
    <cfRule type="containsText" dxfId="3762" priority="1260" operator="containsText" text="Pending">
      <formula>NOT(ISERROR(SEARCH("Pending",#REF!)))</formula>
    </cfRule>
    <cfRule type="containsText" dxfId="3761" priority="1261" operator="containsText" text="NA">
      <formula>NOT(ISERROR(SEARCH("NA",#REF!)))</formula>
    </cfRule>
    <cfRule type="containsText" dxfId="3760" priority="1262" operator="containsText" text="Done">
      <formula>NOT(ISERROR(SEARCH("Done",#REF!)))</formula>
    </cfRule>
    <cfRule type="containsText" dxfId="3759" priority="1263" operator="containsText" text="Pending">
      <formula>NOT(ISERROR(SEARCH("Pending",#REF!)))</formula>
    </cfRule>
    <cfRule type="containsText" dxfId="3758" priority="1264" operator="containsText" text="NA">
      <formula>NOT(ISERROR(SEARCH("NA",#REF!)))</formula>
    </cfRule>
    <cfRule type="containsText" dxfId="3757" priority="1265" operator="containsText" text="NA">
      <formula>NOT(ISERROR(SEARCH("NA",#REF!)))</formula>
    </cfRule>
    <cfRule type="containsText" dxfId="3756" priority="1266" operator="containsText" text="Done">
      <formula>NOT(ISERROR(SEARCH("Done",#REF!)))</formula>
    </cfRule>
    <cfRule type="containsText" dxfId="3755" priority="1267" operator="containsText" text="Pending">
      <formula>NOT(ISERROR(SEARCH("Pending",#REF!)))</formula>
    </cfRule>
    <cfRule type="containsText" dxfId="3754" priority="1268" operator="containsText" text="NA">
      <formula>NOT(ISERROR(SEARCH("NA",#REF!)))</formula>
    </cfRule>
    <cfRule type="containsText" dxfId="3753" priority="1269" operator="containsText" text="NA">
      <formula>NOT(ISERROR(SEARCH("NA",#REF!)))</formula>
    </cfRule>
    <cfRule type="containsText" dxfId="3752" priority="1270" operator="containsText" text="Done">
      <formula>NOT(ISERROR(SEARCH("Done",#REF!)))</formula>
    </cfRule>
    <cfRule type="containsText" dxfId="3751" priority="1271" operator="containsText" text="Pending">
      <formula>NOT(ISERROR(SEARCH("Pending",#REF!)))</formula>
    </cfRule>
    <cfRule type="containsText" dxfId="3750" priority="1272" operator="containsText" text="NA">
      <formula>NOT(ISERROR(SEARCH("NA",#REF!)))</formula>
    </cfRule>
    <cfRule type="containsText" dxfId="3749" priority="1273" operator="containsText" text="NA">
      <formula>NOT(ISERROR(SEARCH("NA",#REF!)))</formula>
    </cfRule>
    <cfRule type="containsText" dxfId="3748" priority="1274" operator="containsText" text="Done">
      <formula>NOT(ISERROR(SEARCH("Done",#REF!)))</formula>
    </cfRule>
    <cfRule type="containsText" dxfId="3747" priority="1275" operator="containsText" text="Pending">
      <formula>NOT(ISERROR(SEARCH("Pending",#REF!)))</formula>
    </cfRule>
    <cfRule type="containsText" dxfId="3746" priority="1276" operator="containsText" text="NA">
      <formula>NOT(ISERROR(SEARCH("NA",#REF!)))</formula>
    </cfRule>
    <cfRule type="containsText" dxfId="3745" priority="1277" operator="containsText" text="NA">
      <formula>NOT(ISERROR(SEARCH("NA",#REF!)))</formula>
    </cfRule>
    <cfRule type="containsText" dxfId="3744" priority="1278" operator="containsText" text="Done">
      <formula>NOT(ISERROR(SEARCH("Done",#REF!)))</formula>
    </cfRule>
    <cfRule type="containsText" dxfId="3743" priority="1279" operator="containsText" text="Pending">
      <formula>NOT(ISERROR(SEARCH("Pending",#REF!)))</formula>
    </cfRule>
    <cfRule type="containsText" dxfId="3742" priority="1280" operator="containsText" text="NA">
      <formula>NOT(ISERROR(SEARCH("NA",#REF!)))</formula>
    </cfRule>
    <cfRule type="containsText" dxfId="3741" priority="1281" operator="containsText" text="NA">
      <formula>NOT(ISERROR(SEARCH("NA",#REF!)))</formula>
    </cfRule>
    <cfRule type="containsText" dxfId="3740" priority="1282" operator="containsText" text="Done">
      <formula>NOT(ISERROR(SEARCH("Done",#REF!)))</formula>
    </cfRule>
    <cfRule type="containsText" dxfId="3739" priority="1283" operator="containsText" text="Pending">
      <formula>NOT(ISERROR(SEARCH("Pending",#REF!)))</formula>
    </cfRule>
    <cfRule type="containsText" dxfId="3738" priority="1284" operator="containsText" text="NA">
      <formula>NOT(ISERROR(SEARCH("NA",#REF!)))</formula>
    </cfRule>
    <cfRule type="containsText" dxfId="3737" priority="1285" operator="containsText" text="Done">
      <formula>NOT(ISERROR(SEARCH("Done",#REF!)))</formula>
    </cfRule>
    <cfRule type="containsText" dxfId="3736" priority="1286" operator="containsText" text="Pending">
      <formula>NOT(ISERROR(SEARCH("Pending",#REF!)))</formula>
    </cfRule>
    <cfRule type="containsText" dxfId="3735" priority="1287" operator="containsText" text="NA">
      <formula>NOT(ISERROR(SEARCH("NA",#REF!)))</formula>
    </cfRule>
    <cfRule type="containsText" dxfId="3734" priority="1288" operator="containsText" text="NA">
      <formula>NOT(ISERROR(SEARCH("NA",#REF!)))</formula>
    </cfRule>
    <cfRule type="containsText" dxfId="3733" priority="1289" operator="containsText" text="Done">
      <formula>NOT(ISERROR(SEARCH("Done",#REF!)))</formula>
    </cfRule>
    <cfRule type="containsText" dxfId="3732" priority="1290" operator="containsText" text="Pending">
      <formula>NOT(ISERROR(SEARCH("Pending",#REF!)))</formula>
    </cfRule>
    <cfRule type="containsText" dxfId="3731" priority="1291" operator="containsText" text="NA">
      <formula>NOT(ISERROR(SEARCH("NA",#REF!)))</formula>
    </cfRule>
    <cfRule type="containsText" dxfId="3730" priority="1292" operator="containsText" text="NA">
      <formula>NOT(ISERROR(SEARCH("NA",#REF!)))</formula>
    </cfRule>
    <cfRule type="containsText" dxfId="3729" priority="1293" operator="containsText" text="Done">
      <formula>NOT(ISERROR(SEARCH("Done",#REF!)))</formula>
    </cfRule>
    <cfRule type="containsText" dxfId="3728" priority="1294" operator="containsText" text="Pending">
      <formula>NOT(ISERROR(SEARCH("Pending",#REF!)))</formula>
    </cfRule>
    <cfRule type="containsText" dxfId="3727" priority="1295" operator="containsText" text="NA">
      <formula>NOT(ISERROR(SEARCH("NA",#REF!)))</formula>
    </cfRule>
    <cfRule type="containsText" dxfId="3726" priority="1296" operator="containsText" text="Done">
      <formula>NOT(ISERROR(SEARCH("Done",#REF!)))</formula>
    </cfRule>
    <cfRule type="containsText" dxfId="3725" priority="1297" operator="containsText" text="Pending">
      <formula>NOT(ISERROR(SEARCH("Pending",#REF!)))</formula>
    </cfRule>
    <cfRule type="containsText" dxfId="3724" priority="1298" operator="containsText" text="NA">
      <formula>NOT(ISERROR(SEARCH("NA",#REF!)))</formula>
    </cfRule>
    <cfRule type="containsText" dxfId="3723" priority="1299" operator="containsText" text="NA">
      <formula>NOT(ISERROR(SEARCH("NA",#REF!)))</formula>
    </cfRule>
    <cfRule type="containsText" dxfId="3722" priority="1300" operator="containsText" text="Done">
      <formula>NOT(ISERROR(SEARCH("Done",#REF!)))</formula>
    </cfRule>
    <cfRule type="containsText" dxfId="3721" priority="1301" operator="containsText" text="Pending">
      <formula>NOT(ISERROR(SEARCH("Pending",#REF!)))</formula>
    </cfRule>
    <cfRule type="containsText" dxfId="3720" priority="1302" operator="containsText" text="NA">
      <formula>NOT(ISERROR(SEARCH("NA",#REF!)))</formula>
    </cfRule>
    <cfRule type="containsText" dxfId="3719" priority="1303" operator="containsText" text="NA">
      <formula>NOT(ISERROR(SEARCH("NA",#REF!)))</formula>
    </cfRule>
    <cfRule type="containsText" dxfId="3718" priority="1304" operator="containsText" text="Done">
      <formula>NOT(ISERROR(SEARCH("Done",#REF!)))</formula>
    </cfRule>
    <cfRule type="containsText" dxfId="3717" priority="1305" operator="containsText" text="Pending">
      <formula>NOT(ISERROR(SEARCH("Pending",#REF!)))</formula>
    </cfRule>
    <cfRule type="containsText" dxfId="3716" priority="1306" operator="containsText" text="NA">
      <formula>NOT(ISERROR(SEARCH("NA",#REF!)))</formula>
    </cfRule>
    <cfRule type="containsText" dxfId="3715" priority="1307" operator="containsText" text="Done">
      <formula>NOT(ISERROR(SEARCH("Done",#REF!)))</formula>
    </cfRule>
    <cfRule type="containsText" dxfId="3714" priority="1308" operator="containsText" text="Pending">
      <formula>NOT(ISERROR(SEARCH("Pending",#REF!)))</formula>
    </cfRule>
    <cfRule type="containsText" dxfId="3713" priority="1309" operator="containsText" text="NA">
      <formula>NOT(ISERROR(SEARCH("NA",#REF!)))</formula>
    </cfRule>
    <cfRule type="containsText" dxfId="3712" priority="1310" operator="containsText" text="NA">
      <formula>NOT(ISERROR(SEARCH("NA",#REF!)))</formula>
    </cfRule>
    <cfRule type="containsText" dxfId="3711" priority="1311" operator="containsText" text="NA">
      <formula>NOT(ISERROR(SEARCH("NA",AB29)))</formula>
    </cfRule>
    <cfRule type="containsText" dxfId="3710" priority="1312" operator="containsText" text="Done">
      <formula>NOT(ISERROR(SEARCH("Done",AB29)))</formula>
    </cfRule>
    <cfRule type="containsText" dxfId="3709" priority="1313" operator="containsText" text="NA">
      <formula>NOT(ISERROR(SEARCH("NA",#REF!)))</formula>
    </cfRule>
    <cfRule type="containsText" dxfId="3708" priority="1314" operator="containsText" text="Done">
      <formula>NOT(ISERROR(SEARCH("Done",#REF!)))</formula>
    </cfRule>
    <cfRule type="containsText" dxfId="3707" priority="1315" operator="containsText" text="Pending">
      <formula>NOT(ISERROR(SEARCH("Pending",#REF!)))</formula>
    </cfRule>
    <cfRule type="containsText" dxfId="3706" priority="1316" operator="containsText" text="NA">
      <formula>NOT(ISERROR(SEARCH("NA",#REF!)))</formula>
    </cfRule>
    <cfRule type="containsText" dxfId="3705" priority="1317" operator="containsText" text="Done">
      <formula>NOT(ISERROR(SEARCH("Done",#REF!)))</formula>
    </cfRule>
    <cfRule type="containsText" dxfId="3704" priority="1318" operator="containsText" text="Pending">
      <formula>NOT(ISERROR(SEARCH("Pending",#REF!)))</formula>
    </cfRule>
    <cfRule type="containsText" dxfId="3703" priority="1319" operator="containsText" text="NA">
      <formula>NOT(ISERROR(SEARCH("NA",#REF!)))</formula>
    </cfRule>
    <cfRule type="containsText" dxfId="3702" priority="1320" operator="containsText" text="NA">
      <formula>NOT(ISERROR(SEARCH("NA",#REF!)))</formula>
    </cfRule>
    <cfRule type="containsText" dxfId="3701" priority="1321" operator="containsText" text="Done">
      <formula>NOT(ISERROR(SEARCH("Done",#REF!)))</formula>
    </cfRule>
    <cfRule type="containsText" dxfId="3700" priority="1322" operator="containsText" text="Pending">
      <formula>NOT(ISERROR(SEARCH("Pending",#REF!)))</formula>
    </cfRule>
    <cfRule type="containsText" dxfId="3699" priority="1323" operator="containsText" text="NA">
      <formula>NOT(ISERROR(SEARCH("NA",#REF!)))</formula>
    </cfRule>
    <cfRule type="containsText" dxfId="3698" priority="1324" operator="containsText" text="NA">
      <formula>NOT(ISERROR(SEARCH("NA",#REF!)))</formula>
    </cfRule>
    <cfRule type="containsText" dxfId="3697" priority="1325" operator="containsText" text="Done">
      <formula>NOT(ISERROR(SEARCH("Done",#REF!)))</formula>
    </cfRule>
    <cfRule type="containsText" dxfId="3696" priority="1326" operator="containsText" text="Pending">
      <formula>NOT(ISERROR(SEARCH("Pending",#REF!)))</formula>
    </cfRule>
    <cfRule type="containsText" dxfId="3695" priority="1327" operator="containsText" text="NA">
      <formula>NOT(ISERROR(SEARCH("NA",#REF!)))</formula>
    </cfRule>
    <cfRule type="containsText" dxfId="3694" priority="1328" operator="containsText" text="NA">
      <formula>NOT(ISERROR(SEARCH("NA",#REF!)))</formula>
    </cfRule>
    <cfRule type="containsText" dxfId="3693" priority="1329" operator="containsText" text="Done">
      <formula>NOT(ISERROR(SEARCH("Done",#REF!)))</formula>
    </cfRule>
    <cfRule type="containsText" dxfId="3692" priority="1330" operator="containsText" text="Pending">
      <formula>NOT(ISERROR(SEARCH("Pending",#REF!)))</formula>
    </cfRule>
    <cfRule type="containsText" dxfId="3691" priority="1331" operator="containsText" text="NA">
      <formula>NOT(ISERROR(SEARCH("NA",#REF!)))</formula>
    </cfRule>
    <cfRule type="containsText" dxfId="3690" priority="1332" operator="containsText" text="Done">
      <formula>NOT(ISERROR(SEARCH("Done",#REF!)))</formula>
    </cfRule>
    <cfRule type="containsText" dxfId="3689" priority="1333" operator="containsText" text="Pending">
      <formula>NOT(ISERROR(SEARCH("Pending",#REF!)))</formula>
    </cfRule>
    <cfRule type="containsText" dxfId="3688" priority="1334" operator="containsText" text="NA">
      <formula>NOT(ISERROR(SEARCH("NA",#REF!)))</formula>
    </cfRule>
    <cfRule type="containsText" dxfId="3687" priority="1335" operator="containsText" text="NA">
      <formula>NOT(ISERROR(SEARCH("NA",#REF!)))</formula>
    </cfRule>
    <cfRule type="containsText" dxfId="3686" priority="1336" operator="containsText" text="Done">
      <formula>NOT(ISERROR(SEARCH("Done",#REF!)))</formula>
    </cfRule>
    <cfRule type="containsText" dxfId="3685" priority="1337" operator="containsText" text="Pending">
      <formula>NOT(ISERROR(SEARCH("Pending",#REF!)))</formula>
    </cfRule>
    <cfRule type="containsText" dxfId="3684" priority="1338" operator="containsText" text="NA">
      <formula>NOT(ISERROR(SEARCH("NA",#REF!)))</formula>
    </cfRule>
    <cfRule type="containsText" dxfId="3683" priority="1339" operator="containsText" text="NA">
      <formula>NOT(ISERROR(SEARCH("NA",#REF!)))</formula>
    </cfRule>
    <cfRule type="containsText" dxfId="3682" priority="1340" operator="containsText" text="Done">
      <formula>NOT(ISERROR(SEARCH("Done",#REF!)))</formula>
    </cfRule>
    <cfRule type="containsText" dxfId="3681" priority="1341" operator="containsText" text="Pending">
      <formula>NOT(ISERROR(SEARCH("Pending",#REF!)))</formula>
    </cfRule>
    <cfRule type="containsText" dxfId="3680" priority="1342" operator="containsText" text="NA">
      <formula>NOT(ISERROR(SEARCH("NA",#REF!)))</formula>
    </cfRule>
    <cfRule type="containsText" dxfId="3679" priority="1343" operator="containsText" text="NA">
      <formula>NOT(ISERROR(SEARCH("NA",#REF!)))</formula>
    </cfRule>
    <cfRule type="containsText" dxfId="3678" priority="1344" operator="containsText" text="Done">
      <formula>NOT(ISERROR(SEARCH("Done",#REF!)))</formula>
    </cfRule>
    <cfRule type="containsText" dxfId="3677" priority="1345" operator="containsText" text="Pending">
      <formula>NOT(ISERROR(SEARCH("Pending",#REF!)))</formula>
    </cfRule>
    <cfRule type="containsText" dxfId="3676" priority="1346" operator="containsText" text="NA">
      <formula>NOT(ISERROR(SEARCH("NA",#REF!)))</formula>
    </cfRule>
    <cfRule type="containsText" dxfId="3675" priority="1347" operator="containsText" text="Done">
      <formula>NOT(ISERROR(SEARCH("Done",#REF!)))</formula>
    </cfRule>
    <cfRule type="containsText" dxfId="3674" priority="1348" operator="containsText" text="Pending">
      <formula>NOT(ISERROR(SEARCH("Pending",#REF!)))</formula>
    </cfRule>
    <cfRule type="containsText" dxfId="3673" priority="1349" operator="containsText" text="NA">
      <formula>NOT(ISERROR(SEARCH("NA",#REF!)))</formula>
    </cfRule>
    <cfRule type="containsText" dxfId="3672" priority="1350" operator="containsText" text="NA">
      <formula>NOT(ISERROR(SEARCH("NA",#REF!)))</formula>
    </cfRule>
    <cfRule type="containsText" dxfId="3671" priority="1351" operator="containsText" text="Done">
      <formula>NOT(ISERROR(SEARCH("Done",#REF!)))</formula>
    </cfRule>
    <cfRule type="containsText" dxfId="3670" priority="1352" operator="containsText" text="Pending">
      <formula>NOT(ISERROR(SEARCH("Pending",#REF!)))</formula>
    </cfRule>
    <cfRule type="containsText" dxfId="3669" priority="1353" operator="containsText" text="NA">
      <formula>NOT(ISERROR(SEARCH("NA",#REF!)))</formula>
    </cfRule>
    <cfRule type="containsText" dxfId="3668" priority="1354" operator="containsText" text="Done">
      <formula>NOT(ISERROR(SEARCH("Done",#REF!)))</formula>
    </cfRule>
    <cfRule type="containsText" dxfId="3667" priority="1355" operator="containsText" text="NA">
      <formula>NOT(ISERROR(SEARCH("NA",AB29)))</formula>
    </cfRule>
    <cfRule type="containsText" dxfId="3666" priority="1356" operator="containsText" text="Pending">
      <formula>NOT(ISERROR(SEARCH("Pending",AB29)))</formula>
    </cfRule>
    <cfRule type="containsText" dxfId="3665" priority="1357" operator="containsText" text="Done">
      <formula>NOT(ISERROR(SEARCH("Done",AB29)))</formula>
    </cfRule>
    <cfRule type="containsText" dxfId="3664" priority="1358" operator="containsText" text="NA">
      <formula>NOT(ISERROR(SEARCH("NA",#REF!)))</formula>
    </cfRule>
    <cfRule type="containsText" dxfId="3663" priority="1359" operator="containsText" text="Done">
      <formula>NOT(ISERROR(SEARCH("Done",#REF!)))</formula>
    </cfRule>
    <cfRule type="containsText" dxfId="3662" priority="1360" operator="containsText" text="Pending">
      <formula>NOT(ISERROR(SEARCH("Pending",#REF!)))</formula>
    </cfRule>
    <cfRule type="containsText" dxfId="3661" priority="1361" operator="containsText" text="NA">
      <formula>NOT(ISERROR(SEARCH("NA",#REF!)))</formula>
    </cfRule>
    <cfRule type="containsText" dxfId="3660" priority="1362" operator="containsText" text="Pending">
      <formula>NOT(ISERROR(SEARCH("Pending",#REF!)))</formula>
    </cfRule>
    <cfRule type="containsText" dxfId="3659" priority="1363" operator="containsText" text="NA">
      <formula>NOT(ISERROR(SEARCH("NA",#REF!)))</formula>
    </cfRule>
    <cfRule type="containsText" dxfId="3658" priority="1364" operator="containsText" text="NA">
      <formula>NOT(ISERROR(SEARCH("NA",#REF!)))</formula>
    </cfRule>
    <cfRule type="containsText" dxfId="3657" priority="1365" operator="containsText" text="Done">
      <formula>NOT(ISERROR(SEARCH("Done",#REF!)))</formula>
    </cfRule>
    <cfRule type="containsText" dxfId="3656" priority="1366" operator="containsText" text="Pending">
      <formula>NOT(ISERROR(SEARCH("Pending",#REF!)))</formula>
    </cfRule>
    <cfRule type="containsText" dxfId="3655" priority="1367" operator="containsText" text="NA">
      <formula>NOT(ISERROR(SEARCH("NA",#REF!)))</formula>
    </cfRule>
    <cfRule type="containsText" dxfId="3654" priority="1368" operator="containsText" text="NA">
      <formula>NOT(ISERROR(SEARCH("NA",#REF!)))</formula>
    </cfRule>
    <cfRule type="containsText" dxfId="3653" priority="1369" operator="containsText" text="Done">
      <formula>NOT(ISERROR(SEARCH("Done",#REF!)))</formula>
    </cfRule>
    <cfRule type="containsText" dxfId="3652" priority="1370" operator="containsText" text="Pending">
      <formula>NOT(ISERROR(SEARCH("Pending",#REF!)))</formula>
    </cfRule>
    <cfRule type="containsText" dxfId="3651" priority="1371" operator="containsText" text="NA">
      <formula>NOT(ISERROR(SEARCH("NA",#REF!)))</formula>
    </cfRule>
    <cfRule type="containsText" dxfId="3650" priority="1372" operator="containsText" text="NA">
      <formula>NOT(ISERROR(SEARCH("NA",#REF!)))</formula>
    </cfRule>
    <cfRule type="containsText" dxfId="3649" priority="1373" operator="containsText" text="Done">
      <formula>NOT(ISERROR(SEARCH("Done",#REF!)))</formula>
    </cfRule>
    <cfRule type="containsText" dxfId="3648" priority="1374" operator="containsText" text="Pending">
      <formula>NOT(ISERROR(SEARCH("Pending",#REF!)))</formula>
    </cfRule>
    <cfRule type="containsText" dxfId="3647" priority="1375" operator="containsText" text="NA">
      <formula>NOT(ISERROR(SEARCH("NA",#REF!)))</formula>
    </cfRule>
    <cfRule type="containsText" dxfId="3646" priority="1376" operator="containsText" text="NA">
      <formula>NOT(ISERROR(SEARCH("NA",#REF!)))</formula>
    </cfRule>
    <cfRule type="containsText" dxfId="3645" priority="1377" operator="containsText" text="Done">
      <formula>NOT(ISERROR(SEARCH("Done",#REF!)))</formula>
    </cfRule>
    <cfRule type="containsText" dxfId="3644" priority="1378" operator="containsText" text="Pending">
      <formula>NOT(ISERROR(SEARCH("Pending",#REF!)))</formula>
    </cfRule>
    <cfRule type="containsText" dxfId="3643" priority="1379" operator="containsText" text="NA">
      <formula>NOT(ISERROR(SEARCH("NA",#REF!)))</formula>
    </cfRule>
    <cfRule type="containsText" dxfId="3642" priority="1380" operator="containsText" text="NA">
      <formula>NOT(ISERROR(SEARCH("NA",#REF!)))</formula>
    </cfRule>
    <cfRule type="containsText" dxfId="3641" priority="1381" operator="containsText" text="Done">
      <formula>NOT(ISERROR(SEARCH("Done",#REF!)))</formula>
    </cfRule>
    <cfRule type="containsText" dxfId="3640" priority="1382" operator="containsText" text="Pending">
      <formula>NOT(ISERROR(SEARCH("Pending",#REF!)))</formula>
    </cfRule>
    <cfRule type="containsText" dxfId="3639" priority="1383" operator="containsText" text="NA">
      <formula>NOT(ISERROR(SEARCH("NA",#REF!)))</formula>
    </cfRule>
    <cfRule type="containsText" dxfId="3638" priority="1384" operator="containsText" text="Done">
      <formula>NOT(ISERROR(SEARCH("Done",#REF!)))</formula>
    </cfRule>
    <cfRule type="containsText" dxfId="3637" priority="1385" operator="containsText" text="Pending">
      <formula>NOT(ISERROR(SEARCH("Pending",#REF!)))</formula>
    </cfRule>
    <cfRule type="containsText" dxfId="3636" priority="1386" operator="containsText" text="NA">
      <formula>NOT(ISERROR(SEARCH("NA",#REF!)))</formula>
    </cfRule>
    <cfRule type="containsText" dxfId="3635" priority="1387" operator="containsText" text="NA">
      <formula>NOT(ISERROR(SEARCH("NA",#REF!)))</formula>
    </cfRule>
    <cfRule type="containsText" dxfId="3634" priority="1388" operator="containsText" text="Done">
      <formula>NOT(ISERROR(SEARCH("Done",#REF!)))</formula>
    </cfRule>
    <cfRule type="containsText" dxfId="3633" priority="1389" operator="containsText" text="Pending">
      <formula>NOT(ISERROR(SEARCH("Pending",#REF!)))</formula>
    </cfRule>
    <cfRule type="containsText" dxfId="3632" priority="1390" operator="containsText" text="NA">
      <formula>NOT(ISERROR(SEARCH("NA",#REF!)))</formula>
    </cfRule>
    <cfRule type="containsText" dxfId="3631" priority="1391" operator="containsText" text="NA">
      <formula>NOT(ISERROR(SEARCH("NA",#REF!)))</formula>
    </cfRule>
    <cfRule type="containsText" dxfId="3630" priority="1392" operator="containsText" text="Done">
      <formula>NOT(ISERROR(SEARCH("Done",#REF!)))</formula>
    </cfRule>
    <cfRule type="containsText" dxfId="3629" priority="1393" operator="containsText" text="Pending">
      <formula>NOT(ISERROR(SEARCH("Pending",#REF!)))</formula>
    </cfRule>
    <cfRule type="containsText" dxfId="3628" priority="1394" operator="containsText" text="NA">
      <formula>NOT(ISERROR(SEARCH("NA",#REF!)))</formula>
    </cfRule>
    <cfRule type="containsText" dxfId="3627" priority="1395" operator="containsText" text="Done">
      <formula>NOT(ISERROR(SEARCH("Done",#REF!)))</formula>
    </cfRule>
    <cfRule type="containsText" dxfId="3626" priority="1396" operator="containsText" text="Pending">
      <formula>NOT(ISERROR(SEARCH("Pending",#REF!)))</formula>
    </cfRule>
    <cfRule type="containsText" dxfId="3625" priority="1397" operator="containsText" text="NA">
      <formula>NOT(ISERROR(SEARCH("NA",#REF!)))</formula>
    </cfRule>
    <cfRule type="containsText" dxfId="3624" priority="1398" operator="containsText" text="NA">
      <formula>NOT(ISERROR(SEARCH("NA",#REF!)))</formula>
    </cfRule>
    <cfRule type="containsText" dxfId="3623" priority="1399" operator="containsText" text="Done">
      <formula>NOT(ISERROR(SEARCH("Done",#REF!)))</formula>
    </cfRule>
    <cfRule type="containsText" dxfId="3622" priority="1400" operator="containsText" text="Pending">
      <formula>NOT(ISERROR(SEARCH("Pending",#REF!)))</formula>
    </cfRule>
    <cfRule type="containsText" dxfId="3621" priority="1401" operator="containsText" text="NA">
      <formula>NOT(ISERROR(SEARCH("NA",#REF!)))</formula>
    </cfRule>
    <cfRule type="containsText" dxfId="3620" priority="1402" operator="containsText" text="NA">
      <formula>NOT(ISERROR(SEARCH("NA",#REF!)))</formula>
    </cfRule>
    <cfRule type="containsText" dxfId="3619" priority="1403" operator="containsText" text="Done">
      <formula>NOT(ISERROR(SEARCH("Done",#REF!)))</formula>
    </cfRule>
    <cfRule type="containsText" dxfId="3618" priority="1404" operator="containsText" text="Pending">
      <formula>NOT(ISERROR(SEARCH("Pending",#REF!)))</formula>
    </cfRule>
    <cfRule type="containsText" dxfId="3617" priority="1405" operator="containsText" text="NA">
      <formula>NOT(ISERROR(SEARCH("NA",#REF!)))</formula>
    </cfRule>
    <cfRule type="containsText" dxfId="3616" priority="1406" operator="containsText" text="Done">
      <formula>NOT(ISERROR(SEARCH("Done",#REF!)))</formula>
    </cfRule>
    <cfRule type="containsText" dxfId="3615" priority="1407" operator="containsText" text="Pending">
      <formula>NOT(ISERROR(SEARCH("Pending",#REF!)))</formula>
    </cfRule>
    <cfRule type="containsText" dxfId="3614" priority="1408" operator="containsText" text="NA">
      <formula>NOT(ISERROR(SEARCH("NA",#REF!)))</formula>
    </cfRule>
    <cfRule type="containsText" dxfId="3613" priority="1409" operator="containsText" text="NA">
      <formula>NOT(ISERROR(SEARCH("NA",#REF!)))</formula>
    </cfRule>
    <cfRule type="containsText" dxfId="3612" priority="1410" operator="containsText" text="NA">
      <formula>NOT(ISERROR(SEARCH("NA",AB29)))</formula>
    </cfRule>
    <cfRule type="containsText" dxfId="3611" priority="1411" operator="containsText" text="Done">
      <formula>NOT(ISERROR(SEARCH("Done",AB29)))</formula>
    </cfRule>
    <cfRule type="containsText" dxfId="3610" priority="1412" operator="containsText" text="NA">
      <formula>NOT(ISERROR(SEARCH("NA",#REF!)))</formula>
    </cfRule>
    <cfRule type="containsText" dxfId="3609" priority="1413" operator="containsText" text="Done">
      <formula>NOT(ISERROR(SEARCH("Done",#REF!)))</formula>
    </cfRule>
    <cfRule type="containsText" dxfId="3608" priority="1414" operator="containsText" text="Pending">
      <formula>NOT(ISERROR(SEARCH("Pending",#REF!)))</formula>
    </cfRule>
    <cfRule type="containsText" dxfId="3607" priority="1415" operator="containsText" text="NA">
      <formula>NOT(ISERROR(SEARCH("NA",#REF!)))</formula>
    </cfRule>
    <cfRule type="containsText" dxfId="3606" priority="1416" operator="containsText" text="Done">
      <formula>NOT(ISERROR(SEARCH("Done",#REF!)))</formula>
    </cfRule>
    <cfRule type="containsText" dxfId="3605" priority="1417" operator="containsText" text="Pending">
      <formula>NOT(ISERROR(SEARCH("Pending",#REF!)))</formula>
    </cfRule>
    <cfRule type="containsText" dxfId="3604" priority="1418" operator="containsText" text="NA">
      <formula>NOT(ISERROR(SEARCH("NA",#REF!)))</formula>
    </cfRule>
    <cfRule type="containsText" dxfId="3603" priority="1419" operator="containsText" text="NA">
      <formula>NOT(ISERROR(SEARCH("NA",#REF!)))</formula>
    </cfRule>
    <cfRule type="containsText" dxfId="3602" priority="1420" operator="containsText" text="Done">
      <formula>NOT(ISERROR(SEARCH("Done",#REF!)))</formula>
    </cfRule>
    <cfRule type="containsText" dxfId="3601" priority="1421" operator="containsText" text="Pending">
      <formula>NOT(ISERROR(SEARCH("Pending",#REF!)))</formula>
    </cfRule>
    <cfRule type="containsText" dxfId="3600" priority="1422" operator="containsText" text="NA">
      <formula>NOT(ISERROR(SEARCH("NA",#REF!)))</formula>
    </cfRule>
    <cfRule type="containsText" dxfId="3599" priority="1423" operator="containsText" text="NA">
      <formula>NOT(ISERROR(SEARCH("NA",#REF!)))</formula>
    </cfRule>
    <cfRule type="containsText" dxfId="3598" priority="1424" operator="containsText" text="Done">
      <formula>NOT(ISERROR(SEARCH("Done",#REF!)))</formula>
    </cfRule>
    <cfRule type="containsText" dxfId="3597" priority="1425" operator="containsText" text="Pending">
      <formula>NOT(ISERROR(SEARCH("Pending",#REF!)))</formula>
    </cfRule>
    <cfRule type="containsText" dxfId="3596" priority="1426" operator="containsText" text="NA">
      <formula>NOT(ISERROR(SEARCH("NA",#REF!)))</formula>
    </cfRule>
    <cfRule type="containsText" dxfId="3595" priority="1427" operator="containsText" text="NA">
      <formula>NOT(ISERROR(SEARCH("NA",#REF!)))</formula>
    </cfRule>
    <cfRule type="containsText" dxfId="3594" priority="1428" operator="containsText" text="Done">
      <formula>NOT(ISERROR(SEARCH("Done",#REF!)))</formula>
    </cfRule>
    <cfRule type="containsText" dxfId="3593" priority="1429" operator="containsText" text="Pending">
      <formula>NOT(ISERROR(SEARCH("Pending",#REF!)))</formula>
    </cfRule>
    <cfRule type="containsText" dxfId="3592" priority="1430" operator="containsText" text="NA">
      <formula>NOT(ISERROR(SEARCH("NA",#REF!)))</formula>
    </cfRule>
    <cfRule type="containsText" dxfId="3591" priority="1431" operator="containsText" text="Done">
      <formula>NOT(ISERROR(SEARCH("Done",#REF!)))</formula>
    </cfRule>
    <cfRule type="containsText" dxfId="3590" priority="1432" operator="containsText" text="Pending">
      <formula>NOT(ISERROR(SEARCH("Pending",#REF!)))</formula>
    </cfRule>
    <cfRule type="containsText" dxfId="3589" priority="1433" operator="containsText" text="NA">
      <formula>NOT(ISERROR(SEARCH("NA",#REF!)))</formula>
    </cfRule>
    <cfRule type="containsText" dxfId="3588" priority="1434" operator="containsText" text="NA">
      <formula>NOT(ISERROR(SEARCH("NA",#REF!)))</formula>
    </cfRule>
    <cfRule type="containsText" dxfId="3587" priority="1435" operator="containsText" text="Done">
      <formula>NOT(ISERROR(SEARCH("Done",#REF!)))</formula>
    </cfRule>
    <cfRule type="containsText" dxfId="3586" priority="1436" operator="containsText" text="Pending">
      <formula>NOT(ISERROR(SEARCH("Pending",#REF!)))</formula>
    </cfRule>
    <cfRule type="containsText" dxfId="3585" priority="1437" operator="containsText" text="NA">
      <formula>NOT(ISERROR(SEARCH("NA",#REF!)))</formula>
    </cfRule>
    <cfRule type="containsText" dxfId="3584" priority="1438" operator="containsText" text="Done">
      <formula>NOT(ISERROR(SEARCH("Done",#REF!)))</formula>
    </cfRule>
    <cfRule type="containsText" dxfId="3583" priority="1439" operator="containsText" text="Pending">
      <formula>NOT(ISERROR(SEARCH("Pending",#REF!)))</formula>
    </cfRule>
    <cfRule type="containsText" dxfId="3582" priority="1440" operator="containsText" text="NA">
      <formula>NOT(ISERROR(SEARCH("NA",#REF!)))</formula>
    </cfRule>
    <cfRule type="containsText" dxfId="3581" priority="1441" operator="containsText" text="NA">
      <formula>NOT(ISERROR(SEARCH("NA",#REF!)))</formula>
    </cfRule>
    <cfRule type="containsText" dxfId="3580" priority="1442" operator="containsText" text="Done">
      <formula>NOT(ISERROR(SEARCH("Done",#REF!)))</formula>
    </cfRule>
    <cfRule type="containsText" dxfId="3579" priority="1443" operator="containsText" text="Pending">
      <formula>NOT(ISERROR(SEARCH("Pending",#REF!)))</formula>
    </cfRule>
    <cfRule type="containsText" dxfId="3578" priority="1444" operator="containsText" text="NA">
      <formula>NOT(ISERROR(SEARCH("NA",#REF!)))</formula>
    </cfRule>
    <cfRule type="containsText" dxfId="3577" priority="1445" operator="containsText" text="Done">
      <formula>NOT(ISERROR(SEARCH("Done",#REF!)))</formula>
    </cfRule>
  </conditionalFormatting>
  <conditionalFormatting sqref="AB29:AB32 AG29:AG32 AE29:AF30">
    <cfRule type="containsText" dxfId="3576" priority="109560" operator="containsText" text="NA">
      <formula>NOT(ISERROR(SEARCH("NA",Y52)))</formula>
    </cfRule>
    <cfRule type="containsText" dxfId="3575" priority="109550" operator="containsText" text="NA">
      <formula>NOT(ISERROR(SEARCH("NA",AB29)))</formula>
    </cfRule>
    <cfRule type="containsText" dxfId="3574" priority="109551" operator="containsText" text="Pending">
      <formula>NOT(ISERROR(SEARCH("Pending",AB29)))</formula>
    </cfRule>
    <cfRule type="containsText" dxfId="3573" priority="109552" operator="containsText" text="Done">
      <formula>NOT(ISERROR(SEARCH("Done",AB29)))</formula>
    </cfRule>
    <cfRule type="containsText" dxfId="3572" priority="109553" operator="containsText" text="NA">
      <formula>NOT(ISERROR(SEARCH("NA",#REF!)))</formula>
    </cfRule>
    <cfRule type="containsText" dxfId="3571" priority="109558" operator="containsText" text="Done">
      <formula>NOT(ISERROR(SEARCH("Done",Y52)))</formula>
    </cfRule>
    <cfRule type="containsText" dxfId="3570" priority="109554" operator="containsText" text="Done">
      <formula>NOT(ISERROR(SEARCH("Done",#REF!)))</formula>
    </cfRule>
    <cfRule type="containsText" dxfId="3569" priority="109556" operator="containsText" text="NA">
      <formula>NOT(ISERROR(SEARCH("NA",#REF!)))</formula>
    </cfRule>
    <cfRule type="containsText" dxfId="3568" priority="109557" operator="containsText" text="NA">
      <formula>NOT(ISERROR(SEARCH("NA",Y54)))</formula>
    </cfRule>
    <cfRule type="containsText" dxfId="3567" priority="109559" operator="containsText" text="Pending">
      <formula>NOT(ISERROR(SEARCH("Pending",Y52)))</formula>
    </cfRule>
  </conditionalFormatting>
  <conditionalFormatting sqref="AB39:AB40">
    <cfRule type="containsText" dxfId="3566" priority="138203" operator="containsText" text="Pending">
      <formula>NOT(ISERROR(SEARCH("Pending",#REF!)))</formula>
    </cfRule>
    <cfRule type="containsText" dxfId="3565" priority="139046" operator="containsText" text="NA">
      <formula>NOT(ISERROR(SEARCH("NA",#REF!)))</formula>
    </cfRule>
    <cfRule type="containsText" dxfId="3564" priority="137360" operator="containsText" text="Done">
      <formula>NOT(ISERROR(SEARCH("Done",#REF!)))</formula>
    </cfRule>
  </conditionalFormatting>
  <conditionalFormatting sqref="AB40">
    <cfRule type="containsText" dxfId="3563" priority="139207" operator="containsText" text="NA">
      <formula>NOT(ISERROR(SEARCH("NA",#REF!)))</formula>
    </cfRule>
    <cfRule type="containsText" dxfId="3562" priority="139208" operator="containsText" text="NA">
      <formula>NOT(ISERROR(SEARCH("NA",#REF!)))</formula>
    </cfRule>
    <cfRule type="containsText" dxfId="3561" priority="138363" operator="containsText" text="Pending">
      <formula>NOT(ISERROR(SEARCH("Pending",#REF!)))</formula>
    </cfRule>
    <cfRule type="containsText" dxfId="3560" priority="138364" operator="containsText" text="Pending">
      <formula>NOT(ISERROR(SEARCH("Pending",#REF!)))</formula>
    </cfRule>
    <cfRule type="containsText" dxfId="3559" priority="138365" operator="containsText" text="Pending">
      <formula>NOT(ISERROR(SEARCH("Pending",#REF!)))</formula>
    </cfRule>
    <cfRule type="containsText" dxfId="3558" priority="139205" operator="containsText" text="NA">
      <formula>NOT(ISERROR(SEARCH("NA",#REF!)))</formula>
    </cfRule>
    <cfRule type="containsText" dxfId="3557" priority="139206" operator="containsText" text="NA">
      <formula>NOT(ISERROR(SEARCH("NA",#REF!)))</formula>
    </cfRule>
    <cfRule type="containsText" dxfId="3556" priority="138362" operator="containsText" text="Pending">
      <formula>NOT(ISERROR(SEARCH("Pending",#REF!)))</formula>
    </cfRule>
  </conditionalFormatting>
  <conditionalFormatting sqref="AB48">
    <cfRule type="containsText" dxfId="3555" priority="120194" operator="containsText" text="NA">
      <formula>NOT(ISERROR(SEARCH("NA",#REF!)))</formula>
    </cfRule>
    <cfRule type="containsText" dxfId="3554" priority="120460" operator="containsText" text="Pending">
      <formula>NOT(ISERROR(SEARCH("Pending",#REF!)))</formula>
    </cfRule>
    <cfRule type="containsText" dxfId="3553" priority="120464" operator="containsText" text="NA">
      <formula>NOT(ISERROR(SEARCH("NA",#REF!)))</formula>
    </cfRule>
    <cfRule type="containsText" dxfId="3552" priority="120463" operator="containsText" text="NA">
      <formula>NOT(ISERROR(SEARCH("NA",#REF!)))</formula>
    </cfRule>
    <cfRule type="containsText" dxfId="3551" priority="120462" operator="containsText" text="NA">
      <formula>NOT(ISERROR(SEARCH("NA",#REF!)))</formula>
    </cfRule>
    <cfRule type="containsText" dxfId="3550" priority="120461" operator="containsText" text="Pending">
      <formula>NOT(ISERROR(SEARCH("Pending",#REF!)))</formula>
    </cfRule>
    <cfRule type="containsText" dxfId="3549" priority="120186" operator="containsText" text="Done">
      <formula>NOT(ISERROR(SEARCH("Done",#REF!)))</formula>
    </cfRule>
    <cfRule type="containsText" dxfId="3548" priority="148253" operator="containsText" text="Done">
      <formula>NOT(ISERROR(SEARCH("Done",O111)))</formula>
    </cfRule>
    <cfRule type="containsText" dxfId="3547" priority="120192" operator="containsText" text="NA">
      <formula>NOT(ISERROR(SEARCH("NA",#REF!)))</formula>
    </cfRule>
    <cfRule type="containsText" dxfId="3546" priority="120189" operator="containsText" text="Pending">
      <formula>NOT(ISERROR(SEARCH("Pending",#REF!)))</formula>
    </cfRule>
    <cfRule type="containsText" dxfId="3545" priority="120190" operator="containsText" text="Pending">
      <formula>NOT(ISERROR(SEARCH("Pending",#REF!)))</formula>
    </cfRule>
    <cfRule type="containsText" dxfId="3544" priority="120191" operator="containsText" text="Pending">
      <formula>NOT(ISERROR(SEARCH("Pending",#REF!)))</formula>
    </cfRule>
    <cfRule type="containsText" dxfId="3543" priority="120193" operator="containsText" text="NA">
      <formula>NOT(ISERROR(SEARCH("NA",#REF!)))</formula>
    </cfRule>
    <cfRule type="containsText" dxfId="3542" priority="120456" operator="containsText" text="Done">
      <formula>NOT(ISERROR(SEARCH("Done",#REF!)))</formula>
    </cfRule>
    <cfRule type="containsText" dxfId="3541" priority="120459" operator="containsText" text="Pending">
      <formula>NOT(ISERROR(SEARCH("Pending",#REF!)))</formula>
    </cfRule>
    <cfRule type="containsText" dxfId="3540" priority="148259" operator="containsText" text="Pending">
      <formula>NOT(ISERROR(SEARCH("Pending",O111)))</formula>
    </cfRule>
    <cfRule type="containsText" dxfId="3539" priority="148265" operator="containsText" text="NA">
      <formula>NOT(ISERROR(SEARCH("NA",O111)))</formula>
    </cfRule>
  </conditionalFormatting>
  <conditionalFormatting sqref="AB49:AB53">
    <cfRule type="containsText" dxfId="3538" priority="127335" operator="containsText" text="Pending">
      <formula>NOT(ISERROR(SEARCH("Pending",O113)))</formula>
    </cfRule>
    <cfRule type="containsText" dxfId="3537" priority="127338" operator="containsText" text="NA">
      <formula>NOT(ISERROR(SEARCH("NA",O113)))</formula>
    </cfRule>
    <cfRule type="containsText" dxfId="3536" priority="127332" operator="containsText" text="Done">
      <formula>NOT(ISERROR(SEARCH("Done",O113)))</formula>
    </cfRule>
  </conditionalFormatting>
  <conditionalFormatting sqref="AB57:AB62">
    <cfRule type="containsText" dxfId="3535" priority="119841" operator="containsText" text="Pending">
      <formula>NOT(ISERROR(SEARCH("Pending",#REF!)))</formula>
    </cfRule>
    <cfRule type="containsText" dxfId="3534" priority="119840" operator="containsText" text="Done">
      <formula>NOT(ISERROR(SEARCH("Done",#REF!)))</formula>
    </cfRule>
    <cfRule type="containsText" dxfId="3533" priority="119839" operator="containsText" text="NA">
      <formula>NOT(ISERROR(SEARCH("NA",#REF!)))</formula>
    </cfRule>
  </conditionalFormatting>
  <conditionalFormatting sqref="AB76:AB83">
    <cfRule type="containsText" dxfId="3532" priority="1033" operator="containsText" text="NA">
      <formula>NOT(ISERROR(SEARCH("NA",#REF!)))</formula>
    </cfRule>
    <cfRule type="containsText" dxfId="3531" priority="1034" operator="containsText" text="Done">
      <formula>NOT(ISERROR(SEARCH("Done",#REF!)))</formula>
    </cfRule>
    <cfRule type="containsText" dxfId="3530" priority="1035" operator="containsText" text="Pending">
      <formula>NOT(ISERROR(SEARCH("Pending",#REF!)))</formula>
    </cfRule>
    <cfRule type="containsText" dxfId="3529" priority="1038" operator="containsText" text="NA">
      <formula>NOT(ISERROR(SEARCH("NA",#REF!)))</formula>
    </cfRule>
    <cfRule type="containsText" dxfId="3528" priority="1037" operator="containsText" text="NA">
      <formula>NOT(ISERROR(SEARCH("NA",#REF!)))</formula>
    </cfRule>
    <cfRule type="containsText" dxfId="3527" priority="1036" operator="containsText" text="Pending">
      <formula>NOT(ISERROR(SEARCH("Pending",#REF!)))</formula>
    </cfRule>
    <cfRule type="containsText" dxfId="3526" priority="4747" operator="containsText" text="Done">
      <formula>NOT(ISERROR(SEARCH("Done",#REF!)))</formula>
    </cfRule>
    <cfRule type="containsText" dxfId="3525" priority="4746" operator="containsText" text="NA">
      <formula>NOT(ISERROR(SEARCH("NA",#REF!)))</formula>
    </cfRule>
    <cfRule type="containsText" dxfId="3524" priority="4745" operator="containsText" text="NA">
      <formula>NOT(ISERROR(SEARCH("NA",#REF!)))</formula>
    </cfRule>
    <cfRule type="containsText" dxfId="3523" priority="1022" operator="containsText" text="Done">
      <formula>NOT(ISERROR(SEARCH("Done",#REF!)))</formula>
    </cfRule>
    <cfRule type="containsText" dxfId="3522" priority="1023" operator="containsText" text="Pending">
      <formula>NOT(ISERROR(SEARCH("Pending",#REF!)))</formula>
    </cfRule>
    <cfRule type="containsText" dxfId="3521" priority="1024" operator="containsText" text="Pending">
      <formula>NOT(ISERROR(SEARCH("Pending",#REF!)))</formula>
    </cfRule>
    <cfRule type="containsText" dxfId="3520" priority="1030" operator="containsText" text="Pending">
      <formula>NOT(ISERROR(SEARCH("Pending",#REF!)))</formula>
    </cfRule>
    <cfRule type="containsText" dxfId="3519" priority="1025" operator="containsText" text="Pending">
      <formula>NOT(ISERROR(SEARCH("Pending",#REF!)))</formula>
    </cfRule>
    <cfRule type="containsText" dxfId="3518" priority="1026" operator="containsText" text="NA">
      <formula>NOT(ISERROR(SEARCH("NA",#REF!)))</formula>
    </cfRule>
    <cfRule type="containsText" dxfId="3517" priority="1027" operator="containsText" text="NA">
      <formula>NOT(ISERROR(SEARCH("NA",#REF!)))</formula>
    </cfRule>
    <cfRule type="containsText" dxfId="3516" priority="1028" operator="containsText" text="NA">
      <formula>NOT(ISERROR(SEARCH("NA",#REF!)))</formula>
    </cfRule>
    <cfRule type="containsText" dxfId="3515" priority="4756" operator="containsText" text="NA">
      <formula>NOT(ISERROR(SEARCH("NA",#REF!)))</formula>
    </cfRule>
    <cfRule type="containsText" dxfId="3514" priority="4755" operator="containsText" text="NA">
      <formula>NOT(ISERROR(SEARCH("NA",#REF!)))</formula>
    </cfRule>
    <cfRule type="containsText" dxfId="3513" priority="1029" operator="containsText" text="Done">
      <formula>NOT(ISERROR(SEARCH("Done",#REF!)))</formula>
    </cfRule>
    <cfRule type="containsText" dxfId="3512" priority="4753" operator="containsText" text="Pending">
      <formula>NOT(ISERROR(SEARCH("Pending",#REF!)))</formula>
    </cfRule>
    <cfRule type="containsText" dxfId="3511" priority="4752" operator="containsText" text="Done">
      <formula>NOT(ISERROR(SEARCH("Done",#REF!)))</formula>
    </cfRule>
    <cfRule type="containsText" dxfId="3510" priority="4740" operator="containsText" text="Done">
      <formula>NOT(ISERROR(SEARCH("Done",#REF!)))</formula>
    </cfRule>
    <cfRule type="containsText" dxfId="3509" priority="4741" operator="containsText" text="Pending">
      <formula>NOT(ISERROR(SEARCH("Pending",#REF!)))</formula>
    </cfRule>
    <cfRule type="containsText" dxfId="3508" priority="4742" operator="containsText" text="Pending">
      <formula>NOT(ISERROR(SEARCH("Pending",#REF!)))</formula>
    </cfRule>
    <cfRule type="containsText" dxfId="3507" priority="1031" operator="containsText" text="Pending">
      <formula>NOT(ISERROR(SEARCH("Pending",#REF!)))</formula>
    </cfRule>
    <cfRule type="containsText" dxfId="3506" priority="4754" operator="containsText" text="Pending">
      <formula>NOT(ISERROR(SEARCH("Pending",#REF!)))</formula>
    </cfRule>
    <cfRule type="containsText" dxfId="3505" priority="1032" operator="containsText" text="NA">
      <formula>NOT(ISERROR(SEARCH("NA",#REF!)))</formula>
    </cfRule>
    <cfRule type="containsText" dxfId="3504" priority="4743" operator="containsText" text="Pending">
      <formula>NOT(ISERROR(SEARCH("Pending",#REF!)))</formula>
    </cfRule>
    <cfRule type="containsText" dxfId="3503" priority="4744" operator="containsText" text="NA">
      <formula>NOT(ISERROR(SEARCH("NA",#REF!)))</formula>
    </cfRule>
    <cfRule type="containsText" dxfId="3502" priority="4751" operator="containsText" text="NA">
      <formula>NOT(ISERROR(SEARCH("NA",#REF!)))</formula>
    </cfRule>
    <cfRule type="containsText" dxfId="3501" priority="4750" operator="containsText" text="NA">
      <formula>NOT(ISERROR(SEARCH("NA",#REF!)))</formula>
    </cfRule>
    <cfRule type="containsText" dxfId="3500" priority="4749" operator="containsText" text="Pending">
      <formula>NOT(ISERROR(SEARCH("Pending",#REF!)))</formula>
    </cfRule>
    <cfRule type="containsText" dxfId="3499" priority="4748" operator="containsText" text="Pending">
      <formula>NOT(ISERROR(SEARCH("Pending",#REF!)))</formula>
    </cfRule>
  </conditionalFormatting>
  <conditionalFormatting sqref="AB77:AB83">
    <cfRule type="containsText" dxfId="3498" priority="109321" operator="containsText" text="Pending">
      <formula>NOT(ISERROR(SEARCH("Pending",#REF!)))</formula>
    </cfRule>
    <cfRule type="containsText" dxfId="3497" priority="109320" operator="containsText" text="Done">
      <formula>NOT(ISERROR(SEARCH("Done",#REF!)))</formula>
    </cfRule>
    <cfRule type="containsText" dxfId="3496" priority="109319" operator="containsText" text="NA">
      <formula>NOT(ISERROR(SEARCH("NA",#REF!)))</formula>
    </cfRule>
    <cfRule type="containsText" dxfId="3495" priority="109318" operator="containsText" text="NA">
      <formula>NOT(ISERROR(SEARCH("NA",#REF!)))</formula>
    </cfRule>
    <cfRule type="containsText" dxfId="3494" priority="109317" operator="containsText" text="NA">
      <formula>NOT(ISERROR(SEARCH("NA",#REF!)))</formula>
    </cfRule>
    <cfRule type="containsText" dxfId="3493" priority="109316" operator="containsText" text="Pending">
      <formula>NOT(ISERROR(SEARCH("Pending",#REF!)))</formula>
    </cfRule>
    <cfRule type="containsText" dxfId="3492" priority="109315" operator="containsText" text="Pending">
      <formula>NOT(ISERROR(SEARCH("Pending",#REF!)))</formula>
    </cfRule>
    <cfRule type="containsText" dxfId="3491" priority="109314" operator="containsText" text="Pending">
      <formula>NOT(ISERROR(SEARCH("Pending",#REF!)))</formula>
    </cfRule>
    <cfRule type="containsText" dxfId="3490" priority="109313" operator="containsText" text="Done">
      <formula>NOT(ISERROR(SEARCH("Done",#REF!)))</formula>
    </cfRule>
    <cfRule type="containsText" dxfId="3489" priority="109312" operator="containsText" text="Done">
      <formula>NOT(ISERROR(SEARCH("Done",#REF!)))</formula>
    </cfRule>
    <cfRule type="containsText" dxfId="3488" priority="109311" operator="containsText" text="NA">
      <formula>NOT(ISERROR(SEARCH("NA",#REF!)))</formula>
    </cfRule>
    <cfRule type="containsText" dxfId="3487" priority="109310" operator="containsText" text="Pending">
      <formula>NOT(ISERROR(SEARCH("Pending",#REF!)))</formula>
    </cfRule>
    <cfRule type="containsText" dxfId="3486" priority="109329" operator="containsText" text="NA">
      <formula>NOT(ISERROR(SEARCH("NA",#REF!)))</formula>
    </cfRule>
    <cfRule type="containsText" dxfId="3485" priority="109328" operator="containsText" text="NA">
      <formula>NOT(ISERROR(SEARCH("NA",#REF!)))</formula>
    </cfRule>
    <cfRule type="containsText" dxfId="3484" priority="109327" operator="containsText" text="Pending">
      <formula>NOT(ISERROR(SEARCH("Pending",#REF!)))</formula>
    </cfRule>
    <cfRule type="containsText" dxfId="3483" priority="109325" operator="containsText" text="Done">
      <formula>NOT(ISERROR(SEARCH("Done",#REF!)))</formula>
    </cfRule>
    <cfRule type="containsText" dxfId="3482" priority="109324" operator="containsText" text="NA">
      <formula>NOT(ISERROR(SEARCH("NA",#REF!)))</formula>
    </cfRule>
    <cfRule type="containsText" dxfId="3481" priority="109323" operator="containsText" text="NA">
      <formula>NOT(ISERROR(SEARCH("NA",#REF!)))</formula>
    </cfRule>
    <cfRule type="containsText" dxfId="3480" priority="109322" operator="containsText" text="Pending">
      <formula>NOT(ISERROR(SEARCH("Pending",#REF!)))</formula>
    </cfRule>
  </conditionalFormatting>
  <conditionalFormatting sqref="AB86:AB88">
    <cfRule type="containsText" dxfId="3479" priority="4853" operator="containsText" text="NA">
      <formula>NOT(ISERROR(SEARCH("NA",#REF!)))</formula>
    </cfRule>
    <cfRule type="containsText" dxfId="3478" priority="4843" operator="containsText" text="NA">
      <formula>NOT(ISERROR(SEARCH("NA",#REF!)))</formula>
    </cfRule>
    <cfRule type="containsText" dxfId="3477" priority="4849" operator="containsText" text="Done">
      <formula>NOT(ISERROR(SEARCH("Done",#REF!)))</formula>
    </cfRule>
    <cfRule type="containsText" dxfId="3476" priority="4844" operator="containsText" text="Done">
      <formula>NOT(ISERROR(SEARCH("Done",#REF!)))</formula>
    </cfRule>
    <cfRule type="containsText" dxfId="3475" priority="4845" operator="containsText" text="Pending">
      <formula>NOT(ISERROR(SEARCH("Pending",#REF!)))</formula>
    </cfRule>
    <cfRule type="containsText" dxfId="3474" priority="4838" operator="containsText" text="Pending">
      <formula>NOT(ISERROR(SEARCH("Pending",#REF!)))</formula>
    </cfRule>
    <cfRule type="containsText" dxfId="3473" priority="4852" operator="containsText" text="NA">
      <formula>NOT(ISERROR(SEARCH("NA",#REF!)))</formula>
    </cfRule>
    <cfRule type="containsText" dxfId="3472" priority="4841" operator="containsText" text="NA">
      <formula>NOT(ISERROR(SEARCH("NA",#REF!)))</formula>
    </cfRule>
    <cfRule type="containsText" dxfId="3471" priority="4840" operator="containsText" text="Pending">
      <formula>NOT(ISERROR(SEARCH("Pending",#REF!)))</formula>
    </cfRule>
    <cfRule type="containsText" dxfId="3470" priority="4839" operator="containsText" text="Pending">
      <formula>NOT(ISERROR(SEARCH("Pending",#REF!)))</formula>
    </cfRule>
    <cfRule type="containsText" dxfId="3469" priority="4846" operator="containsText" text="Pending">
      <formula>NOT(ISERROR(SEARCH("Pending",#REF!)))</formula>
    </cfRule>
    <cfRule type="containsText" dxfId="3468" priority="4848" operator="containsText" text="NA">
      <formula>NOT(ISERROR(SEARCH("NA",#REF!)))</formula>
    </cfRule>
    <cfRule type="containsText" dxfId="3467" priority="4847" operator="containsText" text="NA">
      <formula>NOT(ISERROR(SEARCH("NA",#REF!)))</formula>
    </cfRule>
    <cfRule type="containsText" dxfId="3466" priority="4850" operator="containsText" text="Pending">
      <formula>NOT(ISERROR(SEARCH("Pending",#REF!)))</formula>
    </cfRule>
    <cfRule type="containsText" dxfId="3465" priority="4851" operator="containsText" text="Pending">
      <formula>NOT(ISERROR(SEARCH("Pending",#REF!)))</formula>
    </cfRule>
    <cfRule type="containsText" dxfId="3464" priority="4842" operator="containsText" text="NA">
      <formula>NOT(ISERROR(SEARCH("NA",#REF!)))</formula>
    </cfRule>
    <cfRule type="containsText" dxfId="3463" priority="4837" operator="containsText" text="Done">
      <formula>NOT(ISERROR(SEARCH("Done",#REF!)))</formula>
    </cfRule>
  </conditionalFormatting>
  <conditionalFormatting sqref="AB89">
    <cfRule type="containsText" dxfId="3462" priority="4242" operator="containsText" text="Pending">
      <formula>NOT(ISERROR(SEARCH("Pending",#REF!)))</formula>
    </cfRule>
    <cfRule type="containsText" dxfId="3461" priority="4243" operator="containsText" text="NA">
      <formula>NOT(ISERROR(SEARCH("NA",#REF!)))</formula>
    </cfRule>
    <cfRule type="containsText" dxfId="3460" priority="4239" operator="containsText" text="NA">
      <formula>NOT(ISERROR(SEARCH("NA",AB89)))</formula>
    </cfRule>
    <cfRule type="containsText" dxfId="3459" priority="4241" operator="containsText" text="Done">
      <formula>NOT(ISERROR(SEARCH("Done",#REF!)))</formula>
    </cfRule>
    <cfRule type="containsText" dxfId="3458" priority="4240" operator="containsText" text="Done">
      <formula>NOT(ISERROR(SEARCH("Done",AB89)))</formula>
    </cfRule>
    <cfRule type="containsText" dxfId="3457" priority="4238" operator="containsText" text="NA">
      <formula>NOT(ISERROR(SEARCH("NA",#REF!)))</formula>
    </cfRule>
    <cfRule type="containsText" dxfId="3456" priority="4237" operator="containsText" text="Pending">
      <formula>NOT(ISERROR(SEARCH("Pending",#REF!)))</formula>
    </cfRule>
    <cfRule type="containsText" dxfId="3455" priority="4236" operator="containsText" text="Done">
      <formula>NOT(ISERROR(SEARCH("Done",#REF!)))</formula>
    </cfRule>
    <cfRule type="containsText" dxfId="3454" priority="4235" operator="containsText" text="Done">
      <formula>NOT(ISERROR(SEARCH("Done",AB89)))</formula>
    </cfRule>
    <cfRule type="containsText" dxfId="3453" priority="4234" operator="containsText" text="NA">
      <formula>NOT(ISERROR(SEARCH("NA",AB89)))</formula>
    </cfRule>
  </conditionalFormatting>
  <conditionalFormatting sqref="AB29:AD30 Z29:Z32 AC29:AD32 AG29:AG32 W30:AB32 X31:AG32">
    <cfRule type="containsText" dxfId="3452" priority="109681" operator="containsText" text="Pending">
      <formula>NOT(ISERROR(SEARCH("Pending",#REF!)))</formula>
    </cfRule>
    <cfRule type="containsText" dxfId="3451" priority="109677" operator="containsText" text="Pending">
      <formula>NOT(ISERROR(SEARCH("Pending",#REF!)))</formula>
    </cfRule>
    <cfRule type="containsText" dxfId="3450" priority="109674" operator="containsText" text="Pending">
      <formula>NOT(ISERROR(SEARCH("Pending",#REF!)))</formula>
    </cfRule>
  </conditionalFormatting>
  <conditionalFormatting sqref="AC18:AC26">
    <cfRule type="containsText" dxfId="3449" priority="4920" operator="containsText" text="Pending">
      <formula>NOT(ISERROR(SEARCH("Pending",#REF!)))</formula>
    </cfRule>
    <cfRule type="containsText" dxfId="3448" priority="4919" operator="containsText" text="Pending">
      <formula>NOT(ISERROR(SEARCH("Pending",#REF!)))</formula>
    </cfRule>
    <cfRule type="containsText" dxfId="3447" priority="75620" operator="containsText" text="Done">
      <formula>NOT(ISERROR(SEARCH("Done",#REF!)))</formula>
    </cfRule>
    <cfRule type="containsText" dxfId="3446" priority="75621" operator="containsText" text="Pending">
      <formula>NOT(ISERROR(SEARCH("Pending",#REF!)))</formula>
    </cfRule>
    <cfRule type="containsText" dxfId="3445" priority="75622" operator="containsText" text="Pending">
      <formula>NOT(ISERROR(SEARCH("Pending",#REF!)))</formula>
    </cfRule>
    <cfRule type="containsText" dxfId="3444" priority="75623" operator="containsText" text="NA">
      <formula>NOT(ISERROR(SEARCH("NA",#REF!)))</formula>
    </cfRule>
    <cfRule type="containsText" dxfId="3443" priority="75624" operator="containsText" text="NA">
      <formula>NOT(ISERROR(SEARCH("NA",#REF!)))</formula>
    </cfRule>
    <cfRule type="containsText" dxfId="3442" priority="4927" operator="containsText" text="Done">
      <formula>NOT(ISERROR(SEARCH("Done",#REF!)))</formula>
    </cfRule>
    <cfRule type="containsText" dxfId="3441" priority="4922" operator="containsText" text="NA">
      <formula>NOT(ISERROR(SEARCH("NA",#REF!)))</formula>
    </cfRule>
    <cfRule type="containsText" dxfId="3440" priority="4921" operator="containsText" text="NA">
      <formula>NOT(ISERROR(SEARCH("NA",#REF!)))</formula>
    </cfRule>
    <cfRule type="containsText" dxfId="3439" priority="36" operator="containsText" text="Done">
      <formula>NOT(ISERROR(SEARCH("Done",#REF!)))</formula>
    </cfRule>
    <cfRule type="containsText" dxfId="3438" priority="28" operator="containsText" text="Pending">
      <formula>NOT(ISERROR(SEARCH("Pending",#REF!)))</formula>
    </cfRule>
    <cfRule type="containsText" dxfId="3437" priority="29" operator="containsText" text="Pending">
      <formula>NOT(ISERROR(SEARCH("Pending",#REF!)))</formula>
    </cfRule>
    <cfRule type="containsText" dxfId="3436" priority="30" operator="containsText" text="NA">
      <formula>NOT(ISERROR(SEARCH("NA",#REF!)))</formula>
    </cfRule>
    <cfRule type="containsText" dxfId="3435" priority="31" operator="containsText" text="NA">
      <formula>NOT(ISERROR(SEARCH("NA",#REF!)))</formula>
    </cfRule>
  </conditionalFormatting>
  <conditionalFormatting sqref="AC19:AC26">
    <cfRule type="containsText" dxfId="3434" priority="75628" operator="containsText" text="NA">
      <formula>NOT(ISERROR(SEARCH("NA",#REF!)))</formula>
    </cfRule>
    <cfRule type="containsText" dxfId="3433" priority="4925" operator="containsText" text="NA">
      <formula>NOT(ISERROR(SEARCH("NA",#REF!)))</formula>
    </cfRule>
    <cfRule type="containsText" dxfId="3432" priority="35" operator="containsText" text="NA">
      <formula>NOT(ISERROR(SEARCH("NA",#REF!)))</formula>
    </cfRule>
    <cfRule type="containsText" dxfId="3431" priority="32" operator="containsText" text="Pending">
      <formula>NOT(ISERROR(SEARCH("Pending",#REF!)))</formula>
    </cfRule>
    <cfRule type="containsText" dxfId="3430" priority="33" operator="containsText" text="Pending">
      <formula>NOT(ISERROR(SEARCH("Pending",#REF!)))</formula>
    </cfRule>
    <cfRule type="containsText" dxfId="3429" priority="34" operator="containsText" text="NA">
      <formula>NOT(ISERROR(SEARCH("NA",#REF!)))</formula>
    </cfRule>
    <cfRule type="containsText" dxfId="3428" priority="4926" operator="containsText" text="NA">
      <formula>NOT(ISERROR(SEARCH("NA",#REF!)))</formula>
    </cfRule>
    <cfRule type="containsText" dxfId="3427" priority="4923" operator="containsText" text="Pending">
      <formula>NOT(ISERROR(SEARCH("Pending",#REF!)))</formula>
    </cfRule>
    <cfRule type="containsText" dxfId="3426" priority="4924" operator="containsText" text="Pending">
      <formula>NOT(ISERROR(SEARCH("Pending",#REF!)))</formula>
    </cfRule>
    <cfRule type="containsText" dxfId="3425" priority="75625" operator="containsText" text="Pending">
      <formula>NOT(ISERROR(SEARCH("Pending",#REF!)))</formula>
    </cfRule>
    <cfRule type="containsText" dxfId="3424" priority="75626" operator="containsText" text="Pending">
      <formula>NOT(ISERROR(SEARCH("Pending",#REF!)))</formula>
    </cfRule>
    <cfRule type="containsText" dxfId="3423" priority="75627" operator="containsText" text="NA">
      <formula>NOT(ISERROR(SEARCH("NA",#REF!)))</formula>
    </cfRule>
  </conditionalFormatting>
  <conditionalFormatting sqref="AC29">
    <cfRule type="containsText" dxfId="3422" priority="123444" operator="containsText" text="NA">
      <formula>NOT(ISERROR(SEARCH("NA",#REF!)))</formula>
    </cfRule>
    <cfRule type="containsText" dxfId="3421" priority="123443" operator="containsText" text="Done">
      <formula>NOT(ISERROR(SEARCH("Done",AC29)))</formula>
    </cfRule>
    <cfRule type="containsText" dxfId="3420" priority="123442" operator="containsText" text="Pending">
      <formula>NOT(ISERROR(SEARCH("Pending",AC29)))</formula>
    </cfRule>
    <cfRule type="containsText" dxfId="3419" priority="123441" operator="containsText" text="NA">
      <formula>NOT(ISERROR(SEARCH("NA",AC29)))</formula>
    </cfRule>
    <cfRule type="containsText" dxfId="3418" priority="123446" operator="containsText" text="Pending">
      <formula>NOT(ISERROR(SEARCH("Pending",#REF!)))</formula>
    </cfRule>
    <cfRule type="containsText" dxfId="3417" priority="123447" operator="containsText" text="NA">
      <formula>NOT(ISERROR(SEARCH("NA",#REF!)))</formula>
    </cfRule>
    <cfRule type="containsText" dxfId="3416" priority="123445" operator="containsText" text="Done">
      <formula>NOT(ISERROR(SEARCH("Done",#REF!)))</formula>
    </cfRule>
  </conditionalFormatting>
  <conditionalFormatting sqref="AC46">
    <cfRule type="containsText" dxfId="3415" priority="139976" operator="containsText" text="Done">
      <formula>NOT(ISERROR(SEARCH("Done",#REF!)))</formula>
    </cfRule>
    <cfRule type="containsText" dxfId="3414" priority="139979" operator="containsText" text="Pending">
      <formula>NOT(ISERROR(SEARCH("Pending",#REF!)))</formula>
    </cfRule>
    <cfRule type="containsText" dxfId="3413" priority="139982" operator="containsText" text="NA">
      <formula>NOT(ISERROR(SEARCH("NA",#REF!)))</formula>
    </cfRule>
  </conditionalFormatting>
  <conditionalFormatting sqref="AC76:AC83">
    <cfRule type="containsText" dxfId="3412" priority="4735" operator="containsText" text="NA">
      <formula>NOT(ISERROR(SEARCH("NA",AC76)))</formula>
    </cfRule>
    <cfRule type="containsText" dxfId="3411" priority="1018" operator="containsText" text="Done">
      <formula>NOT(ISERROR(SEARCH("Done",AC76)))</formula>
    </cfRule>
    <cfRule type="containsText" dxfId="3410" priority="1019" operator="containsText" text="Done">
      <formula>NOT(ISERROR(SEARCH("Done",#REF!)))</formula>
    </cfRule>
    <cfRule type="containsText" dxfId="3409" priority="4739" operator="containsText" text="NA">
      <formula>NOT(ISERROR(SEARCH("NA",#REF!)))</formula>
    </cfRule>
    <cfRule type="containsText" dxfId="3408" priority="4738" operator="containsText" text="Pending">
      <formula>NOT(ISERROR(SEARCH("Pending",#REF!)))</formula>
    </cfRule>
    <cfRule type="containsText" dxfId="3407" priority="4737" operator="containsText" text="Done">
      <formula>NOT(ISERROR(SEARCH("Done",#REF!)))</formula>
    </cfRule>
    <cfRule type="containsText" dxfId="3406" priority="4736" operator="containsText" text="Done">
      <formula>NOT(ISERROR(SEARCH("Done",AC76)))</formula>
    </cfRule>
    <cfRule type="containsText" dxfId="3405" priority="1020" operator="containsText" text="Pending">
      <formula>NOT(ISERROR(SEARCH("Pending",#REF!)))</formula>
    </cfRule>
    <cfRule type="containsText" dxfId="3404" priority="1021" operator="containsText" text="NA">
      <formula>NOT(ISERROR(SEARCH("NA",#REF!)))</formula>
    </cfRule>
    <cfRule type="containsText" dxfId="3403" priority="1017" operator="containsText" text="NA">
      <formula>NOT(ISERROR(SEARCH("NA",AC76)))</formula>
    </cfRule>
  </conditionalFormatting>
  <conditionalFormatting sqref="AC86:AC89">
    <cfRule type="containsText" dxfId="3402" priority="4832" operator="containsText" text="NA">
      <formula>NOT(ISERROR(SEARCH("NA",AC86)))</formula>
    </cfRule>
    <cfRule type="containsText" dxfId="3401" priority="4833" operator="containsText" text="Done">
      <formula>NOT(ISERROR(SEARCH("Done",AC86)))</formula>
    </cfRule>
    <cfRule type="containsText" dxfId="3400" priority="4834" operator="containsText" text="Done">
      <formula>NOT(ISERROR(SEARCH("Done",#REF!)))</formula>
    </cfRule>
    <cfRule type="containsText" dxfId="3399" priority="4835" operator="containsText" text="Pending">
      <formula>NOT(ISERROR(SEARCH("Pending",#REF!)))</formula>
    </cfRule>
    <cfRule type="containsText" dxfId="3398" priority="4836" operator="containsText" text="NA">
      <formula>NOT(ISERROR(SEARCH("NA",#REF!)))</formula>
    </cfRule>
  </conditionalFormatting>
  <conditionalFormatting sqref="AC88">
    <cfRule type="containsText" dxfId="3397" priority="1114" operator="containsText" text="Pending">
      <formula>NOT(ISERROR(SEARCH("Pending",#REF!)))</formula>
    </cfRule>
    <cfRule type="containsText" dxfId="3396" priority="1115" operator="containsText" text="NA">
      <formula>NOT(ISERROR(SEARCH("NA",#REF!)))</formula>
    </cfRule>
    <cfRule type="containsText" dxfId="3395" priority="1116" operator="containsText" text="Done">
      <formula>NOT(ISERROR(SEARCH("Done",#REF!)))</formula>
    </cfRule>
    <cfRule type="containsText" dxfId="3394" priority="1109" operator="containsText" text="Pending">
      <formula>NOT(ISERROR(SEARCH("Pending",#REF!)))</formula>
    </cfRule>
    <cfRule type="containsText" dxfId="3393" priority="1110" operator="containsText" text="NA">
      <formula>NOT(ISERROR(SEARCH("NA",#REF!)))</formula>
    </cfRule>
    <cfRule type="containsText" dxfId="3392" priority="1111" operator="containsText" text="NA">
      <formula>NOT(ISERROR(SEARCH("NA",AC88)))</formula>
    </cfRule>
    <cfRule type="containsText" dxfId="3391" priority="1112" operator="containsText" text="Done">
      <formula>NOT(ISERROR(SEARCH("Done",AC88)))</formula>
    </cfRule>
    <cfRule type="containsText" dxfId="3390" priority="1113" operator="containsText" text="Done">
      <formula>NOT(ISERROR(SEARCH("Done",#REF!)))</formula>
    </cfRule>
  </conditionalFormatting>
  <conditionalFormatting sqref="AC88:AC89">
    <cfRule type="containsText" dxfId="3389" priority="77341" operator="containsText" text="NA">
      <formula>NOT(ISERROR(SEARCH("NA",#REF!)))</formula>
    </cfRule>
    <cfRule type="containsText" dxfId="3388" priority="77339" operator="containsText" text="Done">
      <formula>NOT(ISERROR(SEARCH("Done",#REF!)))</formula>
    </cfRule>
    <cfRule type="containsText" dxfId="3387" priority="77340" operator="containsText" text="Pending">
      <formula>NOT(ISERROR(SEARCH("Pending",#REF!)))</formula>
    </cfRule>
    <cfRule type="containsText" dxfId="3386" priority="77338" operator="containsText" text="Done">
      <formula>NOT(ISERROR(SEARCH("Done",AC88)))</formula>
    </cfRule>
    <cfRule type="containsText" dxfId="3385" priority="77337" operator="containsText" text="NA">
      <formula>NOT(ISERROR(SEARCH("NA",AC88)))</formula>
    </cfRule>
  </conditionalFormatting>
  <conditionalFormatting sqref="AC16:AD16 AI43:AI44 AI98">
    <cfRule type="containsText" dxfId="3384" priority="128434" operator="containsText" text="Pending">
      <formula>NOT(ISERROR(SEARCH("Pending",#REF!)))</formula>
    </cfRule>
  </conditionalFormatting>
  <conditionalFormatting sqref="AC18:AD25">
    <cfRule type="containsText" dxfId="3383" priority="75612" operator="containsText" text="Pending">
      <formula>NOT(ISERROR(SEARCH("Pending",#REF!)))</formula>
    </cfRule>
    <cfRule type="containsText" dxfId="3382" priority="75613" operator="containsText" text="Pending">
      <formula>NOT(ISERROR(SEARCH("Pending",#REF!)))</formula>
    </cfRule>
    <cfRule type="containsText" dxfId="3381" priority="75614" operator="containsText" text="NA">
      <formula>NOT(ISERROR(SEARCH("NA",#REF!)))</formula>
    </cfRule>
    <cfRule type="containsText" dxfId="3380" priority="75615" operator="containsText" text="NA">
      <formula>NOT(ISERROR(SEARCH("NA",#REF!)))</formula>
    </cfRule>
    <cfRule type="containsText" dxfId="3379" priority="75611" operator="containsText" text="Done">
      <formula>NOT(ISERROR(SEARCH("Done",#REF!)))</formula>
    </cfRule>
  </conditionalFormatting>
  <conditionalFormatting sqref="AC19:AD25">
    <cfRule type="containsText" dxfId="3378" priority="75616" operator="containsText" text="Pending">
      <formula>NOT(ISERROR(SEARCH("Pending",#REF!)))</formula>
    </cfRule>
    <cfRule type="containsText" dxfId="3377" priority="75617" operator="containsText" text="Pending">
      <formula>NOT(ISERROR(SEARCH("Pending",#REF!)))</formula>
    </cfRule>
    <cfRule type="containsText" dxfId="3376" priority="75618" operator="containsText" text="NA">
      <formula>NOT(ISERROR(SEARCH("NA",#REF!)))</formula>
    </cfRule>
    <cfRule type="containsText" dxfId="3375" priority="75619" operator="containsText" text="NA">
      <formula>NOT(ISERROR(SEARCH("NA",#REF!)))</formula>
    </cfRule>
  </conditionalFormatting>
  <conditionalFormatting sqref="AC26:AD26">
    <cfRule type="containsText" dxfId="3374" priority="30988" operator="containsText" text="Pending">
      <formula>NOT(ISERROR(SEARCH("Pending",#REF!)))</formula>
    </cfRule>
    <cfRule type="containsText" dxfId="3373" priority="30989" operator="containsText" text="Pending">
      <formula>NOT(ISERROR(SEARCH("Pending",#REF!)))</formula>
    </cfRule>
    <cfRule type="containsText" dxfId="3372" priority="30990" operator="containsText" text="NA">
      <formula>NOT(ISERROR(SEARCH("NA",#REF!)))</formula>
    </cfRule>
    <cfRule type="containsText" dxfId="3371" priority="30992" operator="containsText" text="Pending">
      <formula>NOT(ISERROR(SEARCH("Pending",#REF!)))</formula>
    </cfRule>
    <cfRule type="containsText" dxfId="3370" priority="30993" operator="containsText" text="Pending">
      <formula>NOT(ISERROR(SEARCH("Pending",#REF!)))</formula>
    </cfRule>
    <cfRule type="containsText" dxfId="3369" priority="30994" operator="containsText" text="NA">
      <formula>NOT(ISERROR(SEARCH("NA",#REF!)))</formula>
    </cfRule>
    <cfRule type="containsText" dxfId="3368" priority="30995" operator="containsText" text="NA">
      <formula>NOT(ISERROR(SEARCH("NA",#REF!)))</formula>
    </cfRule>
    <cfRule type="containsText" dxfId="3367" priority="30996" operator="containsText" text="Done">
      <formula>NOT(ISERROR(SEARCH("Done",#REF!)))</formula>
    </cfRule>
    <cfRule type="containsText" dxfId="3366" priority="30991" operator="containsText" text="NA">
      <formula>NOT(ISERROR(SEARCH("NA",#REF!)))</formula>
    </cfRule>
  </conditionalFormatting>
  <conditionalFormatting sqref="AC29:AD29">
    <cfRule type="containsText" dxfId="3365" priority="118955" operator="containsText" text="NA">
      <formula>NOT(ISERROR(SEARCH("NA",AC29)))</formula>
    </cfRule>
    <cfRule type="containsText" dxfId="3364" priority="118956" operator="containsText" text="Pending">
      <formula>NOT(ISERROR(SEARCH("Pending",AC29)))</formula>
    </cfRule>
    <cfRule type="containsText" dxfId="3363" priority="118957" operator="containsText" text="Done">
      <formula>NOT(ISERROR(SEARCH("Done",AC29)))</formula>
    </cfRule>
    <cfRule type="containsText" dxfId="3362" priority="118958" operator="containsText" text="NA">
      <formula>NOT(ISERROR(SEARCH("NA",#REF!)))</formula>
    </cfRule>
    <cfRule type="containsText" dxfId="3361" priority="118959" operator="containsText" text="Done">
      <formula>NOT(ISERROR(SEARCH("Done",#REF!)))</formula>
    </cfRule>
    <cfRule type="containsText" dxfId="3360" priority="118960" operator="containsText" text="Pending">
      <formula>NOT(ISERROR(SEARCH("Pending",#REF!)))</formula>
    </cfRule>
    <cfRule type="containsText" dxfId="3359" priority="118961" operator="containsText" text="NA">
      <formula>NOT(ISERROR(SEARCH("NA",#REF!)))</formula>
    </cfRule>
  </conditionalFormatting>
  <conditionalFormatting sqref="AC29:AD30">
    <cfRule type="containsText" dxfId="3358" priority="1249" operator="containsText" text="NA">
      <formula>NOT(ISERROR(SEARCH("NA",#REF!)))</formula>
    </cfRule>
    <cfRule type="containsText" dxfId="3357" priority="1246" operator="containsText" text="NA">
      <formula>NOT(ISERROR(SEARCH("NA",#REF!)))</formula>
    </cfRule>
    <cfRule type="containsText" dxfId="3356" priority="1245" operator="containsText" text="NA">
      <formula>NOT(ISERROR(SEARCH("NA",#REF!)))</formula>
    </cfRule>
    <cfRule type="containsText" dxfId="3355" priority="1244" operator="containsText" text="Pending">
      <formula>NOT(ISERROR(SEARCH("Pending",#REF!)))</formula>
    </cfRule>
    <cfRule type="containsText" dxfId="3354" priority="1247" operator="containsText" text="Done">
      <formula>NOT(ISERROR(SEARCH("Done",#REF!)))</formula>
    </cfRule>
    <cfRule type="containsText" dxfId="3353" priority="1243" operator="containsText" text="Done">
      <formula>NOT(ISERROR(SEARCH("Done",#REF!)))</formula>
    </cfRule>
    <cfRule type="containsText" dxfId="3352" priority="5093" operator="containsText" text="NA">
      <formula>NOT(ISERROR(SEARCH("NA",#REF!)))</formula>
    </cfRule>
    <cfRule type="containsText" dxfId="3351" priority="5094" operator="containsText" text="Done">
      <formula>NOT(ISERROR(SEARCH("Done",#REF!)))</formula>
    </cfRule>
    <cfRule type="containsText" dxfId="3350" priority="1242" operator="containsText" text="NA">
      <formula>NOT(ISERROR(SEARCH("NA",#REF!)))</formula>
    </cfRule>
    <cfRule type="containsText" dxfId="3349" priority="5095" operator="containsText" text="Pending">
      <formula>NOT(ISERROR(SEARCH("Pending",#REF!)))</formula>
    </cfRule>
    <cfRule type="containsText" dxfId="3348" priority="5096" operator="containsText" text="NA">
      <formula>NOT(ISERROR(SEARCH("NA",#REF!)))</formula>
    </cfRule>
    <cfRule type="containsText" dxfId="3347" priority="5097" operator="containsText" text="NA">
      <formula>NOT(ISERROR(SEARCH("NA",AC29)))</formula>
    </cfRule>
    <cfRule type="containsText" dxfId="3346" priority="5098" operator="containsText" text="Done">
      <formula>NOT(ISERROR(SEARCH("Done",AC29)))</formula>
    </cfRule>
    <cfRule type="containsText" dxfId="3345" priority="5099" operator="containsText" text="NA">
      <formula>NOT(ISERROR(SEARCH("NA",#REF!)))</formula>
    </cfRule>
    <cfRule type="containsText" dxfId="3344" priority="5100" operator="containsText" text="Done">
      <formula>NOT(ISERROR(SEARCH("Done",#REF!)))</formula>
    </cfRule>
    <cfRule type="containsText" dxfId="3343" priority="1248" operator="containsText" text="Pending">
      <formula>NOT(ISERROR(SEARCH("Pending",#REF!)))</formula>
    </cfRule>
    <cfRule type="containsText" dxfId="3342" priority="5101" operator="containsText" text="Pending">
      <formula>NOT(ISERROR(SEARCH("Pending",#REF!)))</formula>
    </cfRule>
    <cfRule type="containsText" dxfId="3341" priority="5102" operator="containsText" text="NA">
      <formula>NOT(ISERROR(SEARCH("NA",#REF!)))</formula>
    </cfRule>
    <cfRule type="containsText" dxfId="3340" priority="5103" operator="containsText" text="NA">
      <formula>NOT(ISERROR(SEARCH("NA",AC29)))</formula>
    </cfRule>
    <cfRule type="containsText" dxfId="3339" priority="5104" operator="containsText" text="Pending">
      <formula>NOT(ISERROR(SEARCH("Pending",AC29)))</formula>
    </cfRule>
    <cfRule type="containsText" dxfId="3338" priority="5105" operator="containsText" text="Done">
      <formula>NOT(ISERROR(SEARCH("Done",AC29)))</formula>
    </cfRule>
    <cfRule type="containsText" dxfId="3337" priority="5106" operator="containsText" text="NA">
      <formula>NOT(ISERROR(SEARCH("NA",#REF!)))</formula>
    </cfRule>
    <cfRule type="containsText" dxfId="3336" priority="5107" operator="containsText" text="Done">
      <formula>NOT(ISERROR(SEARCH("Done",#REF!)))</formula>
    </cfRule>
    <cfRule type="containsText" dxfId="3335" priority="5108" operator="containsText" text="Pending">
      <formula>NOT(ISERROR(SEARCH("Pending",#REF!)))</formula>
    </cfRule>
    <cfRule type="containsText" dxfId="3334" priority="5109" operator="containsText" text="NA">
      <formula>NOT(ISERROR(SEARCH("NA",#REF!)))</formula>
    </cfRule>
    <cfRule type="containsText" dxfId="3333" priority="5110" operator="containsText" text="NA">
      <formula>NOT(ISERROR(SEARCH("NA",AC29)))</formula>
    </cfRule>
    <cfRule type="containsText" dxfId="3332" priority="5111" operator="containsText" text="Done">
      <formula>NOT(ISERROR(SEARCH("Done",AC29)))</formula>
    </cfRule>
    <cfRule type="containsText" dxfId="3331" priority="5112" operator="containsText" text="NA">
      <formula>NOT(ISERROR(SEARCH("NA",#REF!)))</formula>
    </cfRule>
    <cfRule type="containsText" dxfId="3330" priority="5113" operator="containsText" text="Done">
      <formula>NOT(ISERROR(SEARCH("Done",#REF!)))</formula>
    </cfRule>
    <cfRule type="containsText" dxfId="3329" priority="5114" operator="containsText" text="Pending">
      <formula>NOT(ISERROR(SEARCH("Pending",#REF!)))</formula>
    </cfRule>
    <cfRule type="containsText" dxfId="3328" priority="5115" operator="containsText" text="NA">
      <formula>NOT(ISERROR(SEARCH("NA",#REF!)))</formula>
    </cfRule>
    <cfRule type="containsText" dxfId="3327" priority="5116" operator="containsText" text="NA">
      <formula>NOT(ISERROR(SEARCH("NA",AC29)))</formula>
    </cfRule>
    <cfRule type="containsText" dxfId="3326" priority="5117" operator="containsText" text="Pending">
      <formula>NOT(ISERROR(SEARCH("Pending",AC29)))</formula>
    </cfRule>
    <cfRule type="containsText" dxfId="3325" priority="5118" operator="containsText" text="Done">
      <formula>NOT(ISERROR(SEARCH("Done",AC29)))</formula>
    </cfRule>
    <cfRule type="containsText" dxfId="3324" priority="5119" operator="containsText" text="NA">
      <formula>NOT(ISERROR(SEARCH("NA",#REF!)))</formula>
    </cfRule>
    <cfRule type="containsText" dxfId="3323" priority="5120" operator="containsText" text="Done">
      <formula>NOT(ISERROR(SEARCH("Done",#REF!)))</formula>
    </cfRule>
    <cfRule type="containsText" dxfId="3322" priority="5121" operator="containsText" text="Pending">
      <formula>NOT(ISERROR(SEARCH("Pending",#REF!)))</formula>
    </cfRule>
    <cfRule type="containsText" dxfId="3321" priority="5122" operator="containsText" text="NA">
      <formula>NOT(ISERROR(SEARCH("NA",#REF!)))</formula>
    </cfRule>
    <cfRule type="containsText" dxfId="3320" priority="5123" operator="containsText" text="NA">
      <formula>NOT(ISERROR(SEARCH("NA",#REF!)))</formula>
    </cfRule>
    <cfRule type="containsText" dxfId="3319" priority="5124" operator="containsText" text="Done">
      <formula>NOT(ISERROR(SEARCH("Done",#REF!)))</formula>
    </cfRule>
    <cfRule type="containsText" dxfId="3318" priority="5125" operator="containsText" text="Pending">
      <formula>NOT(ISERROR(SEARCH("Pending",#REF!)))</formula>
    </cfRule>
    <cfRule type="containsText" dxfId="3317" priority="5126" operator="containsText" text="NA">
      <formula>NOT(ISERROR(SEARCH("NA",#REF!)))</formula>
    </cfRule>
    <cfRule type="containsText" dxfId="3316" priority="5127" operator="containsText" text="NA">
      <formula>NOT(ISERROR(SEARCH("NA",#REF!)))</formula>
    </cfRule>
    <cfRule type="containsText" dxfId="3315" priority="5128" operator="containsText" text="Done">
      <formula>NOT(ISERROR(SEARCH("Done",#REF!)))</formula>
    </cfRule>
    <cfRule type="containsText" dxfId="3314" priority="5129" operator="containsText" text="Pending">
      <formula>NOT(ISERROR(SEARCH("Pending",#REF!)))</formula>
    </cfRule>
    <cfRule type="containsText" dxfId="3313" priority="5130" operator="containsText" text="NA">
      <formula>NOT(ISERROR(SEARCH("NA",#REF!)))</formula>
    </cfRule>
  </conditionalFormatting>
  <conditionalFormatting sqref="AC29:AD32 X31:AG32 Z29:Z32 AG29:AG32 W30:AB32 AB29:AD30">
    <cfRule type="containsText" dxfId="3312" priority="109678" operator="containsText" text="NA">
      <formula>NOT(ISERROR(SEARCH("NA",#REF!)))</formula>
    </cfRule>
    <cfRule type="containsText" dxfId="3311" priority="109679" operator="containsText" text="NA">
      <formula>NOT(ISERROR(SEARCH("NA",#REF!)))</formula>
    </cfRule>
    <cfRule type="containsText" dxfId="3310" priority="109680" operator="containsText" text="Done">
      <formula>NOT(ISERROR(SEARCH("Done",#REF!)))</formula>
    </cfRule>
    <cfRule type="containsText" dxfId="3309" priority="109682" operator="containsText" text="NA">
      <formula>NOT(ISERROR(SEARCH("NA",#REF!)))</formula>
    </cfRule>
    <cfRule type="containsText" dxfId="3308" priority="109675" operator="containsText" text="NA">
      <formula>NOT(ISERROR(SEARCH("NA",#REF!)))</formula>
    </cfRule>
    <cfRule type="containsText" dxfId="3307" priority="109672" operator="containsText" text="NA">
      <formula>NOT(ISERROR(SEARCH("NA",#REF!)))</formula>
    </cfRule>
    <cfRule type="containsText" dxfId="3306" priority="109673" operator="containsText" text="Done">
      <formula>NOT(ISERROR(SEARCH("Done",#REF!)))</formula>
    </cfRule>
    <cfRule type="containsText" dxfId="3305" priority="109676" operator="containsText" text="Done">
      <formula>NOT(ISERROR(SEARCH("Done",#REF!)))</formula>
    </cfRule>
  </conditionalFormatting>
  <conditionalFormatting sqref="AC29:AD32 Y31:AG32">
    <cfRule type="containsText" dxfId="3304" priority="109243" operator="containsText" text="Pending">
      <formula>NOT(ISERROR(SEARCH("Pending",#REF!)))</formula>
    </cfRule>
    <cfRule type="containsText" dxfId="3303" priority="109217" operator="containsText" text="Pending">
      <formula>NOT(ISERROR(SEARCH("Pending",#REF!)))</formula>
    </cfRule>
    <cfRule type="containsText" dxfId="3302" priority="109221" operator="containsText" text="Pending">
      <formula>NOT(ISERROR(SEARCH("Pending",#REF!)))</formula>
    </cfRule>
    <cfRule type="containsText" dxfId="3301" priority="109225" operator="containsText" text="Pending">
      <formula>NOT(ISERROR(SEARCH("Pending",#REF!)))</formula>
    </cfRule>
    <cfRule type="containsText" dxfId="3300" priority="109247" operator="containsText" text="Pending">
      <formula>NOT(ISERROR(SEARCH("Pending",#REF!)))</formula>
    </cfRule>
    <cfRule type="containsText" dxfId="3299" priority="109251" operator="containsText" text="Pending">
      <formula>NOT(ISERROR(SEARCH("Pending",#REF!)))</formula>
    </cfRule>
    <cfRule type="containsText" dxfId="3298" priority="109232" operator="containsText" text="Pending">
      <formula>NOT(ISERROR(SEARCH("Pending",#REF!)))</formula>
    </cfRule>
    <cfRule type="containsText" dxfId="3297" priority="109239" operator="containsText" text="Pending">
      <formula>NOT(ISERROR(SEARCH("Pending",#REF!)))</formula>
    </cfRule>
  </conditionalFormatting>
  <conditionalFormatting sqref="AC29:AD32">
    <cfRule type="containsText" dxfId="3296" priority="76641" operator="containsText" text="Done">
      <formula>NOT(ISERROR(SEARCH("Done",#REF!)))</formula>
    </cfRule>
    <cfRule type="containsText" dxfId="3295" priority="76650" operator="containsText" text="Pending">
      <formula>NOT(ISERROR(SEARCH("Pending",#REF!)))</formula>
    </cfRule>
    <cfRule type="containsText" dxfId="3294" priority="76649" operator="containsText" text="Done">
      <formula>NOT(ISERROR(SEARCH("Done",#REF!)))</formula>
    </cfRule>
    <cfRule type="containsText" dxfId="3293" priority="76648" operator="containsText" text="NA">
      <formula>NOT(ISERROR(SEARCH("NA",#REF!)))</formula>
    </cfRule>
    <cfRule type="containsText" dxfId="3292" priority="76637" operator="containsText" text="NA">
      <formula>NOT(ISERROR(SEARCH("NA",AC29)))</formula>
    </cfRule>
    <cfRule type="containsText" dxfId="3291" priority="76694" operator="containsText" text="NA">
      <formula>NOT(ISERROR(SEARCH("NA",#REF!)))</formula>
    </cfRule>
    <cfRule type="containsText" dxfId="3290" priority="76695" operator="containsText" text="NA">
      <formula>NOT(ISERROR(SEARCH("NA",AC29)))</formula>
    </cfRule>
    <cfRule type="containsText" dxfId="3289" priority="76696" operator="containsText" text="Done">
      <formula>NOT(ISERROR(SEARCH("Done",AC29)))</formula>
    </cfRule>
    <cfRule type="containsText" dxfId="3288" priority="76697" operator="containsText" text="NA">
      <formula>NOT(ISERROR(SEARCH("NA",#REF!)))</formula>
    </cfRule>
    <cfRule type="containsText" dxfId="3287" priority="76698" operator="containsText" text="Done">
      <formula>NOT(ISERROR(SEARCH("Done",#REF!)))</formula>
    </cfRule>
    <cfRule type="containsText" dxfId="3286" priority="76662" operator="containsText" text="Pending">
      <formula>NOT(ISERROR(SEARCH("Pending",#REF!)))</formula>
    </cfRule>
    <cfRule type="containsText" dxfId="3285" priority="76644" operator="containsText" text="NA">
      <formula>NOT(ISERROR(SEARCH("NA",#REF!)))</formula>
    </cfRule>
    <cfRule type="containsText" dxfId="3284" priority="76645" operator="containsText" text="Done">
      <formula>NOT(ISERROR(SEARCH("Done",#REF!)))</formula>
    </cfRule>
    <cfRule type="containsText" dxfId="3283" priority="76646" operator="containsText" text="Pending">
      <formula>NOT(ISERROR(SEARCH("Pending",#REF!)))</formula>
    </cfRule>
    <cfRule type="containsText" dxfId="3282" priority="76690" operator="containsText" text="NA">
      <formula>NOT(ISERROR(SEARCH("NA",#REF!)))</formula>
    </cfRule>
    <cfRule type="containsText" dxfId="3281" priority="76639" operator="containsText" text="Done">
      <formula>NOT(ISERROR(SEARCH("Done",AC29)))</formula>
    </cfRule>
    <cfRule type="containsText" dxfId="3280" priority="76706" operator="containsText" text="Pending">
      <formula>NOT(ISERROR(SEARCH("Pending",#REF!)))</formula>
    </cfRule>
    <cfRule type="containsText" dxfId="3279" priority="76707" operator="containsText" text="NA">
      <formula>NOT(ISERROR(SEARCH("NA",#REF!)))</formula>
    </cfRule>
    <cfRule type="containsText" dxfId="3278" priority="76664" operator="containsText" text="NA">
      <formula>NOT(ISERROR(SEARCH("NA",AC29)))</formula>
    </cfRule>
    <cfRule type="containsText" dxfId="3277" priority="76692" operator="containsText" text="Done">
      <formula>NOT(ISERROR(SEARCH("Done",#REF!)))</formula>
    </cfRule>
    <cfRule type="containsText" dxfId="3276" priority="76708" operator="containsText" text="NA">
      <formula>NOT(ISERROR(SEARCH("NA",#REF!)))</formula>
    </cfRule>
    <cfRule type="containsText" dxfId="3275" priority="76709" operator="containsText" text="Done">
      <formula>NOT(ISERROR(SEARCH("Done",#REF!)))</formula>
    </cfRule>
    <cfRule type="containsText" dxfId="3274" priority="76710" operator="containsText" text="Pending">
      <formula>NOT(ISERROR(SEARCH("Pending",#REF!)))</formula>
    </cfRule>
    <cfRule type="containsText" dxfId="3273" priority="76691" operator="containsText" text="NA">
      <formula>NOT(ISERROR(SEARCH("NA",#REF!)))</formula>
    </cfRule>
    <cfRule type="containsText" dxfId="3272" priority="76693" operator="containsText" text="Pending">
      <formula>NOT(ISERROR(SEARCH("Pending",#REF!)))</formula>
    </cfRule>
    <cfRule type="containsText" dxfId="3271" priority="76711" operator="containsText" text="NA">
      <formula>NOT(ISERROR(SEARCH("NA",#REF!)))</formula>
    </cfRule>
    <cfRule type="containsText" dxfId="3270" priority="76638" operator="containsText" text="Pending">
      <formula>NOT(ISERROR(SEARCH("Pending",AC29)))</formula>
    </cfRule>
    <cfRule type="containsText" dxfId="3269" priority="109569" operator="containsText" text="NA">
      <formula>NOT(ISERROR(SEARCH("NA",#REF!)))</formula>
    </cfRule>
    <cfRule type="containsText" dxfId="3268" priority="109568" operator="containsText" text="Pending">
      <formula>NOT(ISERROR(SEARCH("Pending",#REF!)))</formula>
    </cfRule>
    <cfRule type="containsText" dxfId="3267" priority="76654" operator="containsText" text="Pending">
      <formula>NOT(ISERROR(SEARCH("Pending",#REF!)))</formula>
    </cfRule>
    <cfRule type="containsText" dxfId="3266" priority="76653" operator="containsText" text="Done">
      <formula>NOT(ISERROR(SEARCH("Done",#REF!)))</formula>
    </cfRule>
    <cfRule type="containsText" dxfId="3265" priority="76652" operator="containsText" text="NA">
      <formula>NOT(ISERROR(SEARCH("NA",#REF!)))</formula>
    </cfRule>
    <cfRule type="containsText" dxfId="3264" priority="76651" operator="containsText" text="NA">
      <formula>NOT(ISERROR(SEARCH("NA",#REF!)))</formula>
    </cfRule>
    <cfRule type="containsText" dxfId="3263" priority="109567" operator="containsText" text="Done">
      <formula>NOT(ISERROR(SEARCH("Done",#REF!)))</formula>
    </cfRule>
    <cfRule type="containsText" dxfId="3262" priority="109566" operator="containsText" text="NA">
      <formula>NOT(ISERROR(SEARCH("NA",#REF!)))</formula>
    </cfRule>
    <cfRule type="containsText" dxfId="3261" priority="76672" operator="containsText" text="Pending">
      <formula>NOT(ISERROR(SEARCH("Pending",AC29)))</formula>
    </cfRule>
    <cfRule type="containsText" dxfId="3260" priority="76671" operator="containsText" text="NA">
      <formula>NOT(ISERROR(SEARCH("NA",AC29)))</formula>
    </cfRule>
    <cfRule type="containsText" dxfId="3259" priority="76647" operator="containsText" text="NA">
      <formula>NOT(ISERROR(SEARCH("NA",#REF!)))</formula>
    </cfRule>
    <cfRule type="containsText" dxfId="3258" priority="76670" operator="containsText" text="NA">
      <formula>NOT(ISERROR(SEARCH("NA",#REF!)))</formula>
    </cfRule>
    <cfRule type="containsText" dxfId="3257" priority="76669" operator="containsText" text="Pending">
      <formula>NOT(ISERROR(SEARCH("Pending",#REF!)))</formula>
    </cfRule>
    <cfRule type="containsText" dxfId="3256" priority="76668" operator="containsText" text="Done">
      <formula>NOT(ISERROR(SEARCH("Done",#REF!)))</formula>
    </cfRule>
    <cfRule type="containsText" dxfId="3255" priority="76667" operator="containsText" text="NA">
      <formula>NOT(ISERROR(SEARCH("NA",#REF!)))</formula>
    </cfRule>
    <cfRule type="containsText" dxfId="3254" priority="76666" operator="containsText" text="Done">
      <formula>NOT(ISERROR(SEARCH("Done",AC29)))</formula>
    </cfRule>
    <cfRule type="containsText" dxfId="3253" priority="76699" operator="containsText" text="Pending">
      <formula>NOT(ISERROR(SEARCH("Pending",#REF!)))</formula>
    </cfRule>
    <cfRule type="containsText" dxfId="3252" priority="76665" operator="containsText" text="Pending">
      <formula>NOT(ISERROR(SEARCH("Pending",AC29)))</formula>
    </cfRule>
    <cfRule type="containsText" dxfId="3251" priority="76661" operator="containsText" text="Done">
      <formula>NOT(ISERROR(SEARCH("Done",#REF!)))</formula>
    </cfRule>
    <cfRule type="containsText" dxfId="3250" priority="76660" operator="containsText" text="NA">
      <formula>NOT(ISERROR(SEARCH("NA",#REF!)))</formula>
    </cfRule>
    <cfRule type="containsText" dxfId="3249" priority="76659" operator="containsText" text="NA">
      <formula>NOT(ISERROR(SEARCH("NA",#REF!)))</formula>
    </cfRule>
    <cfRule type="containsText" dxfId="3248" priority="76658" operator="containsText" text="Pending">
      <formula>NOT(ISERROR(SEARCH("Pending",#REF!)))</formula>
    </cfRule>
    <cfRule type="containsText" dxfId="3247" priority="76657" operator="containsText" text="Done">
      <formula>NOT(ISERROR(SEARCH("Done",#REF!)))</formula>
    </cfRule>
    <cfRule type="containsText" dxfId="3246" priority="76700" operator="containsText" text="NA">
      <formula>NOT(ISERROR(SEARCH("NA",#REF!)))</formula>
    </cfRule>
    <cfRule type="containsText" dxfId="3245" priority="76656" operator="containsText" text="NA">
      <formula>NOT(ISERROR(SEARCH("NA",#REF!)))</formula>
    </cfRule>
    <cfRule type="containsText" dxfId="3244" priority="76655" operator="containsText" text="NA">
      <formula>NOT(ISERROR(SEARCH("NA",#REF!)))</formula>
    </cfRule>
    <cfRule type="containsText" dxfId="3243" priority="76673" operator="containsText" text="Done">
      <formula>NOT(ISERROR(SEARCH("Done",AC29)))</formula>
    </cfRule>
    <cfRule type="containsText" dxfId="3242" priority="76674" operator="containsText" text="NA">
      <formula>NOT(ISERROR(SEARCH("NA",#REF!)))</formula>
    </cfRule>
    <cfRule type="containsText" dxfId="3241" priority="76675" operator="containsText" text="Done">
      <formula>NOT(ISERROR(SEARCH("Done",#REF!)))</formula>
    </cfRule>
    <cfRule type="containsText" dxfId="3240" priority="76676" operator="containsText" text="Pending">
      <formula>NOT(ISERROR(SEARCH("Pending",#REF!)))</formula>
    </cfRule>
    <cfRule type="containsText" dxfId="3239" priority="76677" operator="containsText" text="NA">
      <formula>NOT(ISERROR(SEARCH("NA",#REF!)))</formula>
    </cfRule>
    <cfRule type="containsText" dxfId="3238" priority="76678" operator="containsText" text="NA">
      <formula>NOT(ISERROR(SEARCH("NA",AC29)))</formula>
    </cfRule>
    <cfRule type="containsText" dxfId="3237" priority="76701" operator="containsText" text="NA">
      <formula>NOT(ISERROR(SEARCH("NA",AC29)))</formula>
    </cfRule>
    <cfRule type="containsText" dxfId="3236" priority="76679" operator="containsText" text="Done">
      <formula>NOT(ISERROR(SEARCH("Done",AC29)))</formula>
    </cfRule>
    <cfRule type="containsText" dxfId="3235" priority="76663" operator="containsText" text="NA">
      <formula>NOT(ISERROR(SEARCH("NA",#REF!)))</formula>
    </cfRule>
    <cfRule type="containsText" dxfId="3234" priority="76680" operator="containsText" text="NA">
      <formula>NOT(ISERROR(SEARCH("NA",#REF!)))</formula>
    </cfRule>
    <cfRule type="containsText" dxfId="3233" priority="76681" operator="containsText" text="Done">
      <formula>NOT(ISERROR(SEARCH("Done",#REF!)))</formula>
    </cfRule>
    <cfRule type="containsText" dxfId="3232" priority="76682" operator="containsText" text="Pending">
      <formula>NOT(ISERROR(SEARCH("Pending",#REF!)))</formula>
    </cfRule>
    <cfRule type="containsText" dxfId="3231" priority="76683" operator="containsText" text="NA">
      <formula>NOT(ISERROR(SEARCH("NA",#REF!)))</formula>
    </cfRule>
    <cfRule type="containsText" dxfId="3230" priority="76684" operator="containsText" text="NA">
      <formula>NOT(ISERROR(SEARCH("NA",AC29)))</formula>
    </cfRule>
    <cfRule type="containsText" dxfId="3229" priority="76685" operator="containsText" text="Pending">
      <formula>NOT(ISERROR(SEARCH("Pending",AC29)))</formula>
    </cfRule>
    <cfRule type="containsText" dxfId="3228" priority="76686" operator="containsText" text="Done">
      <formula>NOT(ISERROR(SEARCH("Done",AC29)))</formula>
    </cfRule>
    <cfRule type="containsText" dxfId="3227" priority="76687" operator="containsText" text="NA">
      <formula>NOT(ISERROR(SEARCH("NA",#REF!)))</formula>
    </cfRule>
    <cfRule type="containsText" dxfId="3226" priority="76688" operator="containsText" text="Done">
      <formula>NOT(ISERROR(SEARCH("Done",#REF!)))</formula>
    </cfRule>
    <cfRule type="containsText" dxfId="3225" priority="123415" operator="containsText" text="NA">
      <formula>NOT(ISERROR(SEARCH("NA",#REF!)))</formula>
    </cfRule>
    <cfRule type="containsText" dxfId="3224" priority="123414" operator="containsText" text="Pending">
      <formula>NOT(ISERROR(SEARCH("Pending",#REF!)))</formula>
    </cfRule>
    <cfRule type="containsText" dxfId="3223" priority="123413" operator="containsText" text="Done">
      <formula>NOT(ISERROR(SEARCH("Done",#REF!)))</formula>
    </cfRule>
    <cfRule type="containsText" dxfId="3222" priority="123412" operator="containsText" text="NA">
      <formula>NOT(ISERROR(SEARCH("NA",#REF!)))</formula>
    </cfRule>
    <cfRule type="containsText" dxfId="3221" priority="123411" operator="containsText" text="Done">
      <formula>NOT(ISERROR(SEARCH("Done",AC29)))</formula>
    </cfRule>
    <cfRule type="containsText" dxfId="3220" priority="76705" operator="containsText" text="Done">
      <formula>NOT(ISERROR(SEARCH("Done",#REF!)))</formula>
    </cfRule>
    <cfRule type="containsText" dxfId="3219" priority="123410" operator="containsText" text="Pending">
      <formula>NOT(ISERROR(SEARCH("Pending",AC29)))</formula>
    </cfRule>
    <cfRule type="containsText" dxfId="3218" priority="76704" operator="containsText" text="NA">
      <formula>NOT(ISERROR(SEARCH("NA",#REF!)))</formula>
    </cfRule>
    <cfRule type="containsText" dxfId="3217" priority="76703" operator="containsText" text="Done">
      <formula>NOT(ISERROR(SEARCH("Done",AC29)))</formula>
    </cfRule>
    <cfRule type="containsText" dxfId="3216" priority="76702" operator="containsText" text="Pending">
      <formula>NOT(ISERROR(SEARCH("Pending",AC29)))</formula>
    </cfRule>
    <cfRule type="containsText" dxfId="3215" priority="76689" operator="containsText" text="Pending">
      <formula>NOT(ISERROR(SEARCH("Pending",#REF!)))</formula>
    </cfRule>
    <cfRule type="containsText" dxfId="3214" priority="118948" operator="containsText" text="NA">
      <formula>NOT(ISERROR(SEARCH("NA",AC29)))</formula>
    </cfRule>
    <cfRule type="containsText" dxfId="3213" priority="118949" operator="containsText" text="Pending">
      <formula>NOT(ISERROR(SEARCH("Pending",AC29)))</formula>
    </cfRule>
    <cfRule type="containsText" dxfId="3212" priority="118950" operator="containsText" text="Done">
      <formula>NOT(ISERROR(SEARCH("Done",AC29)))</formula>
    </cfRule>
    <cfRule type="containsText" dxfId="3211" priority="118951" operator="containsText" text="NA">
      <formula>NOT(ISERROR(SEARCH("NA",#REF!)))</formula>
    </cfRule>
    <cfRule type="containsText" dxfId="3210" priority="118952" operator="containsText" text="Done">
      <formula>NOT(ISERROR(SEARCH("Done",#REF!)))</formula>
    </cfRule>
    <cfRule type="containsText" dxfId="3209" priority="118953" operator="containsText" text="Pending">
      <formula>NOT(ISERROR(SEARCH("Pending",#REF!)))</formula>
    </cfRule>
    <cfRule type="containsText" dxfId="3208" priority="118954" operator="containsText" text="NA">
      <formula>NOT(ISERROR(SEARCH("NA",#REF!)))</formula>
    </cfRule>
    <cfRule type="containsText" dxfId="3207" priority="76640" operator="containsText" text="NA">
      <formula>NOT(ISERROR(SEARCH("NA",#REF!)))</formula>
    </cfRule>
    <cfRule type="containsText" dxfId="3206" priority="123409" operator="containsText" text="NA">
      <formula>NOT(ISERROR(SEARCH("NA",AC29)))</formula>
    </cfRule>
    <cfRule type="containsText" dxfId="3205" priority="76642" operator="containsText" text="Pending">
      <formula>NOT(ISERROR(SEARCH("Pending",#REF!)))</formula>
    </cfRule>
    <cfRule type="containsText" dxfId="3204" priority="76643" operator="containsText" text="NA">
      <formula>NOT(ISERROR(SEARCH("NA",#REF!)))</formula>
    </cfRule>
  </conditionalFormatting>
  <conditionalFormatting sqref="AC39:AD39">
    <cfRule type="containsText" dxfId="3203" priority="124555" operator="containsText" text="NA">
      <formula>NOT(ISERROR(SEARCH("NA",#REF!)))</formula>
    </cfRule>
  </conditionalFormatting>
  <conditionalFormatting sqref="AC39:AD42 AD40:AH40">
    <cfRule type="containsText" dxfId="3202" priority="124577" operator="containsText" text="Pending">
      <formula>NOT(ISERROR(SEARCH("Pending",#REF!)))</formula>
    </cfRule>
  </conditionalFormatting>
  <conditionalFormatting sqref="AC48:AD53">
    <cfRule type="containsText" dxfId="3201" priority="109409" operator="containsText" text="Pending">
      <formula>NOT(ISERROR(SEARCH("Pending",#REF!)))</formula>
    </cfRule>
    <cfRule type="containsText" dxfId="3200" priority="109408" operator="containsText" text="Done">
      <formula>NOT(ISERROR(SEARCH("Done",#REF!)))</formula>
    </cfRule>
    <cfRule type="containsText" dxfId="3199" priority="109410" operator="containsText" text="NA">
      <formula>NOT(ISERROR(SEARCH("NA",#REF!)))</formula>
    </cfRule>
  </conditionalFormatting>
  <conditionalFormatting sqref="AC57:AD57">
    <cfRule type="containsText" dxfId="3198" priority="119825" operator="containsText" text="NA">
      <formula>NOT(ISERROR(SEARCH("NA",#REF!)))</formula>
    </cfRule>
    <cfRule type="containsText" dxfId="3197" priority="119824" operator="containsText" text="NA">
      <formula>NOT(ISERROR(SEARCH("NA",#REF!)))</formula>
    </cfRule>
    <cfRule type="containsText" dxfId="3196" priority="119823" operator="containsText" text="Pending">
      <formula>NOT(ISERROR(SEARCH("Pending",#REF!)))</formula>
    </cfRule>
    <cfRule type="containsText" dxfId="3195" priority="119822" operator="containsText" text="Pending">
      <formula>NOT(ISERROR(SEARCH("Pending",#REF!)))</formula>
    </cfRule>
    <cfRule type="containsText" dxfId="3194" priority="119818" operator="containsText" text="Pending">
      <formula>NOT(ISERROR(SEARCH("Pending",#REF!)))</formula>
    </cfRule>
    <cfRule type="containsText" dxfId="3193" priority="119819" operator="containsText" text="NA">
      <formula>NOT(ISERROR(SEARCH("NA",#REF!)))</formula>
    </cfRule>
    <cfRule type="containsText" dxfId="3192" priority="119820" operator="containsText" text="Done">
      <formula>NOT(ISERROR(SEARCH("Done",#REF!)))</formula>
    </cfRule>
  </conditionalFormatting>
  <conditionalFormatting sqref="AC58:AD58">
    <cfRule type="containsText" dxfId="3191" priority="119779" operator="containsText" text="NA">
      <formula>NOT(ISERROR(SEARCH("NA",#REF!)))</formula>
    </cfRule>
    <cfRule type="containsText" dxfId="3190" priority="119778" operator="containsText" text="NA">
      <formula>NOT(ISERROR(SEARCH("NA",#REF!)))</formula>
    </cfRule>
    <cfRule type="containsText" dxfId="3189" priority="119777" operator="containsText" text="Pending">
      <formula>NOT(ISERROR(SEARCH("Pending",#REF!)))</formula>
    </cfRule>
    <cfRule type="containsText" dxfId="3188" priority="119772" operator="containsText" text="Pending">
      <formula>NOT(ISERROR(SEARCH("Pending",#REF!)))</formula>
    </cfRule>
    <cfRule type="containsText" dxfId="3187" priority="119776" operator="containsText" text="Pending">
      <formula>NOT(ISERROR(SEARCH("Pending",#REF!)))</formula>
    </cfRule>
    <cfRule type="containsText" dxfId="3186" priority="119774" operator="containsText" text="Done">
      <formula>NOT(ISERROR(SEARCH("Done",#REF!)))</formula>
    </cfRule>
    <cfRule type="containsText" dxfId="3185" priority="119773" operator="containsText" text="NA">
      <formula>NOT(ISERROR(SEARCH("NA",#REF!)))</formula>
    </cfRule>
  </conditionalFormatting>
  <conditionalFormatting sqref="AC71:AD73">
    <cfRule type="containsText" dxfId="3184" priority="5322" operator="containsText" text="Pending">
      <formula>NOT(ISERROR(SEARCH("Pending",#REF!)))</formula>
    </cfRule>
    <cfRule type="containsText" dxfId="3183" priority="5323" operator="containsText" text="NA">
      <formula>NOT(ISERROR(SEARCH("NA",#REF!)))</formula>
    </cfRule>
  </conditionalFormatting>
  <conditionalFormatting sqref="AC39:AF39">
    <cfRule type="containsText" dxfId="3182" priority="124554" operator="containsText" text="Pending">
      <formula>NOT(ISERROR(SEARCH("Pending",#REF!)))</formula>
    </cfRule>
    <cfRule type="containsText" dxfId="3181" priority="124553" operator="containsText" text="Done">
      <formula>NOT(ISERROR(SEARCH("Done",#REF!)))</formula>
    </cfRule>
  </conditionalFormatting>
  <conditionalFormatting sqref="AC58:AG58">
    <cfRule type="containsText" dxfId="3180" priority="119768" operator="containsText" text="Done">
      <formula>NOT(ISERROR(SEARCH("Done",#REF!)))</formula>
    </cfRule>
  </conditionalFormatting>
  <conditionalFormatting sqref="AC40:AI40 AC41:AD42">
    <cfRule type="containsText" dxfId="3179" priority="124569" operator="containsText" text="Done">
      <formula>NOT(ISERROR(SEARCH("Done",#REF!)))</formula>
    </cfRule>
  </conditionalFormatting>
  <conditionalFormatting sqref="AD16">
    <cfRule type="containsText" dxfId="3178" priority="136521" operator="containsText" text="NA">
      <formula>NOT(ISERROR(SEARCH("NA",#REF!)))</formula>
    </cfRule>
    <cfRule type="containsText" dxfId="3177" priority="136392" operator="containsText" text="Pending">
      <formula>NOT(ISERROR(SEARCH("Pending",#REF!)))</formula>
    </cfRule>
    <cfRule type="containsText" dxfId="3176" priority="136263" operator="containsText" text="Done">
      <formula>NOT(ISERROR(SEARCH("Done",#REF!)))</formula>
    </cfRule>
  </conditionalFormatting>
  <conditionalFormatting sqref="AD18:AD26">
    <cfRule type="containsText" dxfId="3175" priority="20" operator="containsText" text="Pending">
      <formula>NOT(ISERROR(SEARCH("Pending",#REF!)))</formula>
    </cfRule>
    <cfRule type="containsText" dxfId="3174" priority="19" operator="containsText" text="Pending">
      <formula>NOT(ISERROR(SEARCH("Pending",#REF!)))</formula>
    </cfRule>
    <cfRule type="containsText" dxfId="3173" priority="13" operator="containsText" text="NA">
      <formula>NOT(ISERROR(SEARCH("NA",#REF!)))</formula>
    </cfRule>
    <cfRule type="containsText" dxfId="3172" priority="12" operator="containsText" text="NA">
      <formula>NOT(ISERROR(SEARCH("NA",#REF!)))</formula>
    </cfRule>
    <cfRule type="containsText" dxfId="3171" priority="11" operator="containsText" text="Pending">
      <formula>NOT(ISERROR(SEARCH("Pending",#REF!)))</formula>
    </cfRule>
    <cfRule type="containsText" dxfId="3170" priority="10" operator="containsText" text="Pending">
      <formula>NOT(ISERROR(SEARCH("Pending",#REF!)))</formula>
    </cfRule>
    <cfRule type="containsText" dxfId="3169" priority="9" operator="containsText" text="Done">
      <formula>NOT(ISERROR(SEARCH("Done",#REF!)))</formula>
    </cfRule>
    <cfRule type="containsText" dxfId="3168" priority="4" operator="containsText" text="NA">
      <formula>NOT(ISERROR(SEARCH("NA",#REF!)))</formula>
    </cfRule>
    <cfRule type="containsText" dxfId="3167" priority="3" operator="containsText" text="NA">
      <formula>NOT(ISERROR(SEARCH("NA",#REF!)))</formula>
    </cfRule>
    <cfRule type="containsText" dxfId="3166" priority="27" operator="containsText" text="Done">
      <formula>NOT(ISERROR(SEARCH("Done",#REF!)))</formula>
    </cfRule>
    <cfRule type="containsText" dxfId="3165" priority="18" operator="containsText" text="Done">
      <formula>NOT(ISERROR(SEARCH("Done",#REF!)))</formula>
    </cfRule>
    <cfRule type="containsText" dxfId="3164" priority="2" operator="containsText" text="Pending">
      <formula>NOT(ISERROR(SEARCH("Pending",#REF!)))</formula>
    </cfRule>
    <cfRule type="containsText" dxfId="3163" priority="1" operator="containsText" text="Pending">
      <formula>NOT(ISERROR(SEARCH("Pending",#REF!)))</formula>
    </cfRule>
    <cfRule type="containsText" dxfId="3162" priority="4904" operator="containsText" text="NA">
      <formula>NOT(ISERROR(SEARCH("NA",#REF!)))</formula>
    </cfRule>
    <cfRule type="containsText" dxfId="3161" priority="4918" operator="containsText" text="Done">
      <formula>NOT(ISERROR(SEARCH("Done",#REF!)))</formula>
    </cfRule>
    <cfRule type="containsText" dxfId="3160" priority="4913" operator="containsText" text="NA">
      <formula>NOT(ISERROR(SEARCH("NA",#REF!)))</formula>
    </cfRule>
    <cfRule type="containsText" dxfId="3159" priority="4912" operator="containsText" text="NA">
      <formula>NOT(ISERROR(SEARCH("NA",#REF!)))</formula>
    </cfRule>
    <cfRule type="containsText" dxfId="3158" priority="4911" operator="containsText" text="Pending">
      <formula>NOT(ISERROR(SEARCH("Pending",#REF!)))</formula>
    </cfRule>
    <cfRule type="containsText" dxfId="3157" priority="4910" operator="containsText" text="Pending">
      <formula>NOT(ISERROR(SEARCH("Pending",#REF!)))</formula>
    </cfRule>
    <cfRule type="containsText" dxfId="3156" priority="4909" operator="containsText" text="Done">
      <formula>NOT(ISERROR(SEARCH("Done",#REF!)))</formula>
    </cfRule>
    <cfRule type="containsText" dxfId="3155" priority="4903" operator="containsText" text="NA">
      <formula>NOT(ISERROR(SEARCH("NA",#REF!)))</formula>
    </cfRule>
    <cfRule type="containsText" dxfId="3154" priority="4902" operator="containsText" text="Pending">
      <formula>NOT(ISERROR(SEARCH("Pending",#REF!)))</formula>
    </cfRule>
    <cfRule type="containsText" dxfId="3153" priority="4901" operator="containsText" text="Pending">
      <formula>NOT(ISERROR(SEARCH("Pending",#REF!)))</formula>
    </cfRule>
    <cfRule type="containsText" dxfId="3152" priority="22" operator="containsText" text="NA">
      <formula>NOT(ISERROR(SEARCH("NA",#REF!)))</formula>
    </cfRule>
    <cfRule type="containsText" dxfId="3151" priority="21" operator="containsText" text="NA">
      <formula>NOT(ISERROR(SEARCH("NA",#REF!)))</formula>
    </cfRule>
  </conditionalFormatting>
  <conditionalFormatting sqref="AD19:AD26">
    <cfRule type="containsText" dxfId="3150" priority="7" operator="containsText" text="NA">
      <formula>NOT(ISERROR(SEARCH("NA",#REF!)))</formula>
    </cfRule>
    <cfRule type="containsText" dxfId="3149" priority="4907" operator="containsText" text="NA">
      <formula>NOT(ISERROR(SEARCH("NA",#REF!)))</formula>
    </cfRule>
    <cfRule type="containsText" dxfId="3148" priority="4906" operator="containsText" text="Pending">
      <formula>NOT(ISERROR(SEARCH("Pending",#REF!)))</formula>
    </cfRule>
    <cfRule type="containsText" dxfId="3147" priority="4905" operator="containsText" text="Pending">
      <formula>NOT(ISERROR(SEARCH("Pending",#REF!)))</formula>
    </cfRule>
    <cfRule type="containsText" dxfId="3146" priority="24" operator="containsText" text="Pending">
      <formula>NOT(ISERROR(SEARCH("Pending",#REF!)))</formula>
    </cfRule>
    <cfRule type="containsText" dxfId="3145" priority="26" operator="containsText" text="NA">
      <formula>NOT(ISERROR(SEARCH("NA",#REF!)))</formula>
    </cfRule>
    <cfRule type="containsText" dxfId="3144" priority="23" operator="containsText" text="Pending">
      <formula>NOT(ISERROR(SEARCH("Pending",#REF!)))</formula>
    </cfRule>
    <cfRule type="containsText" dxfId="3143" priority="6" operator="containsText" text="Pending">
      <formula>NOT(ISERROR(SEARCH("Pending",#REF!)))</formula>
    </cfRule>
    <cfRule type="containsText" dxfId="3142" priority="14" operator="containsText" text="Pending">
      <formula>NOT(ISERROR(SEARCH("Pending",#REF!)))</formula>
    </cfRule>
    <cfRule type="containsText" dxfId="3141" priority="25" operator="containsText" text="NA">
      <formula>NOT(ISERROR(SEARCH("NA",#REF!)))</formula>
    </cfRule>
    <cfRule type="containsText" dxfId="3140" priority="4917" operator="containsText" text="NA">
      <formula>NOT(ISERROR(SEARCH("NA",#REF!)))</formula>
    </cfRule>
    <cfRule type="containsText" dxfId="3139" priority="4916" operator="containsText" text="NA">
      <formula>NOT(ISERROR(SEARCH("NA",#REF!)))</formula>
    </cfRule>
    <cfRule type="containsText" dxfId="3138" priority="4915" operator="containsText" text="Pending">
      <formula>NOT(ISERROR(SEARCH("Pending",#REF!)))</formula>
    </cfRule>
    <cfRule type="containsText" dxfId="3137" priority="4914" operator="containsText" text="Pending">
      <formula>NOT(ISERROR(SEARCH("Pending",#REF!)))</formula>
    </cfRule>
    <cfRule type="containsText" dxfId="3136" priority="17" operator="containsText" text="NA">
      <formula>NOT(ISERROR(SEARCH("NA",#REF!)))</formula>
    </cfRule>
    <cfRule type="containsText" dxfId="3135" priority="16" operator="containsText" text="NA">
      <formula>NOT(ISERROR(SEARCH("NA",#REF!)))</formula>
    </cfRule>
    <cfRule type="containsText" dxfId="3134" priority="15" operator="containsText" text="Pending">
      <formula>NOT(ISERROR(SEARCH("Pending",#REF!)))</formula>
    </cfRule>
    <cfRule type="containsText" dxfId="3133" priority="8" operator="containsText" text="NA">
      <formula>NOT(ISERROR(SEARCH("NA",#REF!)))</formula>
    </cfRule>
    <cfRule type="containsText" dxfId="3132" priority="5" operator="containsText" text="Pending">
      <formula>NOT(ISERROR(SEARCH("Pending",#REF!)))</formula>
    </cfRule>
    <cfRule type="containsText" dxfId="3131" priority="4908" operator="containsText" text="NA">
      <formula>NOT(ISERROR(SEARCH("NA",#REF!)))</formula>
    </cfRule>
  </conditionalFormatting>
  <conditionalFormatting sqref="AD29">
    <cfRule type="containsText" dxfId="3130" priority="123437" operator="containsText" text="NA">
      <formula>NOT(ISERROR(SEARCH("NA",#REF!)))</formula>
    </cfRule>
    <cfRule type="containsText" dxfId="3129" priority="123438" operator="containsText" text="Done">
      <formula>NOT(ISERROR(SEARCH("Done",#REF!)))</formula>
    </cfRule>
    <cfRule type="containsText" dxfId="3128" priority="123439" operator="containsText" text="Pending">
      <formula>NOT(ISERROR(SEARCH("Pending",#REF!)))</formula>
    </cfRule>
    <cfRule type="containsText" dxfId="3127" priority="123440" operator="containsText" text="NA">
      <formula>NOT(ISERROR(SEARCH("NA",#REF!)))</formula>
    </cfRule>
    <cfRule type="containsText" dxfId="3126" priority="123436" operator="containsText" text="Done">
      <formula>NOT(ISERROR(SEARCH("Done",AD29)))</formula>
    </cfRule>
    <cfRule type="containsText" dxfId="3125" priority="123435" operator="containsText" text="Pending">
      <formula>NOT(ISERROR(SEARCH("Pending",AD29)))</formula>
    </cfRule>
    <cfRule type="containsText" dxfId="3124" priority="123434" operator="containsText" text="NA">
      <formula>NOT(ISERROR(SEARCH("NA",AD29)))</formula>
    </cfRule>
  </conditionalFormatting>
  <conditionalFormatting sqref="AD48:AD53">
    <cfRule type="containsText" dxfId="3123" priority="2024" operator="containsText" text="Pending">
      <formula>NOT(ISERROR(SEARCH("Pending",#REF!)))</formula>
    </cfRule>
    <cfRule type="containsText" dxfId="3122" priority="2025" operator="containsText" text="Pending">
      <formula>NOT(ISERROR(SEARCH("Pending",#REF!)))</formula>
    </cfRule>
    <cfRule type="containsText" dxfId="3121" priority="2017" operator="containsText" text="Pending">
      <formula>NOT(ISERROR(SEARCH("Pending",#REF!)))</formula>
    </cfRule>
    <cfRule type="containsText" dxfId="3120" priority="2051" operator="containsText" text="Pending">
      <formula>NOT(ISERROR(SEARCH("Pending",AA112)))</formula>
    </cfRule>
    <cfRule type="containsText" dxfId="3119" priority="2050" operator="containsText" text="Done">
      <formula>NOT(ISERROR(SEARCH("Done",AA112)))</formula>
    </cfRule>
    <cfRule type="containsText" dxfId="3118" priority="140235" operator="containsText" text="NA">
      <formula>NOT(ISERROR(SEARCH("NA",#REF!)))</formula>
    </cfRule>
    <cfRule type="containsText" dxfId="3117" priority="2033" operator="containsText" text="NA">
      <formula>NOT(ISERROR(SEARCH("NA",AA111)))</formula>
    </cfRule>
    <cfRule type="containsText" dxfId="3116" priority="2032" operator="containsText" text="Pending">
      <formula>NOT(ISERROR(SEARCH("Pending",AA111)))</formula>
    </cfRule>
    <cfRule type="containsText" dxfId="3115" priority="2035" operator="containsText" text="NA">
      <formula>NOT(ISERROR(SEARCH("NA",#REF!)))</formula>
    </cfRule>
    <cfRule type="containsText" dxfId="3114" priority="2036" operator="containsText" text="Done">
      <formula>NOT(ISERROR(SEARCH("Done",AA111)))</formula>
    </cfRule>
    <cfRule type="containsText" dxfId="3113" priority="2037" operator="containsText" text="Pending">
      <formula>NOT(ISERROR(SEARCH("Pending",AA111)))</formula>
    </cfRule>
    <cfRule type="containsText" dxfId="3112" priority="2049" operator="containsText" text="Done">
      <formula>NOT(ISERROR(SEARCH("Done",#REF!)))</formula>
    </cfRule>
    <cfRule type="containsText" dxfId="3111" priority="2048" operator="containsText" text="Done">
      <formula>NOT(ISERROR(SEARCH("Done",AA112)))</formula>
    </cfRule>
    <cfRule type="containsText" dxfId="3110" priority="2047" operator="containsText" text="Pending">
      <formula>NOT(ISERROR(SEARCH("Pending",AA112)))</formula>
    </cfRule>
    <cfRule type="containsText" dxfId="3109" priority="2046" operator="containsText" text="NA">
      <formula>NOT(ISERROR(SEARCH("NA",AA112)))</formula>
    </cfRule>
    <cfRule type="containsText" dxfId="3108" priority="2041" operator="containsText" text="Pending">
      <formula>NOT(ISERROR(SEARCH("Pending",#REF!)))</formula>
    </cfRule>
    <cfRule type="containsText" dxfId="3107" priority="2031" operator="containsText" text="Done">
      <formula>NOT(ISERROR(SEARCH("Done",AA111)))</formula>
    </cfRule>
    <cfRule type="containsText" dxfId="3106" priority="2030" operator="containsText" text="NA">
      <formula>NOT(ISERROR(SEARCH("NA",#REF!)))</formula>
    </cfRule>
    <cfRule type="containsText" dxfId="3105" priority="2029" operator="containsText" text="NA">
      <formula>NOT(ISERROR(SEARCH("NA",#REF!)))</formula>
    </cfRule>
    <cfRule type="containsText" dxfId="3104" priority="2028" operator="containsText" text="NA">
      <formula>NOT(ISERROR(SEARCH("NA",#REF!)))</formula>
    </cfRule>
    <cfRule type="containsText" dxfId="3103" priority="2027" operator="containsText" text="NA">
      <formula>NOT(ISERROR(SEARCH("NA",#REF!)))</formula>
    </cfRule>
    <cfRule type="containsText" dxfId="3102" priority="2026" operator="containsText" text="Pending">
      <formula>NOT(ISERROR(SEARCH("Pending",#REF!)))</formula>
    </cfRule>
    <cfRule type="containsText" dxfId="3101" priority="2055" operator="containsText" text="NA">
      <formula>NOT(ISERROR(SEARCH("NA",#REF!)))</formula>
    </cfRule>
    <cfRule type="containsText" dxfId="3100" priority="2054" operator="containsText" text="Pending">
      <formula>NOT(ISERROR(SEARCH("Pending",#REF!)))</formula>
    </cfRule>
    <cfRule type="containsText" dxfId="3099" priority="2053" operator="containsText" text="Done">
      <formula>NOT(ISERROR(SEARCH("Done",#REF!)))</formula>
    </cfRule>
    <cfRule type="containsText" dxfId="3098" priority="2052" operator="containsText" text="NA">
      <formula>NOT(ISERROR(SEARCH("NA",AA112)))</formula>
    </cfRule>
    <cfRule type="containsText" dxfId="3097" priority="2044" operator="containsText" text="NA">
      <formula>NOT(ISERROR(SEARCH("NA",#REF!)))</formula>
    </cfRule>
    <cfRule type="containsText" dxfId="3096" priority="2043" operator="containsText" text="NA">
      <formula>NOT(ISERROR(SEARCH("NA",#REF!)))</formula>
    </cfRule>
    <cfRule type="containsText" dxfId="3095" priority="2042" operator="containsText" text="Pending">
      <formula>NOT(ISERROR(SEARCH("Pending",#REF!)))</formula>
    </cfRule>
    <cfRule type="containsText" dxfId="3094" priority="2040" operator="containsText" text="NA">
      <formula>NOT(ISERROR(SEARCH("NA",#REF!)))</formula>
    </cfRule>
    <cfRule type="containsText" dxfId="3093" priority="2039" operator="containsText" text="Pending">
      <formula>NOT(ISERROR(SEARCH("Pending",#REF!)))</formula>
    </cfRule>
    <cfRule type="containsText" dxfId="3092" priority="2034" operator="containsText" text="Pending">
      <formula>NOT(ISERROR(SEARCH("Pending",#REF!)))</formula>
    </cfRule>
    <cfRule type="containsText" dxfId="3091" priority="2038" operator="containsText" text="NA">
      <formula>NOT(ISERROR(SEARCH("NA",AA111)))</formula>
    </cfRule>
    <cfRule type="containsText" dxfId="3090" priority="2045" operator="containsText" text="Done">
      <formula>NOT(ISERROR(SEARCH("Done",#REF!)))</formula>
    </cfRule>
    <cfRule type="containsText" dxfId="3089" priority="2023" operator="containsText" text="Pending">
      <formula>NOT(ISERROR(SEARCH("Pending",#REF!)))</formula>
    </cfRule>
    <cfRule type="containsText" dxfId="3088" priority="2022" operator="containsText" text="Done">
      <formula>NOT(ISERROR(SEARCH("Done",#REF!)))</formula>
    </cfRule>
    <cfRule type="containsText" dxfId="3087" priority="2021" operator="containsText" text="Done">
      <formula>NOT(ISERROR(SEARCH("Done",AD48)))</formula>
    </cfRule>
    <cfRule type="containsText" dxfId="3086" priority="2020" operator="containsText" text="Pending">
      <formula>NOT(ISERROR(SEARCH("Pending",AD48)))</formula>
    </cfRule>
    <cfRule type="containsText" dxfId="3085" priority="2019" operator="containsText" text="NA">
      <formula>NOT(ISERROR(SEARCH("NA",AD48)))</formula>
    </cfRule>
    <cfRule type="containsText" dxfId="3084" priority="2018" operator="containsText" text="NA">
      <formula>NOT(ISERROR(SEARCH("NA",#REF!)))</formula>
    </cfRule>
    <cfRule type="containsText" dxfId="3083" priority="140061" operator="containsText" text="Done">
      <formula>NOT(ISERROR(SEARCH("Done",#REF!)))</formula>
    </cfRule>
    <cfRule type="containsText" dxfId="3082" priority="140148" operator="containsText" text="Pending">
      <formula>NOT(ISERROR(SEARCH("Pending",#REF!)))</formula>
    </cfRule>
  </conditionalFormatting>
  <conditionalFormatting sqref="AD76:AD83">
    <cfRule type="containsText" dxfId="3081" priority="1012" operator="containsText" text="NA">
      <formula>NOT(ISERROR(SEARCH("NA",AD76)))</formula>
    </cfRule>
    <cfRule type="containsText" dxfId="3080" priority="4730" operator="containsText" text="NA">
      <formula>NOT(ISERROR(SEARCH("NA",AD76)))</formula>
    </cfRule>
    <cfRule type="containsText" dxfId="3079" priority="4731" operator="containsText" text="Done">
      <formula>NOT(ISERROR(SEARCH("Done",AD76)))</formula>
    </cfRule>
    <cfRule type="containsText" dxfId="3078" priority="4733" operator="containsText" text="Pending">
      <formula>NOT(ISERROR(SEARCH("Pending",#REF!)))</formula>
    </cfRule>
    <cfRule type="containsText" dxfId="3077" priority="4734" operator="containsText" text="NA">
      <formula>NOT(ISERROR(SEARCH("NA",#REF!)))</formula>
    </cfRule>
    <cfRule type="containsText" dxfId="3076" priority="1014" operator="containsText" text="Done">
      <formula>NOT(ISERROR(SEARCH("Done",#REF!)))</formula>
    </cfRule>
    <cfRule type="containsText" dxfId="3075" priority="1016" operator="containsText" text="NA">
      <formula>NOT(ISERROR(SEARCH("NA",#REF!)))</formula>
    </cfRule>
    <cfRule type="containsText" dxfId="3074" priority="1015" operator="containsText" text="Pending">
      <formula>NOT(ISERROR(SEARCH("Pending",#REF!)))</formula>
    </cfRule>
    <cfRule type="containsText" dxfId="3073" priority="1013" operator="containsText" text="Done">
      <formula>NOT(ISERROR(SEARCH("Done",AD76)))</formula>
    </cfRule>
    <cfRule type="containsText" dxfId="3072" priority="4732" operator="containsText" text="Done">
      <formula>NOT(ISERROR(SEARCH("Done",#REF!)))</formula>
    </cfRule>
  </conditionalFormatting>
  <conditionalFormatting sqref="AD86:AD88">
    <cfRule type="containsText" dxfId="3071" priority="4830" operator="containsText" text="Pending">
      <formula>NOT(ISERROR(SEARCH("Pending",#REF!)))</formula>
    </cfRule>
    <cfRule type="containsText" dxfId="3070" priority="4829" operator="containsText" text="Done">
      <formula>NOT(ISERROR(SEARCH("Done",#REF!)))</formula>
    </cfRule>
    <cfRule type="containsText" dxfId="3069" priority="4831" operator="containsText" text="NA">
      <formula>NOT(ISERROR(SEARCH("NA",#REF!)))</formula>
    </cfRule>
    <cfRule type="containsText" dxfId="3068" priority="4827" operator="containsText" text="NA">
      <formula>NOT(ISERROR(SEARCH("NA",AD86)))</formula>
    </cfRule>
    <cfRule type="containsText" dxfId="3067" priority="4828" operator="containsText" text="Done">
      <formula>NOT(ISERROR(SEARCH("Done",AD86)))</formula>
    </cfRule>
  </conditionalFormatting>
  <conditionalFormatting sqref="AD88">
    <cfRule type="containsText" dxfId="3066" priority="1124" operator="containsText" text="Done">
      <formula>NOT(ISERROR(SEARCH("Done",#REF!)))</formula>
    </cfRule>
    <cfRule type="containsText" dxfId="3065" priority="1119" operator="containsText" text="NA">
      <formula>NOT(ISERROR(SEARCH("NA",AD88)))</formula>
    </cfRule>
    <cfRule type="containsText" dxfId="3064" priority="1122" operator="containsText" text="Pending">
      <formula>NOT(ISERROR(SEARCH("Pending",#REF!)))</formula>
    </cfRule>
    <cfRule type="containsText" dxfId="3063" priority="1123" operator="containsText" text="NA">
      <formula>NOT(ISERROR(SEARCH("NA",#REF!)))</formula>
    </cfRule>
    <cfRule type="containsText" dxfId="3062" priority="1118" operator="containsText" text="NA">
      <formula>NOT(ISERROR(SEARCH("NA",#REF!)))</formula>
    </cfRule>
    <cfRule type="containsText" dxfId="3061" priority="1117" operator="containsText" text="Pending">
      <formula>NOT(ISERROR(SEARCH("Pending",#REF!)))</formula>
    </cfRule>
    <cfRule type="containsText" dxfId="3060" priority="1121" operator="containsText" text="Done">
      <formula>NOT(ISERROR(SEARCH("Done",#REF!)))</formula>
    </cfRule>
    <cfRule type="containsText" dxfId="3059" priority="1120" operator="containsText" text="Done">
      <formula>NOT(ISERROR(SEARCH("Done",AD88)))</formula>
    </cfRule>
  </conditionalFormatting>
  <conditionalFormatting sqref="AD88:AD89">
    <cfRule type="containsText" dxfId="3058" priority="77336" operator="containsText" text="NA">
      <formula>NOT(ISERROR(SEARCH("NA",#REF!)))</formula>
    </cfRule>
    <cfRule type="containsText" dxfId="3057" priority="77335" operator="containsText" text="Pending">
      <formula>NOT(ISERROR(SEARCH("Pending",#REF!)))</formula>
    </cfRule>
    <cfRule type="containsText" dxfId="3056" priority="77334" operator="containsText" text="Done">
      <formula>NOT(ISERROR(SEARCH("Done",#REF!)))</formula>
    </cfRule>
    <cfRule type="containsText" dxfId="3055" priority="77333" operator="containsText" text="Done">
      <formula>NOT(ISERROR(SEARCH("Done",AD88)))</formula>
    </cfRule>
    <cfRule type="containsText" dxfId="3054" priority="77332" operator="containsText" text="NA">
      <formula>NOT(ISERROR(SEARCH("NA",AD88)))</formula>
    </cfRule>
  </conditionalFormatting>
  <conditionalFormatting sqref="AD40:AH40 AC40:AD42">
    <cfRule type="containsText" dxfId="3053" priority="124573" operator="containsText" text="Pending">
      <formula>NOT(ISERROR(SEARCH("Pending",#REF!)))</formula>
    </cfRule>
    <cfRule type="containsText" dxfId="3052" priority="124578" operator="containsText" text="Pending">
      <formula>NOT(ISERROR(SEARCH("Pending",#REF!)))</formula>
    </cfRule>
    <cfRule type="containsText" dxfId="3051" priority="124574" operator="containsText" text="NA">
      <formula>NOT(ISERROR(SEARCH("NA",#REF!)))</formula>
    </cfRule>
    <cfRule type="containsText" dxfId="3050" priority="124580" operator="containsText" text="NA">
      <formula>NOT(ISERROR(SEARCH("NA",#REF!)))</formula>
    </cfRule>
    <cfRule type="containsText" dxfId="3049" priority="124575" operator="containsText" text="Done">
      <formula>NOT(ISERROR(SEARCH("Done",#REF!)))</formula>
    </cfRule>
    <cfRule type="containsText" dxfId="3048" priority="124579" operator="containsText" text="NA">
      <formula>NOT(ISERROR(SEARCH("NA",#REF!)))</formula>
    </cfRule>
  </conditionalFormatting>
  <conditionalFormatting sqref="AE13">
    <cfRule type="containsText" dxfId="3047" priority="5291" operator="containsText" text="Done">
      <formula>NOT(ISERROR(SEARCH("Done",#REF!)))</formula>
    </cfRule>
    <cfRule type="containsText" dxfId="3046" priority="5290" operator="containsText" text="NA">
      <formula>NOT(ISERROR(SEARCH("NA",#REF!)))</formula>
    </cfRule>
  </conditionalFormatting>
  <conditionalFormatting sqref="AE13:AE15">
    <cfRule type="containsText" dxfId="3045" priority="5283" operator="containsText" text="Pending">
      <formula>NOT(ISERROR(SEARCH("Pending",#REF!)))</formula>
    </cfRule>
  </conditionalFormatting>
  <conditionalFormatting sqref="AE14">
    <cfRule type="containsText" dxfId="3044" priority="5288" operator="containsText" text="Done">
      <formula>NOT(ISERROR(SEARCH("Done",#REF!)))</formula>
    </cfRule>
    <cfRule type="containsText" dxfId="3043" priority="5287" operator="containsText" text="NA">
      <formula>NOT(ISERROR(SEARCH("NA",#REF!)))</formula>
    </cfRule>
  </conditionalFormatting>
  <conditionalFormatting sqref="AE15">
    <cfRule type="containsText" dxfId="3042" priority="5285" operator="containsText" text="Done">
      <formula>NOT(ISERROR(SEARCH("Done",#REF!)))</formula>
    </cfRule>
    <cfRule type="containsText" dxfId="3041" priority="5284" operator="containsText" text="NA">
      <formula>NOT(ISERROR(SEARCH("NA",#REF!)))</formula>
    </cfRule>
  </conditionalFormatting>
  <conditionalFormatting sqref="AE19">
    <cfRule type="containsText" dxfId="3040" priority="124227" operator="containsText" text="NA">
      <formula>NOT(ISERROR(SEARCH("NA",#REF!)))</formula>
    </cfRule>
    <cfRule type="containsText" dxfId="3039" priority="124228" operator="containsText" text="NA">
      <formula>NOT(ISERROR(SEARCH("NA",#REF!)))</formula>
    </cfRule>
    <cfRule type="containsText" dxfId="3038" priority="124217" operator="containsText" text="Pending">
      <formula>NOT(ISERROR(SEARCH("Pending",#REF!)))</formula>
    </cfRule>
    <cfRule type="containsText" dxfId="3037" priority="124218" operator="containsText" text="Pending">
      <formula>NOT(ISERROR(SEARCH("Pending",#REF!)))</formula>
    </cfRule>
  </conditionalFormatting>
  <conditionalFormatting sqref="AE19:AE22">
    <cfRule type="containsText" dxfId="3036" priority="124207" operator="containsText" text="Done">
      <formula>NOT(ISERROR(SEARCH("Done",#REF!)))</formula>
    </cfRule>
  </conditionalFormatting>
  <conditionalFormatting sqref="AE20">
    <cfRule type="containsText" dxfId="3035" priority="124220" operator="containsText" text="Pending">
      <formula>NOT(ISERROR(SEARCH("Pending",#REF!)))</formula>
    </cfRule>
    <cfRule type="containsText" dxfId="3034" priority="124229" operator="containsText" text="NA">
      <formula>NOT(ISERROR(SEARCH("NA",#REF!)))</formula>
    </cfRule>
    <cfRule type="containsText" dxfId="3033" priority="124230" operator="containsText" text="NA">
      <formula>NOT(ISERROR(SEARCH("NA",#REF!)))</formula>
    </cfRule>
    <cfRule type="containsText" dxfId="3032" priority="135981" operator="containsText" text="NA">
      <formula>NOT(ISERROR(SEARCH("NA",#REF!)))</formula>
    </cfRule>
    <cfRule type="containsText" dxfId="3031" priority="124219" operator="containsText" text="Pending">
      <formula>NOT(ISERROR(SEARCH("Pending",#REF!)))</formula>
    </cfRule>
  </conditionalFormatting>
  <conditionalFormatting sqref="AE20:AE26">
    <cfRule type="containsText" dxfId="3030" priority="135763" operator="containsText" text="Pending">
      <formula>NOT(ISERROR(SEARCH("Pending",#REF!)))</formula>
    </cfRule>
  </conditionalFormatting>
  <conditionalFormatting sqref="AE21">
    <cfRule type="containsText" dxfId="3029" priority="124231" operator="containsText" text="NA">
      <formula>NOT(ISERROR(SEARCH("NA",#REF!)))</formula>
    </cfRule>
    <cfRule type="containsText" dxfId="3028" priority="124232" operator="containsText" text="NA">
      <formula>NOT(ISERROR(SEARCH("NA",#REF!)))</formula>
    </cfRule>
    <cfRule type="containsText" dxfId="3027" priority="135982" operator="containsText" text="NA">
      <formula>NOT(ISERROR(SEARCH("NA",#REF!)))</formula>
    </cfRule>
    <cfRule type="containsText" dxfId="3026" priority="124222" operator="containsText" text="Pending">
      <formula>NOT(ISERROR(SEARCH("Pending",#REF!)))</formula>
    </cfRule>
  </conditionalFormatting>
  <conditionalFormatting sqref="AE21:AE22">
    <cfRule type="containsText" dxfId="3025" priority="124221" operator="containsText" text="Pending">
      <formula>NOT(ISERROR(SEARCH("Pending",#REF!)))</formula>
    </cfRule>
  </conditionalFormatting>
  <conditionalFormatting sqref="AE22">
    <cfRule type="containsText" dxfId="3024" priority="124234" operator="containsText" text="NA">
      <formula>NOT(ISERROR(SEARCH("NA",#REF!)))</formula>
    </cfRule>
    <cfRule type="containsText" dxfId="3023" priority="124233" operator="containsText" text="NA">
      <formula>NOT(ISERROR(SEARCH("NA",#REF!)))</formula>
    </cfRule>
    <cfRule type="containsText" dxfId="3022" priority="136011" operator="containsText" text="NA">
      <formula>NOT(ISERROR(SEARCH("NA",#REF!)))</formula>
    </cfRule>
    <cfRule type="containsText" dxfId="3021" priority="124224" operator="containsText" text="Pending">
      <formula>NOT(ISERROR(SEARCH("Pending",#REF!)))</formula>
    </cfRule>
  </conditionalFormatting>
  <conditionalFormatting sqref="AE23:AE26">
    <cfRule type="containsText" dxfId="3020" priority="123261" operator="containsText" text="Pending">
      <formula>NOT(ISERROR(SEARCH("Pending",#REF!)))</formula>
    </cfRule>
    <cfRule type="containsText" dxfId="3019" priority="123262" operator="containsText" text="NA">
      <formula>NOT(ISERROR(SEARCH("NA",#REF!)))</formula>
    </cfRule>
    <cfRule type="containsText" dxfId="3018" priority="123263" operator="containsText" text="NA">
      <formula>NOT(ISERROR(SEARCH("NA",#REF!)))</formula>
    </cfRule>
    <cfRule type="containsText" dxfId="3017" priority="136030" operator="containsText" text="NA">
      <formula>NOT(ISERROR(SEARCH("NA",#REF!)))</formula>
    </cfRule>
    <cfRule type="containsText" dxfId="3016" priority="123252" operator="containsText" text="Done">
      <formula>NOT(ISERROR(SEARCH("Done",#REF!)))</formula>
    </cfRule>
    <cfRule type="containsText" dxfId="3015" priority="123254" operator="containsText" text="Pending">
      <formula>NOT(ISERROR(SEARCH("Pending",#REF!)))</formula>
    </cfRule>
    <cfRule type="containsText" dxfId="3014" priority="123255" operator="containsText" text="Pending">
      <formula>NOT(ISERROR(SEARCH("Pending",#REF!)))</formula>
    </cfRule>
    <cfRule type="containsText" dxfId="3013" priority="123256" operator="containsText" text="NA">
      <formula>NOT(ISERROR(SEARCH("NA",#REF!)))</formula>
    </cfRule>
    <cfRule type="containsText" dxfId="3012" priority="123257" operator="containsText" text="NA">
      <formula>NOT(ISERROR(SEARCH("NA",#REF!)))</formula>
    </cfRule>
    <cfRule type="containsText" dxfId="3011" priority="123258" operator="containsText" text="Done">
      <formula>NOT(ISERROR(SEARCH("Done",#REF!)))</formula>
    </cfRule>
    <cfRule type="containsText" dxfId="3010" priority="123260" operator="containsText" text="Pending">
      <formula>NOT(ISERROR(SEARCH("Pending",#REF!)))</formula>
    </cfRule>
  </conditionalFormatting>
  <conditionalFormatting sqref="AE29 AB29:AB30 AG29:AG32 Z29:AB29">
    <cfRule type="containsText" dxfId="3009" priority="159122" operator="containsText" text="NA">
      <formula>NOT(ISERROR(SEARCH("NA",W91)))</formula>
    </cfRule>
  </conditionalFormatting>
  <conditionalFormatting sqref="AE29">
    <cfRule type="containsText" dxfId="3008" priority="2851" operator="containsText" text="Done">
      <formula>NOT(ISERROR(SEARCH("Done",#REF!)))</formula>
    </cfRule>
    <cfRule type="containsText" dxfId="3007" priority="2850" operator="containsText" text="NA">
      <formula>NOT(ISERROR(SEARCH("NA",#REF!)))</formula>
    </cfRule>
    <cfRule type="containsText" dxfId="3006" priority="2849" operator="containsText" text="NA">
      <formula>NOT(ISERROR(SEARCH("NA",#REF!)))</formula>
    </cfRule>
    <cfRule type="containsText" dxfId="3005" priority="2848" operator="containsText" text="Pending">
      <formula>NOT(ISERROR(SEARCH("Pending",#REF!)))</formula>
    </cfRule>
    <cfRule type="containsText" dxfId="3004" priority="2952" operator="containsText" text="Pending">
      <formula>NOT(ISERROR(SEARCH("Pending",#REF!)))</formula>
    </cfRule>
    <cfRule type="containsText" dxfId="3003" priority="2951" operator="containsText" text="Done">
      <formula>NOT(ISERROR(SEARCH("Done",#REF!)))</formula>
    </cfRule>
    <cfRule type="containsText" dxfId="3002" priority="2950" operator="containsText" text="NA">
      <formula>NOT(ISERROR(SEARCH("NA",#REF!)))</formula>
    </cfRule>
    <cfRule type="containsText" dxfId="3001" priority="2949" operator="containsText" text="NA">
      <formula>NOT(ISERROR(SEARCH("NA",#REF!)))</formula>
    </cfRule>
    <cfRule type="containsText" dxfId="3000" priority="2847" operator="containsText" text="Done">
      <formula>NOT(ISERROR(SEARCH("Done",#REF!)))</formula>
    </cfRule>
    <cfRule type="containsText" dxfId="2999" priority="2940" operator="containsText" text="Done">
      <formula>NOT(ISERROR(SEARCH("Done",#REF!)))</formula>
    </cfRule>
    <cfRule type="containsText" dxfId="2998" priority="2939" operator="containsText" text="NA">
      <formula>NOT(ISERROR(SEARCH("NA",#REF!)))</formula>
    </cfRule>
    <cfRule type="containsText" dxfId="2997" priority="2938" operator="containsText" text="NA">
      <formula>NOT(ISERROR(SEARCH("NA",#REF!)))</formula>
    </cfRule>
    <cfRule type="containsText" dxfId="2996" priority="2937" operator="containsText" text="Pending">
      <formula>NOT(ISERROR(SEARCH("Pending",#REF!)))</formula>
    </cfRule>
    <cfRule type="containsText" dxfId="2995" priority="2936" operator="containsText" text="Done">
      <formula>NOT(ISERROR(SEARCH("Done",#REF!)))</formula>
    </cfRule>
    <cfRule type="containsText" dxfId="2994" priority="2935" operator="containsText" text="NA">
      <formula>NOT(ISERROR(SEARCH("NA",#REF!)))</formula>
    </cfRule>
    <cfRule type="containsText" dxfId="2993" priority="2934" operator="containsText" text="NA">
      <formula>NOT(ISERROR(SEARCH("NA",#REF!)))</formula>
    </cfRule>
    <cfRule type="containsText" dxfId="2992" priority="2933" operator="containsText" text="Pending">
      <formula>NOT(ISERROR(SEARCH("Pending",#REF!)))</formula>
    </cfRule>
    <cfRule type="containsText" dxfId="2991" priority="2932" operator="containsText" text="Done">
      <formula>NOT(ISERROR(SEARCH("Done",#REF!)))</formula>
    </cfRule>
    <cfRule type="containsText" dxfId="2990" priority="109520" operator="containsText" text="NA">
      <formula>NOT(ISERROR(SEARCH("NA",#REF!)))</formula>
    </cfRule>
    <cfRule type="containsText" dxfId="2989" priority="109521" operator="containsText" text="Done">
      <formula>NOT(ISERROR(SEARCH("Done",#REF!)))</formula>
    </cfRule>
    <cfRule type="containsText" dxfId="2988" priority="109522" operator="containsText" text="Pending">
      <formula>NOT(ISERROR(SEARCH("Pending",#REF!)))</formula>
    </cfRule>
    <cfRule type="containsText" dxfId="2987" priority="109523" operator="containsText" text="NA">
      <formula>NOT(ISERROR(SEARCH("NA",#REF!)))</formula>
    </cfRule>
    <cfRule type="containsText" dxfId="2986" priority="109524" operator="containsText" text="Done">
      <formula>NOT(ISERROR(SEARCH("Done",#REF!)))</formula>
    </cfRule>
    <cfRule type="containsText" dxfId="2985" priority="109525" operator="containsText" text="Pending">
      <formula>NOT(ISERROR(SEARCH("Pending",#REF!)))</formula>
    </cfRule>
    <cfRule type="containsText" dxfId="2984" priority="109526" operator="containsText" text="NA">
      <formula>NOT(ISERROR(SEARCH("NA",#REF!)))</formula>
    </cfRule>
    <cfRule type="containsText" dxfId="2983" priority="109527" operator="containsText" text="NA">
      <formula>NOT(ISERROR(SEARCH("NA",#REF!)))</formula>
    </cfRule>
    <cfRule type="containsText" dxfId="2982" priority="109528" operator="containsText" text="Done">
      <formula>NOT(ISERROR(SEARCH("Done",#REF!)))</formula>
    </cfRule>
    <cfRule type="containsText" dxfId="2981" priority="109529" operator="containsText" text="Pending">
      <formula>NOT(ISERROR(SEARCH("Pending",#REF!)))</formula>
    </cfRule>
    <cfRule type="containsText" dxfId="2980" priority="109530" operator="containsText" text="NA">
      <formula>NOT(ISERROR(SEARCH("NA",#REF!)))</formula>
    </cfRule>
    <cfRule type="containsText" dxfId="2979" priority="109531" operator="containsText" text="NA">
      <formula>NOT(ISERROR(SEARCH("NA",AE29)))</formula>
    </cfRule>
    <cfRule type="containsText" dxfId="2978" priority="109532" operator="containsText" text="Done">
      <formula>NOT(ISERROR(SEARCH("Done",AE29)))</formula>
    </cfRule>
    <cfRule type="containsText" dxfId="2977" priority="109533" operator="containsText" text="NA">
      <formula>NOT(ISERROR(SEARCH("NA",#REF!)))</formula>
    </cfRule>
    <cfRule type="containsText" dxfId="2976" priority="109534" operator="containsText" text="Done">
      <formula>NOT(ISERROR(SEARCH("Done",#REF!)))</formula>
    </cfRule>
    <cfRule type="containsText" dxfId="2975" priority="109535" operator="containsText" text="Pending">
      <formula>NOT(ISERROR(SEARCH("Pending",#REF!)))</formula>
    </cfRule>
    <cfRule type="containsText" dxfId="2974" priority="109536" operator="containsText" text="NA">
      <formula>NOT(ISERROR(SEARCH("NA",#REF!)))</formula>
    </cfRule>
    <cfRule type="containsText" dxfId="2973" priority="2846" operator="containsText" text="NA">
      <formula>NOT(ISERROR(SEARCH("NA",#REF!)))</formula>
    </cfRule>
    <cfRule type="containsText" dxfId="2972" priority="109537" operator="containsText" text="NA">
      <formula>NOT(ISERROR(SEARCH("NA",AE29)))</formula>
    </cfRule>
    <cfRule type="containsText" dxfId="2971" priority="109538" operator="containsText" text="Pending">
      <formula>NOT(ISERROR(SEARCH("Pending",AE29)))</formula>
    </cfRule>
    <cfRule type="containsText" dxfId="2970" priority="109539" operator="containsText" text="Done">
      <formula>NOT(ISERROR(SEARCH("Done",AE29)))</formula>
    </cfRule>
    <cfRule type="containsText" dxfId="2969" priority="109540" operator="containsText" text="NA">
      <formula>NOT(ISERROR(SEARCH("NA",#REF!)))</formula>
    </cfRule>
    <cfRule type="containsText" dxfId="2968" priority="109541" operator="containsText" text="Done">
      <formula>NOT(ISERROR(SEARCH("Done",#REF!)))</formula>
    </cfRule>
    <cfRule type="containsText" dxfId="2967" priority="109542" operator="containsText" text="Pending">
      <formula>NOT(ISERROR(SEARCH("Pending",#REF!)))</formula>
    </cfRule>
    <cfRule type="containsText" dxfId="2966" priority="109543" operator="containsText" text="NA">
      <formula>NOT(ISERROR(SEARCH("NA",#REF!)))</formula>
    </cfRule>
    <cfRule type="containsText" dxfId="2965" priority="2931" operator="containsText" text="NA">
      <formula>NOT(ISERROR(SEARCH("NA",#REF!)))</formula>
    </cfRule>
    <cfRule type="containsText" dxfId="2964" priority="109544" operator="containsText" text="NA">
      <formula>NOT(ISERROR(SEARCH("NA",AE29)))</formula>
    </cfRule>
    <cfRule type="containsText" dxfId="2963" priority="109545" operator="containsText" text="Done">
      <formula>NOT(ISERROR(SEARCH("Done",AE29)))</formula>
    </cfRule>
    <cfRule type="containsText" dxfId="2962" priority="109547" operator="containsText" text="Done">
      <formula>NOT(ISERROR(SEARCH("Done",#REF!)))</formula>
    </cfRule>
    <cfRule type="containsText" dxfId="2961" priority="109548" operator="containsText" text="Pending">
      <formula>NOT(ISERROR(SEARCH("Pending",#REF!)))</formula>
    </cfRule>
    <cfRule type="containsText" dxfId="2960" priority="109549" operator="containsText" text="NA">
      <formula>NOT(ISERROR(SEARCH("NA",#REF!)))</formula>
    </cfRule>
    <cfRule type="containsText" dxfId="2959" priority="2930" operator="containsText" text="NA">
      <formula>NOT(ISERROR(SEARCH("NA",#REF!)))</formula>
    </cfRule>
    <cfRule type="containsText" dxfId="2958" priority="2929" operator="containsText" text="Pending">
      <formula>NOT(ISERROR(SEARCH("Pending",#REF!)))</formula>
    </cfRule>
    <cfRule type="containsText" dxfId="2957" priority="2928" operator="containsText" text="Done">
      <formula>NOT(ISERROR(SEARCH("Done",#REF!)))</formula>
    </cfRule>
    <cfRule type="containsText" dxfId="2956" priority="2927" operator="containsText" text="NA">
      <formula>NOT(ISERROR(SEARCH("NA",#REF!)))</formula>
    </cfRule>
    <cfRule type="containsText" dxfId="2955" priority="2926" operator="containsText" text="Pending">
      <formula>NOT(ISERROR(SEARCH("Pending",#REF!)))</formula>
    </cfRule>
    <cfRule type="containsText" dxfId="2954" priority="2925" operator="containsText" text="Done">
      <formula>NOT(ISERROR(SEARCH("Done",#REF!)))</formula>
    </cfRule>
    <cfRule type="containsText" dxfId="2953" priority="2924" operator="containsText" text="NA">
      <formula>NOT(ISERROR(SEARCH("NA",#REF!)))</formula>
    </cfRule>
    <cfRule type="containsText" dxfId="2952" priority="2923" operator="containsText" text="NA">
      <formula>NOT(ISERROR(SEARCH("NA",#REF!)))</formula>
    </cfRule>
    <cfRule type="containsText" dxfId="2951" priority="2922" operator="containsText" text="Pending">
      <formula>NOT(ISERROR(SEARCH("Pending",#REF!)))</formula>
    </cfRule>
    <cfRule type="containsText" dxfId="2950" priority="2921" operator="containsText" text="Done">
      <formula>NOT(ISERROR(SEARCH("Done",#REF!)))</formula>
    </cfRule>
    <cfRule type="containsText" dxfId="2949" priority="109565" operator="containsText" text="Done">
      <formula>NOT(ISERROR(SEARCH("Done",#REF!)))</formula>
    </cfRule>
    <cfRule type="containsText" dxfId="2948" priority="2965" operator="containsText" text="NA">
      <formula>NOT(ISERROR(SEARCH("NA",#REF!)))</formula>
    </cfRule>
    <cfRule type="containsText" dxfId="2947" priority="2966" operator="containsText" text="Done">
      <formula>NOT(ISERROR(SEARCH("Done",#REF!)))</formula>
    </cfRule>
    <cfRule type="containsText" dxfId="2946" priority="2967" operator="containsText" text="Pending">
      <formula>NOT(ISERROR(SEARCH("Pending",#REF!)))</formula>
    </cfRule>
    <cfRule type="containsText" dxfId="2945" priority="2968" operator="containsText" text="NA">
      <formula>NOT(ISERROR(SEARCH("NA",#REF!)))</formula>
    </cfRule>
    <cfRule type="containsText" dxfId="2944" priority="2969" operator="containsText" text="Pending">
      <formula>NOT(ISERROR(SEARCH("Pending",#REF!)))</formula>
    </cfRule>
    <cfRule type="containsText" dxfId="2943" priority="2970" operator="containsText" text="NA">
      <formula>NOT(ISERROR(SEARCH("NA",#REF!)))</formula>
    </cfRule>
    <cfRule type="containsText" dxfId="2942" priority="2920" operator="containsText" text="NA">
      <formula>NOT(ISERROR(SEARCH("NA",#REF!)))</formula>
    </cfRule>
    <cfRule type="containsText" dxfId="2941" priority="2971" operator="containsText" text="NA">
      <formula>NOT(ISERROR(SEARCH("NA",#REF!)))</formula>
    </cfRule>
    <cfRule type="containsText" dxfId="2940" priority="2972" operator="containsText" text="Done">
      <formula>NOT(ISERROR(SEARCH("Done",#REF!)))</formula>
    </cfRule>
    <cfRule type="containsText" dxfId="2939" priority="2973" operator="containsText" text="Pending">
      <formula>NOT(ISERROR(SEARCH("Pending",#REF!)))</formula>
    </cfRule>
    <cfRule type="containsText" dxfId="2938" priority="2919" operator="containsText" text="NA">
      <formula>NOT(ISERROR(SEARCH("NA",#REF!)))</formula>
    </cfRule>
    <cfRule type="containsText" dxfId="2937" priority="2948" operator="containsText" text="Pending">
      <formula>NOT(ISERROR(SEARCH("Pending",#REF!)))</formula>
    </cfRule>
    <cfRule type="containsText" dxfId="2936" priority="2947" operator="containsText" text="Done">
      <formula>NOT(ISERROR(SEARCH("Done",#REF!)))</formula>
    </cfRule>
    <cfRule type="containsText" dxfId="2935" priority="2946" operator="containsText" text="NA">
      <formula>NOT(ISERROR(SEARCH("NA",#REF!)))</formula>
    </cfRule>
    <cfRule type="containsText" dxfId="2934" priority="2945" operator="containsText" text="NA">
      <formula>NOT(ISERROR(SEARCH("NA",#REF!)))</formula>
    </cfRule>
    <cfRule type="containsText" dxfId="2933" priority="2944" operator="containsText" text="Pending">
      <formula>NOT(ISERROR(SEARCH("Pending",#REF!)))</formula>
    </cfRule>
    <cfRule type="containsText" dxfId="2932" priority="2974" operator="containsText" text="NA">
      <formula>NOT(ISERROR(SEARCH("NA",#REF!)))</formula>
    </cfRule>
    <cfRule type="containsText" dxfId="2931" priority="2961" operator="containsText" text="Done">
      <formula>NOT(ISERROR(SEARCH("Done",#REF!)))</formula>
    </cfRule>
    <cfRule type="containsText" dxfId="2930" priority="2962" operator="containsText" text="NA">
      <formula>NOT(ISERROR(SEARCH("NA",AE29)))</formula>
    </cfRule>
    <cfRule type="containsText" dxfId="2929" priority="2917" operator="containsText" text="Done">
      <formula>NOT(ISERROR(SEARCH("Done",#REF!)))</formula>
    </cfRule>
    <cfRule type="containsText" dxfId="2928" priority="2953" operator="containsText" text="NA">
      <formula>NOT(ISERROR(SEARCH("NA",#REF!)))</formula>
    </cfRule>
    <cfRule type="containsText" dxfId="2927" priority="2954" operator="containsText" text="Done">
      <formula>NOT(ISERROR(SEARCH("Done",#REF!)))</formula>
    </cfRule>
    <cfRule type="containsText" dxfId="2926" priority="2918" operator="containsText" text="Pending">
      <formula>NOT(ISERROR(SEARCH("Pending",#REF!)))</formula>
    </cfRule>
    <cfRule type="containsText" dxfId="2925" priority="2955" operator="containsText" text="Pending">
      <formula>NOT(ISERROR(SEARCH("Pending",#REF!)))</formula>
    </cfRule>
    <cfRule type="containsText" dxfId="2924" priority="2956" operator="containsText" text="NA">
      <formula>NOT(ISERROR(SEARCH("NA",#REF!)))</formula>
    </cfRule>
    <cfRule type="containsText" dxfId="2923" priority="2916" operator="containsText" text="NA">
      <formula>NOT(ISERROR(SEARCH("NA",#REF!)))</formula>
    </cfRule>
    <cfRule type="containsText" dxfId="2922" priority="2915" operator="containsText" text="NA">
      <formula>NOT(ISERROR(SEARCH("NA",#REF!)))</formula>
    </cfRule>
    <cfRule type="containsText" dxfId="2921" priority="2914" operator="containsText" text="Pending">
      <formula>NOT(ISERROR(SEARCH("Pending",#REF!)))</formula>
    </cfRule>
    <cfRule type="containsText" dxfId="2920" priority="2913" operator="containsText" text="Done">
      <formula>NOT(ISERROR(SEARCH("Done",#REF!)))</formula>
    </cfRule>
    <cfRule type="containsText" dxfId="2919" priority="2912" operator="containsText" text="NA">
      <formula>NOT(ISERROR(SEARCH("NA",#REF!)))</formula>
    </cfRule>
    <cfRule type="containsText" dxfId="2918" priority="2911" operator="containsText" text="Pending">
      <formula>NOT(ISERROR(SEARCH("Pending",#REF!)))</formula>
    </cfRule>
    <cfRule type="containsText" dxfId="2917" priority="2910" operator="containsText" text="Done">
      <formula>NOT(ISERROR(SEARCH("Done",#REF!)))</formula>
    </cfRule>
    <cfRule type="containsText" dxfId="2916" priority="2909" operator="containsText" text="NA">
      <formula>NOT(ISERROR(SEARCH("NA",#REF!)))</formula>
    </cfRule>
    <cfRule type="containsText" dxfId="2915" priority="2908" operator="containsText" text="Done">
      <formula>NOT(ISERROR(SEARCH("Done",AE29)))</formula>
    </cfRule>
    <cfRule type="containsText" dxfId="2914" priority="2907" operator="containsText" text="NA">
      <formula>NOT(ISERROR(SEARCH("NA",AE29)))</formula>
    </cfRule>
    <cfRule type="containsText" dxfId="2913" priority="2906" operator="containsText" text="NA">
      <formula>NOT(ISERROR(SEARCH("NA",#REF!)))</formula>
    </cfRule>
    <cfRule type="containsText" dxfId="2912" priority="2905" operator="containsText" text="NA">
      <formula>NOT(ISERROR(SEARCH("NA",#REF!)))</formula>
    </cfRule>
    <cfRule type="containsText" dxfId="2911" priority="2904" operator="containsText" text="Pending">
      <formula>NOT(ISERROR(SEARCH("Pending",#REF!)))</formula>
    </cfRule>
    <cfRule type="containsText" dxfId="2910" priority="2903" operator="containsText" text="Done">
      <formula>NOT(ISERROR(SEARCH("Done",#REF!)))</formula>
    </cfRule>
    <cfRule type="containsText" dxfId="2909" priority="2902" operator="containsText" text="NA">
      <formula>NOT(ISERROR(SEARCH("NA",#REF!)))</formula>
    </cfRule>
    <cfRule type="containsText" dxfId="2908" priority="2957" operator="containsText" text="NA">
      <formula>NOT(ISERROR(SEARCH("NA",#REF!)))</formula>
    </cfRule>
    <cfRule type="containsText" dxfId="2907" priority="2958" operator="containsText" text="Done">
      <formula>NOT(ISERROR(SEARCH("Done",#REF!)))</formula>
    </cfRule>
    <cfRule type="containsText" dxfId="2906" priority="109546" operator="containsText" text="NA">
      <formula>NOT(ISERROR(SEARCH("NA",#REF!)))</formula>
    </cfRule>
    <cfRule type="containsText" dxfId="2905" priority="2900" operator="containsText" text="Done">
      <formula>NOT(ISERROR(SEARCH("Done",#REF!)))</formula>
    </cfRule>
    <cfRule type="containsText" dxfId="2904" priority="2899" operator="containsText" text="NA">
      <formula>NOT(ISERROR(SEARCH("NA",#REF!)))</formula>
    </cfRule>
    <cfRule type="containsText" dxfId="2903" priority="2898" operator="containsText" text="NA">
      <formula>NOT(ISERROR(SEARCH("NA",#REF!)))</formula>
    </cfRule>
    <cfRule type="containsText" dxfId="2902" priority="2897" operator="containsText" text="Pending">
      <formula>NOT(ISERROR(SEARCH("Pending",#REF!)))</formula>
    </cfRule>
    <cfRule type="containsText" dxfId="2901" priority="2896" operator="containsText" text="Done">
      <formula>NOT(ISERROR(SEARCH("Done",#REF!)))</formula>
    </cfRule>
    <cfRule type="containsText" dxfId="2900" priority="2895" operator="containsText" text="NA">
      <formula>NOT(ISERROR(SEARCH("NA",#REF!)))</formula>
    </cfRule>
    <cfRule type="containsText" dxfId="2899" priority="2894" operator="containsText" text="NA">
      <formula>NOT(ISERROR(SEARCH("NA",#REF!)))</formula>
    </cfRule>
    <cfRule type="containsText" dxfId="2898" priority="2893" operator="containsText" text="Pending">
      <formula>NOT(ISERROR(SEARCH("Pending",#REF!)))</formula>
    </cfRule>
    <cfRule type="containsText" dxfId="2897" priority="2892" operator="containsText" text="Done">
      <formula>NOT(ISERROR(SEARCH("Done",#REF!)))</formula>
    </cfRule>
    <cfRule type="containsText" dxfId="2896" priority="2891" operator="containsText" text="NA">
      <formula>NOT(ISERROR(SEARCH("NA",#REF!)))</formula>
    </cfRule>
    <cfRule type="containsText" dxfId="2895" priority="2890" operator="containsText" text="Pending">
      <formula>NOT(ISERROR(SEARCH("Pending",#REF!)))</formula>
    </cfRule>
    <cfRule type="containsText" dxfId="2894" priority="2889" operator="containsText" text="Done">
      <formula>NOT(ISERROR(SEARCH("Done",#REF!)))</formula>
    </cfRule>
    <cfRule type="containsText" dxfId="2893" priority="2888" operator="containsText" text="NA">
      <formula>NOT(ISERROR(SEARCH("NA",#REF!)))</formula>
    </cfRule>
    <cfRule type="containsText" dxfId="2892" priority="2959" operator="containsText" text="Pending">
      <formula>NOT(ISERROR(SEARCH("Pending",#REF!)))</formula>
    </cfRule>
    <cfRule type="containsText" dxfId="2891" priority="2887" operator="containsText" text="NA">
      <formula>NOT(ISERROR(SEARCH("NA",#REF!)))</formula>
    </cfRule>
    <cfRule type="containsText" dxfId="2890" priority="2886" operator="containsText" text="Pending">
      <formula>NOT(ISERROR(SEARCH("Pending",#REF!)))</formula>
    </cfRule>
    <cfRule type="containsText" dxfId="2889" priority="2885" operator="containsText" text="Done">
      <formula>NOT(ISERROR(SEARCH("Done",#REF!)))</formula>
    </cfRule>
    <cfRule type="containsText" dxfId="2888" priority="2884" operator="containsText" text="NA">
      <formula>NOT(ISERROR(SEARCH("NA",#REF!)))</formula>
    </cfRule>
    <cfRule type="containsText" dxfId="2887" priority="2960" operator="containsText" text="NA">
      <formula>NOT(ISERROR(SEARCH("NA",#REF!)))</formula>
    </cfRule>
    <cfRule type="containsText" dxfId="2886" priority="2883" operator="containsText" text="NA">
      <formula>NOT(ISERROR(SEARCH("NA",#REF!)))</formula>
    </cfRule>
    <cfRule type="containsText" dxfId="2885" priority="2882" operator="containsText" text="Pending">
      <formula>NOT(ISERROR(SEARCH("Pending",#REF!)))</formula>
    </cfRule>
    <cfRule type="containsText" dxfId="2884" priority="2943" operator="containsText" text="Done">
      <formula>NOT(ISERROR(SEARCH("Done",#REF!)))</formula>
    </cfRule>
    <cfRule type="containsText" dxfId="2883" priority="2942" operator="containsText" text="NA">
      <formula>NOT(ISERROR(SEARCH("NA",#REF!)))</formula>
    </cfRule>
    <cfRule type="containsText" dxfId="2882" priority="2941" operator="containsText" text="Pending">
      <formula>NOT(ISERROR(SEARCH("Pending",#REF!)))</formula>
    </cfRule>
    <cfRule type="containsText" dxfId="2881" priority="2881" operator="containsText" text="Done">
      <formula>NOT(ISERROR(SEARCH("Done",#REF!)))</formula>
    </cfRule>
    <cfRule type="containsText" dxfId="2880" priority="2880" operator="containsText" text="NA">
      <formula>NOT(ISERROR(SEARCH("NA",#REF!)))</formula>
    </cfRule>
    <cfRule type="containsText" dxfId="2879" priority="2964" operator="containsText" text="Done">
      <formula>NOT(ISERROR(SEARCH("Done",AE29)))</formula>
    </cfRule>
    <cfRule type="containsText" dxfId="2878" priority="2879" operator="containsText" text="Pending">
      <formula>NOT(ISERROR(SEARCH("Pending",#REF!)))</formula>
    </cfRule>
    <cfRule type="containsText" dxfId="2877" priority="2878" operator="containsText" text="Done">
      <formula>NOT(ISERROR(SEARCH("Done",#REF!)))</formula>
    </cfRule>
    <cfRule type="containsText" dxfId="2876" priority="2877" operator="containsText" text="NA">
      <formula>NOT(ISERROR(SEARCH("NA",#REF!)))</formula>
    </cfRule>
    <cfRule type="containsText" dxfId="2875" priority="2876" operator="containsText" text="NA">
      <formula>NOT(ISERROR(SEARCH("NA",#REF!)))</formula>
    </cfRule>
    <cfRule type="containsText" dxfId="2874" priority="2875" operator="containsText" text="Pending">
      <formula>NOT(ISERROR(SEARCH("Pending",#REF!)))</formula>
    </cfRule>
    <cfRule type="containsText" dxfId="2873" priority="2874" operator="containsText" text="Done">
      <formula>NOT(ISERROR(SEARCH("Done",#REF!)))</formula>
    </cfRule>
    <cfRule type="containsText" dxfId="2872" priority="2873" operator="containsText" text="NA">
      <formula>NOT(ISERROR(SEARCH("NA",#REF!)))</formula>
    </cfRule>
    <cfRule type="containsText" dxfId="2871" priority="2872" operator="containsText" text="NA">
      <formula>NOT(ISERROR(SEARCH("NA",#REF!)))</formula>
    </cfRule>
    <cfRule type="containsText" dxfId="2870" priority="2871" operator="containsText" text="Pending">
      <formula>NOT(ISERROR(SEARCH("Pending",#REF!)))</formula>
    </cfRule>
    <cfRule type="containsText" dxfId="2869" priority="2870" operator="containsText" text="Done">
      <formula>NOT(ISERROR(SEARCH("Done",#REF!)))</formula>
    </cfRule>
    <cfRule type="containsText" dxfId="2868" priority="2869" operator="containsText" text="NA">
      <formula>NOT(ISERROR(SEARCH("NA",#REF!)))</formula>
    </cfRule>
    <cfRule type="containsText" dxfId="2867" priority="2868" operator="containsText" text="NA">
      <formula>NOT(ISERROR(SEARCH("NA",#REF!)))</formula>
    </cfRule>
    <cfRule type="containsText" dxfId="2866" priority="2867" operator="containsText" text="Pending">
      <formula>NOT(ISERROR(SEARCH("Pending",#REF!)))</formula>
    </cfRule>
    <cfRule type="containsText" dxfId="2865" priority="2866" operator="containsText" text="Done">
      <formula>NOT(ISERROR(SEARCH("Done",#REF!)))</formula>
    </cfRule>
    <cfRule type="containsText" dxfId="2864" priority="2865" operator="containsText" text="NA">
      <formula>NOT(ISERROR(SEARCH("NA",#REF!)))</formula>
    </cfRule>
    <cfRule type="containsText" dxfId="2863" priority="2864" operator="containsText" text="NA">
      <formula>NOT(ISERROR(SEARCH("NA",#REF!)))</formula>
    </cfRule>
    <cfRule type="containsText" dxfId="2862" priority="2863" operator="containsText" text="Pending">
      <formula>NOT(ISERROR(SEARCH("Pending",#REF!)))</formula>
    </cfRule>
    <cfRule type="containsText" dxfId="2861" priority="2862" operator="containsText" text="Done">
      <formula>NOT(ISERROR(SEARCH("Done",#REF!)))</formula>
    </cfRule>
    <cfRule type="containsText" dxfId="2860" priority="2861" operator="containsText" text="NA">
      <formula>NOT(ISERROR(SEARCH("NA",#REF!)))</formula>
    </cfRule>
    <cfRule type="containsText" dxfId="2859" priority="2860" operator="containsText" text="NA">
      <formula>NOT(ISERROR(SEARCH("NA",#REF!)))</formula>
    </cfRule>
    <cfRule type="containsText" dxfId="2858" priority="2859" operator="containsText" text="Pending">
      <formula>NOT(ISERROR(SEARCH("Pending",#REF!)))</formula>
    </cfRule>
    <cfRule type="containsText" dxfId="2857" priority="2858" operator="containsText" text="Done">
      <formula>NOT(ISERROR(SEARCH("Done",#REF!)))</formula>
    </cfRule>
    <cfRule type="containsText" dxfId="2856" priority="2857" operator="containsText" text="NA">
      <formula>NOT(ISERROR(SEARCH("NA",#REF!)))</formula>
    </cfRule>
    <cfRule type="containsText" dxfId="2855" priority="2963" operator="containsText" text="Pending">
      <formula>NOT(ISERROR(SEARCH("Pending",AE29)))</formula>
    </cfRule>
    <cfRule type="containsText" dxfId="2854" priority="2853" operator="containsText" text="NA">
      <formula>NOT(ISERROR(SEARCH("NA",#REF!)))</formula>
    </cfRule>
    <cfRule type="containsText" dxfId="2853" priority="2852" operator="containsText" text="Pending">
      <formula>NOT(ISERROR(SEARCH("Pending",#REF!)))</formula>
    </cfRule>
    <cfRule type="containsText" dxfId="2852" priority="2856" operator="containsText" text="Pending">
      <formula>NOT(ISERROR(SEARCH("Pending",#REF!)))</formula>
    </cfRule>
    <cfRule type="containsText" dxfId="2851" priority="2855" operator="containsText" text="Done">
      <formula>NOT(ISERROR(SEARCH("Done",#REF!)))</formula>
    </cfRule>
    <cfRule type="containsText" dxfId="2850" priority="2854" operator="containsText" text="NA">
      <formula>NOT(ISERROR(SEARCH("NA",#REF!)))</formula>
    </cfRule>
    <cfRule type="containsText" dxfId="2849" priority="2901" operator="containsText" text="Pending">
      <formula>NOT(ISERROR(SEARCH("Pending",#REF!)))</formula>
    </cfRule>
  </conditionalFormatting>
  <conditionalFormatting sqref="AE29:AE30">
    <cfRule type="containsText" dxfId="2848" priority="76521" operator="containsText" text="Pending">
      <formula>NOT(ISERROR(SEARCH("Pending",#REF!)))</formula>
    </cfRule>
    <cfRule type="containsText" dxfId="2847" priority="76520" operator="containsText" text="Done">
      <formula>NOT(ISERROR(SEARCH("Done",#REF!)))</formula>
    </cfRule>
    <cfRule type="containsText" dxfId="2846" priority="76519" operator="containsText" text="NA">
      <formula>NOT(ISERROR(SEARCH("NA",#REF!)))</formula>
    </cfRule>
    <cfRule type="containsText" dxfId="2845" priority="76518" operator="containsText" text="NA">
      <formula>NOT(ISERROR(SEARCH("NA",#REF!)))</formula>
    </cfRule>
    <cfRule type="containsText" dxfId="2844" priority="76517" operator="containsText" text="Pending">
      <formula>NOT(ISERROR(SEARCH("Pending",#REF!)))</formula>
    </cfRule>
    <cfRule type="containsText" dxfId="2843" priority="76516" operator="containsText" text="Done">
      <formula>NOT(ISERROR(SEARCH("Done",#REF!)))</formula>
    </cfRule>
    <cfRule type="containsText" dxfId="2842" priority="76431" operator="containsText" text="NA">
      <formula>NOT(ISERROR(SEARCH("NA",#REF!)))</formula>
    </cfRule>
    <cfRule type="containsText" dxfId="2841" priority="76432" operator="containsText" text="Done">
      <formula>NOT(ISERROR(SEARCH("Done",#REF!)))</formula>
    </cfRule>
    <cfRule type="containsText" dxfId="2840" priority="76433" operator="containsText" text="Pending">
      <formula>NOT(ISERROR(SEARCH("Pending",#REF!)))</formula>
    </cfRule>
    <cfRule type="containsText" dxfId="2839" priority="76434" operator="containsText" text="NA">
      <formula>NOT(ISERROR(SEARCH("NA",#REF!)))</formula>
    </cfRule>
    <cfRule type="containsText" dxfId="2838" priority="76435" operator="containsText" text="NA">
      <formula>NOT(ISERROR(SEARCH("NA",#REF!)))</formula>
    </cfRule>
    <cfRule type="containsText" dxfId="2837" priority="76436" operator="containsText" text="Done">
      <formula>NOT(ISERROR(SEARCH("Done",#REF!)))</formula>
    </cfRule>
    <cfRule type="containsText" dxfId="2836" priority="76437" operator="containsText" text="Pending">
      <formula>NOT(ISERROR(SEARCH("Pending",#REF!)))</formula>
    </cfRule>
    <cfRule type="containsText" dxfId="2835" priority="76438" operator="containsText" text="NA">
      <formula>NOT(ISERROR(SEARCH("NA",#REF!)))</formula>
    </cfRule>
    <cfRule type="containsText" dxfId="2834" priority="76439" operator="containsText" text="Done">
      <formula>NOT(ISERROR(SEARCH("Done",#REF!)))</formula>
    </cfRule>
    <cfRule type="containsText" dxfId="2833" priority="76440" operator="containsText" text="Pending">
      <formula>NOT(ISERROR(SEARCH("Pending",#REF!)))</formula>
    </cfRule>
    <cfRule type="containsText" dxfId="2832" priority="76441" operator="containsText" text="NA">
      <formula>NOT(ISERROR(SEARCH("NA",#REF!)))</formula>
    </cfRule>
    <cfRule type="containsText" dxfId="2831" priority="76442" operator="containsText" text="NA">
      <formula>NOT(ISERROR(SEARCH("NA",#REF!)))</formula>
    </cfRule>
    <cfRule type="containsText" dxfId="2830" priority="76443" operator="containsText" text="Done">
      <formula>NOT(ISERROR(SEARCH("Done",#REF!)))</formula>
    </cfRule>
    <cfRule type="containsText" dxfId="2829" priority="76444" operator="containsText" text="Pending">
      <formula>NOT(ISERROR(SEARCH("Pending",#REF!)))</formula>
    </cfRule>
    <cfRule type="containsText" dxfId="2828" priority="76445" operator="containsText" text="NA">
      <formula>NOT(ISERROR(SEARCH("NA",#REF!)))</formula>
    </cfRule>
    <cfRule type="containsText" dxfId="2827" priority="76446" operator="containsText" text="NA">
      <formula>NOT(ISERROR(SEARCH("NA",#REF!)))</formula>
    </cfRule>
    <cfRule type="containsText" dxfId="2826" priority="76447" operator="containsText" text="Done">
      <formula>NOT(ISERROR(SEARCH("Done",#REF!)))</formula>
    </cfRule>
    <cfRule type="containsText" dxfId="2825" priority="76448" operator="containsText" text="Pending">
      <formula>NOT(ISERROR(SEARCH("Pending",#REF!)))</formula>
    </cfRule>
    <cfRule type="containsText" dxfId="2824" priority="76449" operator="containsText" text="NA">
      <formula>NOT(ISERROR(SEARCH("NA",#REF!)))</formula>
    </cfRule>
    <cfRule type="containsText" dxfId="2823" priority="76450" operator="containsText" text="NA">
      <formula>NOT(ISERROR(SEARCH("NA",#REF!)))</formula>
    </cfRule>
    <cfRule type="containsText" dxfId="2822" priority="76451" operator="containsText" text="Done">
      <formula>NOT(ISERROR(SEARCH("Done",#REF!)))</formula>
    </cfRule>
    <cfRule type="containsText" dxfId="2821" priority="76452" operator="containsText" text="Pending">
      <formula>NOT(ISERROR(SEARCH("Pending",#REF!)))</formula>
    </cfRule>
    <cfRule type="containsText" dxfId="2820" priority="76453" operator="containsText" text="NA">
      <formula>NOT(ISERROR(SEARCH("NA",#REF!)))</formula>
    </cfRule>
    <cfRule type="containsText" dxfId="2819" priority="76454" operator="containsText" text="NA">
      <formula>NOT(ISERROR(SEARCH("NA",#REF!)))</formula>
    </cfRule>
    <cfRule type="containsText" dxfId="2818" priority="76455" operator="containsText" text="Done">
      <formula>NOT(ISERROR(SEARCH("Done",#REF!)))</formula>
    </cfRule>
    <cfRule type="containsText" dxfId="2817" priority="76456" operator="containsText" text="Pending">
      <formula>NOT(ISERROR(SEARCH("Pending",#REF!)))</formula>
    </cfRule>
    <cfRule type="containsText" dxfId="2816" priority="76457" operator="containsText" text="NA">
      <formula>NOT(ISERROR(SEARCH("NA",#REF!)))</formula>
    </cfRule>
    <cfRule type="containsText" dxfId="2815" priority="76458" operator="containsText" text="Done">
      <formula>NOT(ISERROR(SEARCH("Done",#REF!)))</formula>
    </cfRule>
    <cfRule type="containsText" dxfId="2814" priority="76459" operator="containsText" text="Pending">
      <formula>NOT(ISERROR(SEARCH("Pending",#REF!)))</formula>
    </cfRule>
    <cfRule type="containsText" dxfId="2813" priority="76460" operator="containsText" text="NA">
      <formula>NOT(ISERROR(SEARCH("NA",#REF!)))</formula>
    </cfRule>
    <cfRule type="containsText" dxfId="2812" priority="76461" operator="containsText" text="NA">
      <formula>NOT(ISERROR(SEARCH("NA",#REF!)))</formula>
    </cfRule>
    <cfRule type="containsText" dxfId="2811" priority="76462" operator="containsText" text="Done">
      <formula>NOT(ISERROR(SEARCH("Done",#REF!)))</formula>
    </cfRule>
    <cfRule type="containsText" dxfId="2810" priority="76463" operator="containsText" text="Pending">
      <formula>NOT(ISERROR(SEARCH("Pending",#REF!)))</formula>
    </cfRule>
    <cfRule type="containsText" dxfId="2809" priority="76464" operator="containsText" text="NA">
      <formula>NOT(ISERROR(SEARCH("NA",#REF!)))</formula>
    </cfRule>
    <cfRule type="containsText" dxfId="2808" priority="76465" operator="containsText" text="NA">
      <formula>NOT(ISERROR(SEARCH("NA",AE29)))</formula>
    </cfRule>
    <cfRule type="containsText" dxfId="2807" priority="76466" operator="containsText" text="Pending">
      <formula>NOT(ISERROR(SEARCH("Pending",AE29)))</formula>
    </cfRule>
    <cfRule type="containsText" dxfId="2806" priority="76467" operator="containsText" text="Done">
      <formula>NOT(ISERROR(SEARCH("Done",AE29)))</formula>
    </cfRule>
    <cfRule type="containsText" dxfId="2805" priority="76468" operator="containsText" text="NA">
      <formula>NOT(ISERROR(SEARCH("NA",#REF!)))</formula>
    </cfRule>
    <cfRule type="containsText" dxfId="2804" priority="76469" operator="containsText" text="Done">
      <formula>NOT(ISERROR(SEARCH("Done",#REF!)))</formula>
    </cfRule>
    <cfRule type="containsText" dxfId="2803" priority="76470" operator="containsText" text="Pending">
      <formula>NOT(ISERROR(SEARCH("Pending",#REF!)))</formula>
    </cfRule>
    <cfRule type="containsText" dxfId="2802" priority="76471" operator="containsText" text="NA">
      <formula>NOT(ISERROR(SEARCH("NA",#REF!)))</formula>
    </cfRule>
    <cfRule type="containsText" dxfId="2801" priority="76472" operator="containsText" text="Done">
      <formula>NOT(ISERROR(SEARCH("Done",#REF!)))</formula>
    </cfRule>
    <cfRule type="containsText" dxfId="2800" priority="76473" operator="containsText" text="Pending">
      <formula>NOT(ISERROR(SEARCH("Pending",#REF!)))</formula>
    </cfRule>
    <cfRule type="containsText" dxfId="2799" priority="76474" operator="containsText" text="NA">
      <formula>NOT(ISERROR(SEARCH("NA",#REF!)))</formula>
    </cfRule>
    <cfRule type="containsText" dxfId="2798" priority="76475" operator="containsText" text="NA">
      <formula>NOT(ISERROR(SEARCH("NA",#REF!)))</formula>
    </cfRule>
    <cfRule type="containsText" dxfId="2797" priority="76476" operator="containsText" text="Done">
      <formula>NOT(ISERROR(SEARCH("Done",#REF!)))</formula>
    </cfRule>
    <cfRule type="containsText" dxfId="2796" priority="76477" operator="containsText" text="Pending">
      <formula>NOT(ISERROR(SEARCH("Pending",#REF!)))</formula>
    </cfRule>
    <cfRule type="containsText" dxfId="2795" priority="76478" operator="containsText" text="NA">
      <formula>NOT(ISERROR(SEARCH("NA",#REF!)))</formula>
    </cfRule>
    <cfRule type="containsText" dxfId="2794" priority="76479" operator="containsText" text="NA">
      <formula>NOT(ISERROR(SEARCH("NA",AE29)))</formula>
    </cfRule>
    <cfRule type="containsText" dxfId="2793" priority="76480" operator="containsText" text="Done">
      <formula>NOT(ISERROR(SEARCH("Done",AE29)))</formula>
    </cfRule>
    <cfRule type="containsText" dxfId="2792" priority="76481" operator="containsText" text="NA">
      <formula>NOT(ISERROR(SEARCH("NA",#REF!)))</formula>
    </cfRule>
    <cfRule type="containsText" dxfId="2791" priority="76482" operator="containsText" text="Done">
      <formula>NOT(ISERROR(SEARCH("Done",#REF!)))</formula>
    </cfRule>
    <cfRule type="containsText" dxfId="2790" priority="76483" operator="containsText" text="Pending">
      <formula>NOT(ISERROR(SEARCH("Pending",#REF!)))</formula>
    </cfRule>
    <cfRule type="containsText" dxfId="2789" priority="76484" operator="containsText" text="NA">
      <formula>NOT(ISERROR(SEARCH("NA",#REF!)))</formula>
    </cfRule>
    <cfRule type="containsText" dxfId="2788" priority="76485" operator="containsText" text="NA">
      <formula>NOT(ISERROR(SEARCH("NA",AE29)))</formula>
    </cfRule>
    <cfRule type="containsText" dxfId="2787" priority="76486" operator="containsText" text="Pending">
      <formula>NOT(ISERROR(SEARCH("Pending",AE29)))</formula>
    </cfRule>
    <cfRule type="containsText" dxfId="2786" priority="76487" operator="containsText" text="Done">
      <formula>NOT(ISERROR(SEARCH("Done",AE29)))</formula>
    </cfRule>
    <cfRule type="containsText" dxfId="2785" priority="76488" operator="containsText" text="NA">
      <formula>NOT(ISERROR(SEARCH("NA",#REF!)))</formula>
    </cfRule>
    <cfRule type="containsText" dxfId="2784" priority="76489" operator="containsText" text="Done">
      <formula>NOT(ISERROR(SEARCH("Done",#REF!)))</formula>
    </cfRule>
    <cfRule type="containsText" dxfId="2783" priority="76490" operator="containsText" text="Pending">
      <formula>NOT(ISERROR(SEARCH("Pending",#REF!)))</formula>
    </cfRule>
    <cfRule type="containsText" dxfId="2782" priority="76491" operator="containsText" text="NA">
      <formula>NOT(ISERROR(SEARCH("NA",#REF!)))</formula>
    </cfRule>
    <cfRule type="containsText" dxfId="2781" priority="76492" operator="containsText" text="NA">
      <formula>NOT(ISERROR(SEARCH("NA",#REF!)))</formula>
    </cfRule>
    <cfRule type="containsText" dxfId="2780" priority="76493" operator="containsText" text="Done">
      <formula>NOT(ISERROR(SEARCH("Done",#REF!)))</formula>
    </cfRule>
    <cfRule type="containsText" dxfId="2779" priority="76494" operator="containsText" text="Pending">
      <formula>NOT(ISERROR(SEARCH("Pending",#REF!)))</formula>
    </cfRule>
    <cfRule type="containsText" dxfId="2778" priority="76495" operator="containsText" text="NA">
      <formula>NOT(ISERROR(SEARCH("NA",#REF!)))</formula>
    </cfRule>
    <cfRule type="containsText" dxfId="2777" priority="76496" operator="containsText" text="NA">
      <formula>NOT(ISERROR(SEARCH("NA",AE29)))</formula>
    </cfRule>
    <cfRule type="containsText" dxfId="2776" priority="76497" operator="containsText" text="Pending">
      <formula>NOT(ISERROR(SEARCH("Pending",AE29)))</formula>
    </cfRule>
    <cfRule type="containsText" dxfId="2775" priority="76498" operator="containsText" text="Done">
      <formula>NOT(ISERROR(SEARCH("Done",AE29)))</formula>
    </cfRule>
    <cfRule type="containsText" dxfId="2774" priority="76499" operator="containsText" text="NA">
      <formula>NOT(ISERROR(SEARCH("NA",#REF!)))</formula>
    </cfRule>
    <cfRule type="containsText" dxfId="2773" priority="76500" operator="containsText" text="Done">
      <formula>NOT(ISERROR(SEARCH("Done",#REF!)))</formula>
    </cfRule>
    <cfRule type="containsText" dxfId="2772" priority="76501" operator="containsText" text="Pending">
      <formula>NOT(ISERROR(SEARCH("Pending",#REF!)))</formula>
    </cfRule>
    <cfRule type="containsText" dxfId="2771" priority="76502" operator="containsText" text="NA">
      <formula>NOT(ISERROR(SEARCH("NA",#REF!)))</formula>
    </cfRule>
    <cfRule type="containsText" dxfId="2770" priority="76503" operator="containsText" text="NA">
      <formula>NOT(ISERROR(SEARCH("NA",#REF!)))</formula>
    </cfRule>
    <cfRule type="containsText" dxfId="2769" priority="76504" operator="containsText" text="Done">
      <formula>NOT(ISERROR(SEARCH("Done",#REF!)))</formula>
    </cfRule>
    <cfRule type="containsText" dxfId="2768" priority="76505" operator="containsText" text="Pending">
      <formula>NOT(ISERROR(SEARCH("Pending",#REF!)))</formula>
    </cfRule>
    <cfRule type="containsText" dxfId="2767" priority="76506" operator="containsText" text="NA">
      <formula>NOT(ISERROR(SEARCH("NA",#REF!)))</formula>
    </cfRule>
    <cfRule type="containsText" dxfId="2766" priority="76507" operator="containsText" text="NA">
      <formula>NOT(ISERROR(SEARCH("NA",#REF!)))</formula>
    </cfRule>
    <cfRule type="containsText" dxfId="2765" priority="76508" operator="containsText" text="Done">
      <formula>NOT(ISERROR(SEARCH("Done",#REF!)))</formula>
    </cfRule>
    <cfRule type="containsText" dxfId="2764" priority="76509" operator="containsText" text="Pending">
      <formula>NOT(ISERROR(SEARCH("Pending",#REF!)))</formula>
    </cfRule>
    <cfRule type="containsText" dxfId="2763" priority="76510" operator="containsText" text="NA">
      <formula>NOT(ISERROR(SEARCH("NA",#REF!)))</formula>
    </cfRule>
    <cfRule type="containsText" dxfId="2762" priority="76511" operator="containsText" text="NA">
      <formula>NOT(ISERROR(SEARCH("NA",#REF!)))</formula>
    </cfRule>
    <cfRule type="containsText" dxfId="2761" priority="76512" operator="containsText" text="Done">
      <formula>NOT(ISERROR(SEARCH("Done",#REF!)))</formula>
    </cfRule>
    <cfRule type="containsText" dxfId="2760" priority="76513" operator="containsText" text="Pending">
      <formula>NOT(ISERROR(SEARCH("Pending",#REF!)))</formula>
    </cfRule>
    <cfRule type="containsText" dxfId="2759" priority="76514" operator="containsText" text="NA">
      <formula>NOT(ISERROR(SEARCH("NA",#REF!)))</formula>
    </cfRule>
    <cfRule type="containsText" dxfId="2758" priority="4426" operator="containsText" text="NA">
      <formula>NOT(ISERROR(SEARCH("NA",#REF!)))</formula>
    </cfRule>
    <cfRule type="containsText" dxfId="2757" priority="4427" operator="containsText" text="NA">
      <formula>NOT(ISERROR(SEARCH("NA",#REF!)))</formula>
    </cfRule>
    <cfRule type="containsText" dxfId="2756" priority="4437" operator="containsText" text="NA">
      <formula>NOT(ISERROR(SEARCH("NA",#REF!)))</formula>
    </cfRule>
    <cfRule type="containsText" dxfId="2755" priority="76515" operator="containsText" text="NA">
      <formula>NOT(ISERROR(SEARCH("NA",#REF!)))</formula>
    </cfRule>
    <cfRule type="containsText" dxfId="2754" priority="4428" operator="containsText" text="Done">
      <formula>NOT(ISERROR(SEARCH("Done",#REF!)))</formula>
    </cfRule>
    <cfRule type="containsText" dxfId="2753" priority="4429" operator="containsText" text="Pending">
      <formula>NOT(ISERROR(SEARCH("Pending",#REF!)))</formula>
    </cfRule>
    <cfRule type="containsText" dxfId="2752" priority="4430" operator="containsText" text="NA">
      <formula>NOT(ISERROR(SEARCH("NA",#REF!)))</formula>
    </cfRule>
    <cfRule type="containsText" dxfId="2751" priority="4431" operator="containsText" text="Done">
      <formula>NOT(ISERROR(SEARCH("Done",#REF!)))</formula>
    </cfRule>
    <cfRule type="containsText" dxfId="2750" priority="4432" operator="containsText" text="Pending">
      <formula>NOT(ISERROR(SEARCH("Pending",#REF!)))</formula>
    </cfRule>
    <cfRule type="containsText" dxfId="2749" priority="4433" operator="containsText" text="NA">
      <formula>NOT(ISERROR(SEARCH("NA",#REF!)))</formula>
    </cfRule>
    <cfRule type="containsText" dxfId="2748" priority="4434" operator="containsText" text="NA">
      <formula>NOT(ISERROR(SEARCH("NA",#REF!)))</formula>
    </cfRule>
    <cfRule type="containsText" dxfId="2747" priority="4435" operator="containsText" text="Done">
      <formula>NOT(ISERROR(SEARCH("Done",#REF!)))</formula>
    </cfRule>
    <cfRule type="containsText" dxfId="2746" priority="4436" operator="containsText" text="Pending">
      <formula>NOT(ISERROR(SEARCH("Pending",#REF!)))</formula>
    </cfRule>
    <cfRule type="containsText" dxfId="2745" priority="4438" operator="containsText" text="Done">
      <formula>NOT(ISERROR(SEARCH("Done",#REF!)))</formula>
    </cfRule>
    <cfRule type="containsText" dxfId="2744" priority="4439" operator="containsText" text="NA">
      <formula>NOT(ISERROR(SEARCH("NA",AE29)))</formula>
    </cfRule>
    <cfRule type="containsText" dxfId="2743" priority="4440" operator="containsText" text="Pending">
      <formula>NOT(ISERROR(SEARCH("Pending",AE29)))</formula>
    </cfRule>
    <cfRule type="containsText" dxfId="2742" priority="4441" operator="containsText" text="Done">
      <formula>NOT(ISERROR(SEARCH("Done",AE29)))</formula>
    </cfRule>
    <cfRule type="containsText" dxfId="2741" priority="4442" operator="containsText" text="NA">
      <formula>NOT(ISERROR(SEARCH("NA",#REF!)))</formula>
    </cfRule>
    <cfRule type="containsText" dxfId="2740" priority="4443" operator="containsText" text="Done">
      <formula>NOT(ISERROR(SEARCH("Done",#REF!)))</formula>
    </cfRule>
    <cfRule type="containsText" dxfId="2739" priority="4444" operator="containsText" text="Pending">
      <formula>NOT(ISERROR(SEARCH("Pending",#REF!)))</formula>
    </cfRule>
    <cfRule type="containsText" dxfId="2738" priority="4445" operator="containsText" text="NA">
      <formula>NOT(ISERROR(SEARCH("NA",#REF!)))</formula>
    </cfRule>
    <cfRule type="containsText" dxfId="2737" priority="4446" operator="containsText" text="Pending">
      <formula>NOT(ISERROR(SEARCH("Pending",#REF!)))</formula>
    </cfRule>
    <cfRule type="containsText" dxfId="2736" priority="4447" operator="containsText" text="NA">
      <formula>NOT(ISERROR(SEARCH("NA",#REF!)))</formula>
    </cfRule>
    <cfRule type="containsText" dxfId="2735" priority="4448" operator="containsText" text="NA">
      <formula>NOT(ISERROR(SEARCH("NA",#REF!)))</formula>
    </cfRule>
    <cfRule type="containsText" dxfId="2734" priority="4449" operator="containsText" text="Done">
      <formula>NOT(ISERROR(SEARCH("Done",#REF!)))</formula>
    </cfRule>
    <cfRule type="containsText" dxfId="2733" priority="4450" operator="containsText" text="Pending">
      <formula>NOT(ISERROR(SEARCH("Pending",#REF!)))</formula>
    </cfRule>
    <cfRule type="containsText" dxfId="2732" priority="4451" operator="containsText" text="NA">
      <formula>NOT(ISERROR(SEARCH("NA",#REF!)))</formula>
    </cfRule>
    <cfRule type="containsText" dxfId="2731" priority="4452" operator="containsText" text="NA">
      <formula>NOT(ISERROR(SEARCH("NA",#REF!)))</formula>
    </cfRule>
    <cfRule type="containsText" dxfId="2730" priority="4453" operator="containsText" text="Done">
      <formula>NOT(ISERROR(SEARCH("Done",#REF!)))</formula>
    </cfRule>
    <cfRule type="containsText" dxfId="2729" priority="4454" operator="containsText" text="Pending">
      <formula>NOT(ISERROR(SEARCH("Pending",#REF!)))</formula>
    </cfRule>
    <cfRule type="containsText" dxfId="2728" priority="4455" operator="containsText" text="NA">
      <formula>NOT(ISERROR(SEARCH("NA",#REF!)))</formula>
    </cfRule>
    <cfRule type="containsText" dxfId="2727" priority="4456" operator="containsText" text="Done">
      <formula>NOT(ISERROR(SEARCH("Done",#REF!)))</formula>
    </cfRule>
    <cfRule type="containsText" dxfId="2726" priority="4457" operator="containsText" text="Pending">
      <formula>NOT(ISERROR(SEARCH("Pending",#REF!)))</formula>
    </cfRule>
    <cfRule type="containsText" dxfId="2725" priority="4458" operator="containsText" text="NA">
      <formula>NOT(ISERROR(SEARCH("NA",#REF!)))</formula>
    </cfRule>
    <cfRule type="containsText" dxfId="2724" priority="4459" operator="containsText" text="NA">
      <formula>NOT(ISERROR(SEARCH("NA",#REF!)))</formula>
    </cfRule>
    <cfRule type="containsText" dxfId="2723" priority="4460" operator="containsText" text="Done">
      <formula>NOT(ISERROR(SEARCH("Done",#REF!)))</formula>
    </cfRule>
    <cfRule type="containsText" dxfId="2722" priority="4461" operator="containsText" text="Pending">
      <formula>NOT(ISERROR(SEARCH("Pending",#REF!)))</formula>
    </cfRule>
    <cfRule type="containsText" dxfId="2721" priority="4462" operator="containsText" text="NA">
      <formula>NOT(ISERROR(SEARCH("NA",#REF!)))</formula>
    </cfRule>
    <cfRule type="containsText" dxfId="2720" priority="4361" operator="containsText" text="NA">
      <formula>NOT(ISERROR(SEARCH("NA",#REF!)))</formula>
    </cfRule>
    <cfRule type="containsText" dxfId="2719" priority="4362" operator="containsText" text="Done">
      <formula>NOT(ISERROR(SEARCH("Done",#REF!)))</formula>
    </cfRule>
    <cfRule type="containsText" dxfId="2718" priority="4363" operator="containsText" text="Pending">
      <formula>NOT(ISERROR(SEARCH("Pending",#REF!)))</formula>
    </cfRule>
    <cfRule type="containsText" dxfId="2717" priority="4364" operator="containsText" text="NA">
      <formula>NOT(ISERROR(SEARCH("NA",#REF!)))</formula>
    </cfRule>
    <cfRule type="containsText" dxfId="2716" priority="4365" operator="containsText" text="NA">
      <formula>NOT(ISERROR(SEARCH("NA",#REF!)))</formula>
    </cfRule>
    <cfRule type="containsText" dxfId="2715" priority="4366" operator="containsText" text="Done">
      <formula>NOT(ISERROR(SEARCH("Done",#REF!)))</formula>
    </cfRule>
    <cfRule type="containsText" dxfId="2714" priority="4367" operator="containsText" text="Pending">
      <formula>NOT(ISERROR(SEARCH("Pending",#REF!)))</formula>
    </cfRule>
    <cfRule type="containsText" dxfId="2713" priority="4368" operator="containsText" text="NA">
      <formula>NOT(ISERROR(SEARCH("NA",#REF!)))</formula>
    </cfRule>
    <cfRule type="containsText" dxfId="2712" priority="4369" operator="containsText" text="NA">
      <formula>NOT(ISERROR(SEARCH("NA",#REF!)))</formula>
    </cfRule>
    <cfRule type="containsText" dxfId="2711" priority="4370" operator="containsText" text="Done">
      <formula>NOT(ISERROR(SEARCH("Done",#REF!)))</formula>
    </cfRule>
    <cfRule type="containsText" dxfId="2710" priority="4371" operator="containsText" text="Pending">
      <formula>NOT(ISERROR(SEARCH("Pending",#REF!)))</formula>
    </cfRule>
    <cfRule type="containsText" dxfId="2709" priority="4372" operator="containsText" text="NA">
      <formula>NOT(ISERROR(SEARCH("NA",#REF!)))</formula>
    </cfRule>
    <cfRule type="containsText" dxfId="2708" priority="4373" operator="containsText" text="NA">
      <formula>NOT(ISERROR(SEARCH("NA",#REF!)))</formula>
    </cfRule>
    <cfRule type="containsText" dxfId="2707" priority="4374" operator="containsText" text="Done">
      <formula>NOT(ISERROR(SEARCH("Done",#REF!)))</formula>
    </cfRule>
    <cfRule type="containsText" dxfId="2706" priority="4375" operator="containsText" text="Pending">
      <formula>NOT(ISERROR(SEARCH("Pending",#REF!)))</formula>
    </cfRule>
    <cfRule type="containsText" dxfId="2705" priority="4376" operator="containsText" text="NA">
      <formula>NOT(ISERROR(SEARCH("NA",#REF!)))</formula>
    </cfRule>
    <cfRule type="containsText" dxfId="2704" priority="4377" operator="containsText" text="Done">
      <formula>NOT(ISERROR(SEARCH("Done",#REF!)))</formula>
    </cfRule>
    <cfRule type="containsText" dxfId="2703" priority="4378" operator="containsText" text="Pending">
      <formula>NOT(ISERROR(SEARCH("Pending",#REF!)))</formula>
    </cfRule>
    <cfRule type="containsText" dxfId="2702" priority="4379" operator="containsText" text="NA">
      <formula>NOT(ISERROR(SEARCH("NA",#REF!)))</formula>
    </cfRule>
    <cfRule type="containsText" dxfId="2701" priority="4380" operator="containsText" text="NA">
      <formula>NOT(ISERROR(SEARCH("NA",#REF!)))</formula>
    </cfRule>
    <cfRule type="containsText" dxfId="2700" priority="4381" operator="containsText" text="Done">
      <formula>NOT(ISERROR(SEARCH("Done",#REF!)))</formula>
    </cfRule>
    <cfRule type="containsText" dxfId="2699" priority="4382" operator="containsText" text="Pending">
      <formula>NOT(ISERROR(SEARCH("Pending",#REF!)))</formula>
    </cfRule>
    <cfRule type="containsText" dxfId="2698" priority="4383" operator="containsText" text="NA">
      <formula>NOT(ISERROR(SEARCH("NA",#REF!)))</formula>
    </cfRule>
    <cfRule type="containsText" dxfId="2697" priority="4384" operator="containsText" text="NA">
      <formula>NOT(ISERROR(SEARCH("NA",#REF!)))</formula>
    </cfRule>
    <cfRule type="containsText" dxfId="2696" priority="4385" operator="containsText" text="Done">
      <formula>NOT(ISERROR(SEARCH("Done",#REF!)))</formula>
    </cfRule>
    <cfRule type="containsText" dxfId="2695" priority="4386" operator="containsText" text="Pending">
      <formula>NOT(ISERROR(SEARCH("Pending",#REF!)))</formula>
    </cfRule>
    <cfRule type="containsText" dxfId="2694" priority="4387" operator="containsText" text="NA">
      <formula>NOT(ISERROR(SEARCH("NA",#REF!)))</formula>
    </cfRule>
    <cfRule type="containsText" dxfId="2693" priority="4388" operator="containsText" text="Done">
      <formula>NOT(ISERROR(SEARCH("Done",#REF!)))</formula>
    </cfRule>
    <cfRule type="containsText" dxfId="2692" priority="4389" operator="containsText" text="Pending">
      <formula>NOT(ISERROR(SEARCH("Pending",#REF!)))</formula>
    </cfRule>
    <cfRule type="containsText" dxfId="2691" priority="4390" operator="containsText" text="NA">
      <formula>NOT(ISERROR(SEARCH("NA",#REF!)))</formula>
    </cfRule>
    <cfRule type="containsText" dxfId="2690" priority="4391" operator="containsText" text="NA">
      <formula>NOT(ISERROR(SEARCH("NA",#REF!)))</formula>
    </cfRule>
    <cfRule type="containsText" dxfId="2689" priority="4392" operator="containsText" text="Done">
      <formula>NOT(ISERROR(SEARCH("Done",#REF!)))</formula>
    </cfRule>
    <cfRule type="containsText" dxfId="2688" priority="4393" operator="containsText" text="Pending">
      <formula>NOT(ISERROR(SEARCH("Pending",#REF!)))</formula>
    </cfRule>
    <cfRule type="containsText" dxfId="2687" priority="4394" operator="containsText" text="NA">
      <formula>NOT(ISERROR(SEARCH("NA",#REF!)))</formula>
    </cfRule>
    <cfRule type="containsText" dxfId="2686" priority="4395" operator="containsText" text="NA">
      <formula>NOT(ISERROR(SEARCH("NA",#REF!)))</formula>
    </cfRule>
    <cfRule type="containsText" dxfId="2685" priority="4396" operator="containsText" text="Done">
      <formula>NOT(ISERROR(SEARCH("Done",#REF!)))</formula>
    </cfRule>
    <cfRule type="containsText" dxfId="2684" priority="4397" operator="containsText" text="Pending">
      <formula>NOT(ISERROR(SEARCH("Pending",#REF!)))</formula>
    </cfRule>
    <cfRule type="containsText" dxfId="2683" priority="4398" operator="containsText" text="NA">
      <formula>NOT(ISERROR(SEARCH("NA",#REF!)))</formula>
    </cfRule>
    <cfRule type="containsText" dxfId="2682" priority="4399" operator="containsText" text="Done">
      <formula>NOT(ISERROR(SEARCH("Done",#REF!)))</formula>
    </cfRule>
    <cfRule type="containsText" dxfId="2681" priority="4400" operator="containsText" text="Pending">
      <formula>NOT(ISERROR(SEARCH("Pending",#REF!)))</formula>
    </cfRule>
    <cfRule type="containsText" dxfId="2680" priority="4401" operator="containsText" text="NA">
      <formula>NOT(ISERROR(SEARCH("NA",#REF!)))</formula>
    </cfRule>
    <cfRule type="containsText" dxfId="2679" priority="4402" operator="containsText" text="NA">
      <formula>NOT(ISERROR(SEARCH("NA",#REF!)))</formula>
    </cfRule>
    <cfRule type="containsText" dxfId="2678" priority="4403" operator="containsText" text="NA">
      <formula>NOT(ISERROR(SEARCH("NA",AE29)))</formula>
    </cfRule>
    <cfRule type="containsText" dxfId="2677" priority="4404" operator="containsText" text="Done">
      <formula>NOT(ISERROR(SEARCH("Done",AE29)))</formula>
    </cfRule>
    <cfRule type="containsText" dxfId="2676" priority="4405" operator="containsText" text="NA">
      <formula>NOT(ISERROR(SEARCH("NA",#REF!)))</formula>
    </cfRule>
    <cfRule type="containsText" dxfId="2675" priority="4406" operator="containsText" text="Done">
      <formula>NOT(ISERROR(SEARCH("Done",#REF!)))</formula>
    </cfRule>
    <cfRule type="containsText" dxfId="2674" priority="4407" operator="containsText" text="Pending">
      <formula>NOT(ISERROR(SEARCH("Pending",#REF!)))</formula>
    </cfRule>
    <cfRule type="containsText" dxfId="2673" priority="4408" operator="containsText" text="NA">
      <formula>NOT(ISERROR(SEARCH("NA",#REF!)))</formula>
    </cfRule>
    <cfRule type="containsText" dxfId="2672" priority="4409" operator="containsText" text="Done">
      <formula>NOT(ISERROR(SEARCH("Done",#REF!)))</formula>
    </cfRule>
    <cfRule type="containsText" dxfId="2671" priority="4410" operator="containsText" text="Pending">
      <formula>NOT(ISERROR(SEARCH("Pending",#REF!)))</formula>
    </cfRule>
    <cfRule type="containsText" dxfId="2670" priority="4411" operator="containsText" text="NA">
      <formula>NOT(ISERROR(SEARCH("NA",#REF!)))</formula>
    </cfRule>
    <cfRule type="containsText" dxfId="2669" priority="4412" operator="containsText" text="NA">
      <formula>NOT(ISERROR(SEARCH("NA",#REF!)))</formula>
    </cfRule>
    <cfRule type="containsText" dxfId="2668" priority="4413" operator="containsText" text="Done">
      <formula>NOT(ISERROR(SEARCH("Done",#REF!)))</formula>
    </cfRule>
    <cfRule type="containsText" dxfId="2667" priority="4414" operator="containsText" text="Pending">
      <formula>NOT(ISERROR(SEARCH("Pending",#REF!)))</formula>
    </cfRule>
    <cfRule type="containsText" dxfId="2666" priority="4415" operator="containsText" text="NA">
      <formula>NOT(ISERROR(SEARCH("NA",#REF!)))</formula>
    </cfRule>
    <cfRule type="containsText" dxfId="2665" priority="4416" operator="containsText" text="NA">
      <formula>NOT(ISERROR(SEARCH("NA",#REF!)))</formula>
    </cfRule>
    <cfRule type="containsText" dxfId="2664" priority="4417" operator="containsText" text="Done">
      <formula>NOT(ISERROR(SEARCH("Done",#REF!)))</formula>
    </cfRule>
    <cfRule type="containsText" dxfId="2663" priority="4418" operator="containsText" text="Pending">
      <formula>NOT(ISERROR(SEARCH("Pending",#REF!)))</formula>
    </cfRule>
    <cfRule type="containsText" dxfId="2662" priority="4419" operator="containsText" text="NA">
      <formula>NOT(ISERROR(SEARCH("NA",#REF!)))</formula>
    </cfRule>
    <cfRule type="containsText" dxfId="2661" priority="4420" operator="containsText" text="NA">
      <formula>NOT(ISERROR(SEARCH("NA",#REF!)))</formula>
    </cfRule>
    <cfRule type="containsText" dxfId="2660" priority="4421" operator="containsText" text="Done">
      <formula>NOT(ISERROR(SEARCH("Done",#REF!)))</formula>
    </cfRule>
    <cfRule type="containsText" dxfId="2659" priority="4422" operator="containsText" text="Pending">
      <formula>NOT(ISERROR(SEARCH("Pending",#REF!)))</formula>
    </cfRule>
    <cfRule type="containsText" dxfId="2658" priority="4423" operator="containsText" text="NA">
      <formula>NOT(ISERROR(SEARCH("NA",#REF!)))</formula>
    </cfRule>
    <cfRule type="containsText" dxfId="2657" priority="4424" operator="containsText" text="Done">
      <formula>NOT(ISERROR(SEARCH("Done",#REF!)))</formula>
    </cfRule>
    <cfRule type="containsText" dxfId="2656" priority="4425" operator="containsText" text="Pending">
      <formula>NOT(ISERROR(SEARCH("Pending",#REF!)))</formula>
    </cfRule>
    <cfRule type="containsText" dxfId="2655" priority="76636" operator="containsText" text="NA">
      <formula>NOT(ISERROR(SEARCH("NA",#REF!)))</formula>
    </cfRule>
    <cfRule type="containsText" dxfId="2654" priority="76635" operator="containsText" text="Pending">
      <formula>NOT(ISERROR(SEARCH("Pending",#REF!)))</formula>
    </cfRule>
    <cfRule type="containsText" dxfId="2653" priority="76634" operator="containsText" text="Done">
      <formula>NOT(ISERROR(SEARCH("Done",#REF!)))</formula>
    </cfRule>
    <cfRule type="containsText" dxfId="2652" priority="76633" operator="containsText" text="NA">
      <formula>NOT(ISERROR(SEARCH("NA",#REF!)))</formula>
    </cfRule>
    <cfRule type="containsText" dxfId="2651" priority="76632" operator="containsText" text="NA">
      <formula>NOT(ISERROR(SEARCH("NA",#REF!)))</formula>
    </cfRule>
    <cfRule type="containsText" dxfId="2650" priority="76631" operator="containsText" text="Pending">
      <formula>NOT(ISERROR(SEARCH("Pending",#REF!)))</formula>
    </cfRule>
    <cfRule type="containsText" dxfId="2649" priority="76630" operator="containsText" text="Done">
      <formula>NOT(ISERROR(SEARCH("Done",#REF!)))</formula>
    </cfRule>
    <cfRule type="containsText" dxfId="2648" priority="76629" operator="containsText" text="NA">
      <formula>NOT(ISERROR(SEARCH("NA",#REF!)))</formula>
    </cfRule>
    <cfRule type="containsText" dxfId="2647" priority="76628" operator="containsText" text="Done">
      <formula>NOT(ISERROR(SEARCH("Done",AE29)))</formula>
    </cfRule>
    <cfRule type="containsText" dxfId="2646" priority="76627" operator="containsText" text="Pending">
      <formula>NOT(ISERROR(SEARCH("Pending",AE29)))</formula>
    </cfRule>
    <cfRule type="containsText" dxfId="2645" priority="76626" operator="containsText" text="NA">
      <formula>NOT(ISERROR(SEARCH("NA",AE29)))</formula>
    </cfRule>
    <cfRule type="containsText" dxfId="2644" priority="76625" operator="containsText" text="NA">
      <formula>NOT(ISERROR(SEARCH("NA",#REF!)))</formula>
    </cfRule>
    <cfRule type="containsText" dxfId="2643" priority="76624" operator="containsText" text="Pending">
      <formula>NOT(ISERROR(SEARCH("Pending",#REF!)))</formula>
    </cfRule>
    <cfRule type="containsText" dxfId="2642" priority="76623" operator="containsText" text="Done">
      <formula>NOT(ISERROR(SEARCH("Done",#REF!)))</formula>
    </cfRule>
    <cfRule type="containsText" dxfId="2641" priority="76622" operator="containsText" text="NA">
      <formula>NOT(ISERROR(SEARCH("NA",#REF!)))</formula>
    </cfRule>
    <cfRule type="containsText" dxfId="2640" priority="76621" operator="containsText" text="Done">
      <formula>NOT(ISERROR(SEARCH("Done",AE29)))</formula>
    </cfRule>
    <cfRule type="containsText" dxfId="2639" priority="76620" operator="containsText" text="NA">
      <formula>NOT(ISERROR(SEARCH("NA",AE29)))</formula>
    </cfRule>
    <cfRule type="containsText" dxfId="2638" priority="76619" operator="containsText" text="NA">
      <formula>NOT(ISERROR(SEARCH("NA",#REF!)))</formula>
    </cfRule>
    <cfRule type="containsText" dxfId="2637" priority="76618" operator="containsText" text="Pending">
      <formula>NOT(ISERROR(SEARCH("Pending",#REF!)))</formula>
    </cfRule>
    <cfRule type="containsText" dxfId="2636" priority="76617" operator="containsText" text="Done">
      <formula>NOT(ISERROR(SEARCH("Done",#REF!)))</formula>
    </cfRule>
    <cfRule type="containsText" dxfId="2635" priority="76616" operator="containsText" text="NA">
      <formula>NOT(ISERROR(SEARCH("NA",#REF!)))</formula>
    </cfRule>
    <cfRule type="containsText" dxfId="2634" priority="76615" operator="containsText" text="NA">
      <formula>NOT(ISERROR(SEARCH("NA",#REF!)))</formula>
    </cfRule>
    <cfRule type="containsText" dxfId="2633" priority="76614" operator="containsText" text="Pending">
      <formula>NOT(ISERROR(SEARCH("Pending",#REF!)))</formula>
    </cfRule>
    <cfRule type="containsText" dxfId="2632" priority="76613" operator="containsText" text="Done">
      <formula>NOT(ISERROR(SEARCH("Done",#REF!)))</formula>
    </cfRule>
    <cfRule type="containsText" dxfId="2631" priority="76612" operator="containsText" text="NA">
      <formula>NOT(ISERROR(SEARCH("NA",#REF!)))</formula>
    </cfRule>
    <cfRule type="containsText" dxfId="2630" priority="76611" operator="containsText" text="Done">
      <formula>NOT(ISERROR(SEARCH("Done",AE29)))</formula>
    </cfRule>
    <cfRule type="containsText" dxfId="2629" priority="76610" operator="containsText" text="Pending">
      <formula>NOT(ISERROR(SEARCH("Pending",AE29)))</formula>
    </cfRule>
    <cfRule type="containsText" dxfId="2628" priority="76609" operator="containsText" text="NA">
      <formula>NOT(ISERROR(SEARCH("NA",AE29)))</formula>
    </cfRule>
    <cfRule type="containsText" dxfId="2627" priority="76608" operator="containsText" text="NA">
      <formula>NOT(ISERROR(SEARCH("NA",#REF!)))</formula>
    </cfRule>
    <cfRule type="containsText" dxfId="2626" priority="76607" operator="containsText" text="Pending">
      <formula>NOT(ISERROR(SEARCH("Pending",#REF!)))</formula>
    </cfRule>
    <cfRule type="containsText" dxfId="2625" priority="76606" operator="containsText" text="Done">
      <formula>NOT(ISERROR(SEARCH("Done",#REF!)))</formula>
    </cfRule>
    <cfRule type="containsText" dxfId="2624" priority="76605" operator="containsText" text="NA">
      <formula>NOT(ISERROR(SEARCH("NA",#REF!)))</formula>
    </cfRule>
    <cfRule type="containsText" dxfId="2623" priority="76604" operator="containsText" text="Done">
      <formula>NOT(ISERROR(SEARCH("Done",AE29)))</formula>
    </cfRule>
    <cfRule type="containsText" dxfId="2622" priority="76603" operator="containsText" text="NA">
      <formula>NOT(ISERROR(SEARCH("NA",AE29)))</formula>
    </cfRule>
    <cfRule type="containsText" dxfId="2621" priority="76602" operator="containsText" text="NA">
      <formula>NOT(ISERROR(SEARCH("NA",#REF!)))</formula>
    </cfRule>
    <cfRule type="containsText" dxfId="2620" priority="76601" operator="containsText" text="Pending">
      <formula>NOT(ISERROR(SEARCH("Pending",#REF!)))</formula>
    </cfRule>
    <cfRule type="containsText" dxfId="2619" priority="76600" operator="containsText" text="Done">
      <formula>NOT(ISERROR(SEARCH("Done",#REF!)))</formula>
    </cfRule>
    <cfRule type="containsText" dxfId="2618" priority="76599" operator="containsText" text="NA">
      <formula>NOT(ISERROR(SEARCH("NA",#REF!)))</formula>
    </cfRule>
    <cfRule type="containsText" dxfId="2617" priority="76598" operator="containsText" text="NA">
      <formula>NOT(ISERROR(SEARCH("NA",#REF!)))</formula>
    </cfRule>
    <cfRule type="containsText" dxfId="2616" priority="76597" operator="containsText" text="Pending">
      <formula>NOT(ISERROR(SEARCH("Pending",#REF!)))</formula>
    </cfRule>
    <cfRule type="containsText" dxfId="2615" priority="76596" operator="containsText" text="Done">
      <formula>NOT(ISERROR(SEARCH("Done",#REF!)))</formula>
    </cfRule>
    <cfRule type="containsText" dxfId="2614" priority="76595" operator="containsText" text="NA">
      <formula>NOT(ISERROR(SEARCH("NA",#REF!)))</formula>
    </cfRule>
    <cfRule type="containsText" dxfId="2613" priority="76594" operator="containsText" text="Pending">
      <formula>NOT(ISERROR(SEARCH("Pending",#REF!)))</formula>
    </cfRule>
    <cfRule type="containsText" dxfId="2612" priority="76593" operator="containsText" text="Done">
      <formula>NOT(ISERROR(SEARCH("Done",#REF!)))</formula>
    </cfRule>
    <cfRule type="containsText" dxfId="2611" priority="76592" operator="containsText" text="NA">
      <formula>NOT(ISERROR(SEARCH("NA",#REF!)))</formula>
    </cfRule>
    <cfRule type="containsText" dxfId="2610" priority="76591" operator="containsText" text="NA">
      <formula>NOT(ISERROR(SEARCH("NA",#REF!)))</formula>
    </cfRule>
    <cfRule type="containsText" dxfId="2609" priority="76590" operator="containsText" text="Pending">
      <formula>NOT(ISERROR(SEARCH("Pending",#REF!)))</formula>
    </cfRule>
    <cfRule type="containsText" dxfId="2608" priority="76589" operator="containsText" text="Done">
      <formula>NOT(ISERROR(SEARCH("Done",#REF!)))</formula>
    </cfRule>
    <cfRule type="containsText" dxfId="2607" priority="76588" operator="containsText" text="NA">
      <formula>NOT(ISERROR(SEARCH("NA",#REF!)))</formula>
    </cfRule>
    <cfRule type="containsText" dxfId="2606" priority="76587" operator="containsText" text="NA">
      <formula>NOT(ISERROR(SEARCH("NA",#REF!)))</formula>
    </cfRule>
    <cfRule type="containsText" dxfId="2605" priority="76586" operator="containsText" text="Pending">
      <formula>NOT(ISERROR(SEARCH("Pending",#REF!)))</formula>
    </cfRule>
    <cfRule type="containsText" dxfId="2604" priority="76585" operator="containsText" text="Done">
      <formula>NOT(ISERROR(SEARCH("Done",#REF!)))</formula>
    </cfRule>
    <cfRule type="containsText" dxfId="2603" priority="76584" operator="containsText" text="NA">
      <formula>NOT(ISERROR(SEARCH("NA",#REF!)))</formula>
    </cfRule>
    <cfRule type="containsText" dxfId="2602" priority="76583" operator="containsText" text="Done">
      <formula>NOT(ISERROR(SEARCH("Done",AE29)))</formula>
    </cfRule>
    <cfRule type="containsText" dxfId="2601" priority="76582" operator="containsText" text="Pending">
      <formula>NOT(ISERROR(SEARCH("Pending",AE29)))</formula>
    </cfRule>
    <cfRule type="containsText" dxfId="2600" priority="76581" operator="containsText" text="NA">
      <formula>NOT(ISERROR(SEARCH("NA",AE29)))</formula>
    </cfRule>
    <cfRule type="containsText" dxfId="2599" priority="76580" operator="containsText" text="NA">
      <formula>NOT(ISERROR(SEARCH("NA",#REF!)))</formula>
    </cfRule>
    <cfRule type="containsText" dxfId="2598" priority="76579" operator="containsText" text="Pending">
      <formula>NOT(ISERROR(SEARCH("Pending",#REF!)))</formula>
    </cfRule>
    <cfRule type="containsText" dxfId="2597" priority="76578" operator="containsText" text="Done">
      <formula>NOT(ISERROR(SEARCH("Done",#REF!)))</formula>
    </cfRule>
    <cfRule type="containsText" dxfId="2596" priority="76577" operator="containsText" text="NA">
      <formula>NOT(ISERROR(SEARCH("NA",#REF!)))</formula>
    </cfRule>
    <cfRule type="containsText" dxfId="2595" priority="76576" operator="containsText" text="Done">
      <formula>NOT(ISERROR(SEARCH("Done",AE29)))</formula>
    </cfRule>
    <cfRule type="containsText" dxfId="2594" priority="76575" operator="containsText" text="NA">
      <formula>NOT(ISERROR(SEARCH("NA",AE29)))</formula>
    </cfRule>
    <cfRule type="containsText" dxfId="2593" priority="76574" operator="containsText" text="NA">
      <formula>NOT(ISERROR(SEARCH("NA",#REF!)))</formula>
    </cfRule>
    <cfRule type="containsText" dxfId="2592" priority="76573" operator="containsText" text="Pending">
      <formula>NOT(ISERROR(SEARCH("Pending",#REF!)))</formula>
    </cfRule>
    <cfRule type="containsText" dxfId="2591" priority="76572" operator="containsText" text="Done">
      <formula>NOT(ISERROR(SEARCH("Done",#REF!)))</formula>
    </cfRule>
    <cfRule type="containsText" dxfId="2590" priority="76571" operator="containsText" text="NA">
      <formula>NOT(ISERROR(SEARCH("NA",#REF!)))</formula>
    </cfRule>
    <cfRule type="containsText" dxfId="2589" priority="76570" operator="containsText" text="NA">
      <formula>NOT(ISERROR(SEARCH("NA",#REF!)))</formula>
    </cfRule>
    <cfRule type="containsText" dxfId="2588" priority="76569" operator="containsText" text="Pending">
      <formula>NOT(ISERROR(SEARCH("Pending",#REF!)))</formula>
    </cfRule>
    <cfRule type="containsText" dxfId="2587" priority="76568" operator="containsText" text="Done">
      <formula>NOT(ISERROR(SEARCH("Done",#REF!)))</formula>
    </cfRule>
    <cfRule type="containsText" dxfId="2586" priority="76567" operator="containsText" text="NA">
      <formula>NOT(ISERROR(SEARCH("NA",#REF!)))</formula>
    </cfRule>
    <cfRule type="containsText" dxfId="2585" priority="76566" operator="containsText" text="NA">
      <formula>NOT(ISERROR(SEARCH("NA",#REF!)))</formula>
    </cfRule>
    <cfRule type="containsText" dxfId="2584" priority="76565" operator="containsText" text="Pending">
      <formula>NOT(ISERROR(SEARCH("Pending",#REF!)))</formula>
    </cfRule>
    <cfRule type="containsText" dxfId="2583" priority="76564" operator="containsText" text="Done">
      <formula>NOT(ISERROR(SEARCH("Done",#REF!)))</formula>
    </cfRule>
    <cfRule type="containsText" dxfId="2582" priority="76563" operator="containsText" text="NA">
      <formula>NOT(ISERROR(SEARCH("NA",#REF!)))</formula>
    </cfRule>
    <cfRule type="containsText" dxfId="2581" priority="76562" operator="containsText" text="NA">
      <formula>NOT(ISERROR(SEARCH("NA",#REF!)))</formula>
    </cfRule>
    <cfRule type="containsText" dxfId="2580" priority="76561" operator="containsText" text="Pending">
      <formula>NOT(ISERROR(SEARCH("Pending",#REF!)))</formula>
    </cfRule>
    <cfRule type="containsText" dxfId="2579" priority="76560" operator="containsText" text="Done">
      <formula>NOT(ISERROR(SEARCH("Done",#REF!)))</formula>
    </cfRule>
    <cfRule type="containsText" dxfId="2578" priority="76559" operator="containsText" text="NA">
      <formula>NOT(ISERROR(SEARCH("NA",#REF!)))</formula>
    </cfRule>
    <cfRule type="containsText" dxfId="2577" priority="76558" operator="containsText" text="Done">
      <formula>NOT(ISERROR(SEARCH("Done",AE29)))</formula>
    </cfRule>
    <cfRule type="containsText" dxfId="2576" priority="76557" operator="containsText" text="Pending">
      <formula>NOT(ISERROR(SEARCH("Pending",AE29)))</formula>
    </cfRule>
    <cfRule type="containsText" dxfId="2575" priority="76556" operator="containsText" text="NA">
      <formula>NOT(ISERROR(SEARCH("NA",AE29)))</formula>
    </cfRule>
    <cfRule type="containsText" dxfId="2574" priority="76555" operator="containsText" text="NA">
      <formula>NOT(ISERROR(SEARCH("NA",#REF!)))</formula>
    </cfRule>
    <cfRule type="containsText" dxfId="2573" priority="76554" operator="containsText" text="Pending">
      <formula>NOT(ISERROR(SEARCH("Pending",#REF!)))</formula>
    </cfRule>
    <cfRule type="containsText" dxfId="2572" priority="76553" operator="containsText" text="Done">
      <formula>NOT(ISERROR(SEARCH("Done",#REF!)))</formula>
    </cfRule>
    <cfRule type="containsText" dxfId="2571" priority="76552" operator="containsText" text="NA">
      <formula>NOT(ISERROR(SEARCH("NA",#REF!)))</formula>
    </cfRule>
    <cfRule type="containsText" dxfId="2570" priority="76551" operator="containsText" text="Done">
      <formula>NOT(ISERROR(SEARCH("Done",AE29)))</formula>
    </cfRule>
    <cfRule type="containsText" dxfId="2569" priority="76550" operator="containsText" text="Pending">
      <formula>NOT(ISERROR(SEARCH("Pending",AE29)))</formula>
    </cfRule>
    <cfRule type="containsText" dxfId="2568" priority="76549" operator="containsText" text="NA">
      <formula>NOT(ISERROR(SEARCH("NA",AE29)))</formula>
    </cfRule>
    <cfRule type="containsText" dxfId="2567" priority="76548" operator="containsText" text="NA">
      <formula>NOT(ISERROR(SEARCH("NA",#REF!)))</formula>
    </cfRule>
    <cfRule type="containsText" dxfId="2566" priority="76547" operator="containsText" text="Pending">
      <formula>NOT(ISERROR(SEARCH("Pending",#REF!)))</formula>
    </cfRule>
    <cfRule type="containsText" dxfId="2565" priority="76546" operator="containsText" text="Done">
      <formula>NOT(ISERROR(SEARCH("Done",#REF!)))</formula>
    </cfRule>
    <cfRule type="containsText" dxfId="2564" priority="76545" operator="containsText" text="NA">
      <formula>NOT(ISERROR(SEARCH("NA",#REF!)))</formula>
    </cfRule>
    <cfRule type="containsText" dxfId="2563" priority="76544" operator="containsText" text="NA">
      <formula>NOT(ISERROR(SEARCH("NA",#REF!)))</formula>
    </cfRule>
    <cfRule type="containsText" dxfId="2562" priority="76543" operator="containsText" text="Pending">
      <formula>NOT(ISERROR(SEARCH("Pending",#REF!)))</formula>
    </cfRule>
    <cfRule type="containsText" dxfId="2561" priority="76542" operator="containsText" text="Done">
      <formula>NOT(ISERROR(SEARCH("Done",#REF!)))</formula>
    </cfRule>
    <cfRule type="containsText" dxfId="2560" priority="76541" operator="containsText" text="NA">
      <formula>NOT(ISERROR(SEARCH("NA",#REF!)))</formula>
    </cfRule>
    <cfRule type="containsText" dxfId="2559" priority="76540" operator="containsText" text="NA">
      <formula>NOT(ISERROR(SEARCH("NA",#REF!)))</formula>
    </cfRule>
    <cfRule type="containsText" dxfId="2558" priority="76539" operator="containsText" text="Pending">
      <formula>NOT(ISERROR(SEARCH("Pending",#REF!)))</formula>
    </cfRule>
    <cfRule type="containsText" dxfId="2557" priority="76538" operator="containsText" text="Done">
      <formula>NOT(ISERROR(SEARCH("Done",#REF!)))</formula>
    </cfRule>
    <cfRule type="containsText" dxfId="2556" priority="76537" operator="containsText" text="NA">
      <formula>NOT(ISERROR(SEARCH("NA",#REF!)))</formula>
    </cfRule>
    <cfRule type="containsText" dxfId="2555" priority="76536" operator="containsText" text="NA">
      <formula>NOT(ISERROR(SEARCH("NA",#REF!)))</formula>
    </cfRule>
    <cfRule type="containsText" dxfId="2554" priority="76535" operator="containsText" text="Pending">
      <formula>NOT(ISERROR(SEARCH("Pending",#REF!)))</formula>
    </cfRule>
    <cfRule type="containsText" dxfId="2553" priority="76534" operator="containsText" text="Done">
      <formula>NOT(ISERROR(SEARCH("Done",#REF!)))</formula>
    </cfRule>
    <cfRule type="containsText" dxfId="2552" priority="76533" operator="containsText" text="NA">
      <formula>NOT(ISERROR(SEARCH("NA",#REF!)))</formula>
    </cfRule>
    <cfRule type="containsText" dxfId="2551" priority="76532" operator="containsText" text="Done">
      <formula>NOT(ISERROR(SEARCH("Done",AE29)))</formula>
    </cfRule>
    <cfRule type="containsText" dxfId="2550" priority="76531" operator="containsText" text="Pending">
      <formula>NOT(ISERROR(SEARCH("Pending",AE29)))</formula>
    </cfRule>
    <cfRule type="containsText" dxfId="2549" priority="76530" operator="containsText" text="NA">
      <formula>NOT(ISERROR(SEARCH("NA",AE29)))</formula>
    </cfRule>
    <cfRule type="containsText" dxfId="2548" priority="76529" operator="containsText" text="NA">
      <formula>NOT(ISERROR(SEARCH("NA",#REF!)))</formula>
    </cfRule>
    <cfRule type="containsText" dxfId="2547" priority="76528" operator="containsText" text="Pending">
      <formula>NOT(ISERROR(SEARCH("Pending",#REF!)))</formula>
    </cfRule>
    <cfRule type="containsText" dxfId="2546" priority="76527" operator="containsText" text="Done">
      <formula>NOT(ISERROR(SEARCH("Done",#REF!)))</formula>
    </cfRule>
    <cfRule type="containsText" dxfId="2545" priority="76526" operator="containsText" text="NA">
      <formula>NOT(ISERROR(SEARCH("NA",#REF!)))</formula>
    </cfRule>
    <cfRule type="containsText" dxfId="2544" priority="76525" operator="containsText" text="Done">
      <formula>NOT(ISERROR(SEARCH("Done",AE29)))</formula>
    </cfRule>
    <cfRule type="containsText" dxfId="2543" priority="76524" operator="containsText" text="Pending">
      <formula>NOT(ISERROR(SEARCH("Pending",AE29)))</formula>
    </cfRule>
    <cfRule type="containsText" dxfId="2542" priority="76523" operator="containsText" text="NA">
      <formula>NOT(ISERROR(SEARCH("NA",AE29)))</formula>
    </cfRule>
    <cfRule type="containsText" dxfId="2541" priority="76522" operator="containsText" text="NA">
      <formula>NOT(ISERROR(SEARCH("NA",#REF!)))</formula>
    </cfRule>
  </conditionalFormatting>
  <conditionalFormatting sqref="AE29:AE32">
    <cfRule type="containsText" dxfId="2540" priority="124339" operator="containsText" text="NA">
      <formula>NOT(ISERROR(SEARCH("NA",#REF!)))</formula>
    </cfRule>
    <cfRule type="containsText" dxfId="2539" priority="124342" operator="containsText" text="NA">
      <formula>NOT(ISERROR(SEARCH("NA",#REF!)))</formula>
    </cfRule>
    <cfRule type="containsText" dxfId="2538" priority="124343" operator="containsText" text="NA">
      <formula>NOT(ISERROR(SEARCH("NA",#REF!)))</formula>
    </cfRule>
    <cfRule type="containsText" dxfId="2537" priority="124344" operator="containsText" text="Done">
      <formula>NOT(ISERROR(SEARCH("Done",#REF!)))</formula>
    </cfRule>
    <cfRule type="containsText" dxfId="2536" priority="124345" operator="containsText" text="Pending">
      <formula>NOT(ISERROR(SEARCH("Pending",#REF!)))</formula>
    </cfRule>
    <cfRule type="containsText" dxfId="2535" priority="124346" operator="containsText" text="NA">
      <formula>NOT(ISERROR(SEARCH("NA",#REF!)))</formula>
    </cfRule>
    <cfRule type="containsText" dxfId="2534" priority="123372" operator="containsText" text="Pending">
      <formula>NOT(ISERROR(SEARCH("Pending",#REF!)))</formula>
    </cfRule>
    <cfRule type="containsText" dxfId="2533" priority="123373" operator="containsText" text="NA">
      <formula>NOT(ISERROR(SEARCH("NA",#REF!)))</formula>
    </cfRule>
    <cfRule type="containsText" dxfId="2532" priority="123369" operator="containsText" text="Pending">
      <formula>NOT(ISERROR(SEARCH("Pending",#REF!)))</formula>
    </cfRule>
    <cfRule type="containsText" dxfId="2531" priority="123370" operator="containsText" text="NA">
      <formula>NOT(ISERROR(SEARCH("NA",#REF!)))</formula>
    </cfRule>
    <cfRule type="containsText" dxfId="2530" priority="123371" operator="containsText" text="Done">
      <formula>NOT(ISERROR(SEARCH("Done",#REF!)))</formula>
    </cfRule>
    <cfRule type="containsText" dxfId="2529" priority="124340" operator="containsText" text="Done">
      <formula>NOT(ISERROR(SEARCH("Done",#REF!)))</formula>
    </cfRule>
    <cfRule type="containsText" dxfId="2528" priority="124341" operator="containsText" text="Pending">
      <formula>NOT(ISERROR(SEARCH("Pending",#REF!)))</formula>
    </cfRule>
  </conditionalFormatting>
  <conditionalFormatting sqref="AE30">
    <cfRule type="containsText" dxfId="2527" priority="3100" operator="containsText" text="NA">
      <formula>NOT(ISERROR(SEARCH("NA",#REF!)))</formula>
    </cfRule>
    <cfRule type="containsText" dxfId="2526" priority="3101" operator="containsText" text="Done">
      <formula>NOT(ISERROR(SEARCH("Done",#REF!)))</formula>
    </cfRule>
    <cfRule type="containsText" dxfId="2525" priority="3102" operator="containsText" text="Pending">
      <formula>NOT(ISERROR(SEARCH("Pending",#REF!)))</formula>
    </cfRule>
    <cfRule type="containsText" dxfId="2524" priority="3014" operator="containsText" text="Done">
      <formula>NOT(ISERROR(SEARCH("Done",#REF!)))</formula>
    </cfRule>
    <cfRule type="containsText" dxfId="2523" priority="3015" operator="containsText" text="Pending">
      <formula>NOT(ISERROR(SEARCH("Pending",#REF!)))</formula>
    </cfRule>
    <cfRule type="containsText" dxfId="2522" priority="3016" operator="containsText" text="NA">
      <formula>NOT(ISERROR(SEARCH("NA",#REF!)))</formula>
    </cfRule>
    <cfRule type="containsText" dxfId="2521" priority="3103" operator="containsText" text="NA">
      <formula>NOT(ISERROR(SEARCH("NA",#REF!)))</formula>
    </cfRule>
    <cfRule type="containsText" dxfId="2520" priority="3074" operator="containsText" text="NA">
      <formula>NOT(ISERROR(SEARCH("NA",#REF!)))</formula>
    </cfRule>
    <cfRule type="containsText" dxfId="2519" priority="3013" operator="containsText" text="NA">
      <formula>NOT(ISERROR(SEARCH("NA",#REF!)))</formula>
    </cfRule>
    <cfRule type="containsText" dxfId="2518" priority="3017" operator="containsText" text="NA">
      <formula>NOT(ISERROR(SEARCH("NA",#REF!)))</formula>
    </cfRule>
    <cfRule type="containsText" dxfId="2517" priority="3018" operator="containsText" text="Done">
      <formula>NOT(ISERROR(SEARCH("Done",#REF!)))</formula>
    </cfRule>
    <cfRule type="containsText" dxfId="2516" priority="3019" operator="containsText" text="Pending">
      <formula>NOT(ISERROR(SEARCH("Pending",#REF!)))</formula>
    </cfRule>
    <cfRule type="containsText" dxfId="2515" priority="3020" operator="containsText" text="NA">
      <formula>NOT(ISERROR(SEARCH("NA",#REF!)))</formula>
    </cfRule>
    <cfRule type="containsText" dxfId="2514" priority="3021" operator="containsText" text="Done">
      <formula>NOT(ISERROR(SEARCH("Done",#REF!)))</formula>
    </cfRule>
    <cfRule type="containsText" dxfId="2513" priority="3022" operator="containsText" text="Pending">
      <formula>NOT(ISERROR(SEARCH("Pending",#REF!)))</formula>
    </cfRule>
    <cfRule type="containsText" dxfId="2512" priority="3023" operator="containsText" text="NA">
      <formula>NOT(ISERROR(SEARCH("NA",#REF!)))</formula>
    </cfRule>
    <cfRule type="containsText" dxfId="2511" priority="3040" operator="containsText" text="Pending">
      <formula>NOT(ISERROR(SEARCH("Pending",#REF!)))</formula>
    </cfRule>
    <cfRule type="containsText" dxfId="2510" priority="3025" operator="containsText" text="Done">
      <formula>NOT(ISERROR(SEARCH("Done",#REF!)))</formula>
    </cfRule>
    <cfRule type="containsText" dxfId="2509" priority="3026" operator="containsText" text="Pending">
      <formula>NOT(ISERROR(SEARCH("Pending",#REF!)))</formula>
    </cfRule>
    <cfRule type="containsText" dxfId="2508" priority="3027" operator="containsText" text="NA">
      <formula>NOT(ISERROR(SEARCH("NA",#REF!)))</formula>
    </cfRule>
    <cfRule type="containsText" dxfId="2507" priority="3028" operator="containsText" text="NA">
      <formula>NOT(ISERROR(SEARCH("NA",#REF!)))</formula>
    </cfRule>
    <cfRule type="containsText" dxfId="2506" priority="3029" operator="containsText" text="Done">
      <formula>NOT(ISERROR(SEARCH("Done",#REF!)))</formula>
    </cfRule>
    <cfRule type="containsText" dxfId="2505" priority="3030" operator="containsText" text="Pending">
      <formula>NOT(ISERROR(SEARCH("Pending",#REF!)))</formula>
    </cfRule>
    <cfRule type="containsText" dxfId="2504" priority="3031" operator="containsText" text="NA">
      <formula>NOT(ISERROR(SEARCH("NA",#REF!)))</formula>
    </cfRule>
    <cfRule type="containsText" dxfId="2503" priority="3032" operator="containsText" text="Done">
      <formula>NOT(ISERROR(SEARCH("Done",#REF!)))</formula>
    </cfRule>
    <cfRule type="containsText" dxfId="2502" priority="3012" operator="containsText" text="NA">
      <formula>NOT(ISERROR(SEARCH("NA",#REF!)))</formula>
    </cfRule>
    <cfRule type="containsText" dxfId="2501" priority="3033" operator="containsText" text="Pending">
      <formula>NOT(ISERROR(SEARCH("Pending",#REF!)))</formula>
    </cfRule>
    <cfRule type="containsText" dxfId="2500" priority="3034" operator="containsText" text="NA">
      <formula>NOT(ISERROR(SEARCH("NA",#REF!)))</formula>
    </cfRule>
    <cfRule type="containsText" dxfId="2499" priority="3035" operator="containsText" text="NA">
      <formula>NOT(ISERROR(SEARCH("NA",#REF!)))</formula>
    </cfRule>
    <cfRule type="containsText" dxfId="2498" priority="3036" operator="containsText" text="NA">
      <formula>NOT(ISERROR(SEARCH("NA",AE30)))</formula>
    </cfRule>
    <cfRule type="containsText" dxfId="2497" priority="3037" operator="containsText" text="Done">
      <formula>NOT(ISERROR(SEARCH("Done",AE30)))</formula>
    </cfRule>
    <cfRule type="containsText" dxfId="2496" priority="3038" operator="containsText" text="NA">
      <formula>NOT(ISERROR(SEARCH("NA",#REF!)))</formula>
    </cfRule>
    <cfRule type="containsText" dxfId="2495" priority="3039" operator="containsText" text="Done">
      <formula>NOT(ISERROR(SEARCH("Done",#REF!)))</formula>
    </cfRule>
    <cfRule type="containsText" dxfId="2494" priority="3024" operator="containsText" text="NA">
      <formula>NOT(ISERROR(SEARCH("NA",#REF!)))</formula>
    </cfRule>
    <cfRule type="containsText" dxfId="2493" priority="3011" operator="containsText" text="Pending">
      <formula>NOT(ISERROR(SEARCH("Pending",#REF!)))</formula>
    </cfRule>
    <cfRule type="containsText" dxfId="2492" priority="3010" operator="containsText" text="Done">
      <formula>NOT(ISERROR(SEARCH("Done",#REF!)))</formula>
    </cfRule>
    <cfRule type="containsText" dxfId="2491" priority="3009" operator="containsText" text="NA">
      <formula>NOT(ISERROR(SEARCH("NA",#REF!)))</formula>
    </cfRule>
    <cfRule type="containsText" dxfId="2490" priority="3008" operator="containsText" text="Pending">
      <formula>NOT(ISERROR(SEARCH("Pending",#REF!)))</formula>
    </cfRule>
    <cfRule type="containsText" dxfId="2489" priority="3041" operator="containsText" text="NA">
      <formula>NOT(ISERROR(SEARCH("NA",#REF!)))</formula>
    </cfRule>
    <cfRule type="containsText" dxfId="2488" priority="3042" operator="containsText" text="Done">
      <formula>NOT(ISERROR(SEARCH("Done",#REF!)))</formula>
    </cfRule>
    <cfRule type="containsText" dxfId="2487" priority="3043" operator="containsText" text="Pending">
      <formula>NOT(ISERROR(SEARCH("Pending",#REF!)))</formula>
    </cfRule>
    <cfRule type="containsText" dxfId="2486" priority="3044" operator="containsText" text="NA">
      <formula>NOT(ISERROR(SEARCH("NA",#REF!)))</formula>
    </cfRule>
    <cfRule type="containsText" dxfId="2485" priority="3045" operator="containsText" text="NA">
      <formula>NOT(ISERROR(SEARCH("NA",#REF!)))</formula>
    </cfRule>
    <cfRule type="containsText" dxfId="2484" priority="2995" operator="containsText" text="Done">
      <formula>NOT(ISERROR(SEARCH("Done",#REF!)))</formula>
    </cfRule>
    <cfRule type="containsText" dxfId="2483" priority="2994" operator="containsText" text="NA">
      <formula>NOT(ISERROR(SEARCH("NA",#REF!)))</formula>
    </cfRule>
    <cfRule type="containsText" dxfId="2482" priority="2993" operator="containsText" text="NA">
      <formula>NOT(ISERROR(SEARCH("NA",#REF!)))</formula>
    </cfRule>
    <cfRule type="containsText" dxfId="2481" priority="2992" operator="containsText" text="Pending">
      <formula>NOT(ISERROR(SEARCH("Pending",#REF!)))</formula>
    </cfRule>
    <cfRule type="containsText" dxfId="2480" priority="2975" operator="containsText" text="NA">
      <formula>NOT(ISERROR(SEARCH("NA",#REF!)))</formula>
    </cfRule>
    <cfRule type="containsText" dxfId="2479" priority="3046" operator="containsText" text="Done">
      <formula>NOT(ISERROR(SEARCH("Done",#REF!)))</formula>
    </cfRule>
    <cfRule type="containsText" dxfId="2478" priority="2991" operator="containsText" text="Done">
      <formula>NOT(ISERROR(SEARCH("Done",#REF!)))</formula>
    </cfRule>
    <cfRule type="containsText" dxfId="2477" priority="2990" operator="containsText" text="NA">
      <formula>NOT(ISERROR(SEARCH("NA",#REF!)))</formula>
    </cfRule>
    <cfRule type="containsText" dxfId="2476" priority="2989" operator="containsText" text="NA">
      <formula>NOT(ISERROR(SEARCH("NA",#REF!)))</formula>
    </cfRule>
    <cfRule type="containsText" dxfId="2475" priority="2988" operator="containsText" text="Pending">
      <formula>NOT(ISERROR(SEARCH("Pending",#REF!)))</formula>
    </cfRule>
    <cfRule type="containsText" dxfId="2474" priority="2986" operator="containsText" text="NA">
      <formula>NOT(ISERROR(SEARCH("NA",#REF!)))</formula>
    </cfRule>
    <cfRule type="containsText" dxfId="2473" priority="2985" operator="containsText" text="Pending">
      <formula>NOT(ISERROR(SEARCH("Pending",#REF!)))</formula>
    </cfRule>
    <cfRule type="containsText" dxfId="2472" priority="2987" operator="containsText" text="Done">
      <formula>NOT(ISERROR(SEARCH("Done",#REF!)))</formula>
    </cfRule>
    <cfRule type="containsText" dxfId="2471" priority="2984" operator="containsText" text="Done">
      <formula>NOT(ISERROR(SEARCH("Done",#REF!)))</formula>
    </cfRule>
    <cfRule type="containsText" dxfId="2470" priority="2983" operator="containsText" text="NA">
      <formula>NOT(ISERROR(SEARCH("NA",#REF!)))</formula>
    </cfRule>
    <cfRule type="containsText" dxfId="2469" priority="2982" operator="containsText" text="NA">
      <formula>NOT(ISERROR(SEARCH("NA",#REF!)))</formula>
    </cfRule>
    <cfRule type="containsText" dxfId="2468" priority="2981" operator="containsText" text="Pending">
      <formula>NOT(ISERROR(SEARCH("Pending",#REF!)))</formula>
    </cfRule>
    <cfRule type="containsText" dxfId="2467" priority="2980" operator="containsText" text="Done">
      <formula>NOT(ISERROR(SEARCH("Done",#REF!)))</formula>
    </cfRule>
    <cfRule type="containsText" dxfId="2466" priority="2979" operator="containsText" text="NA">
      <formula>NOT(ISERROR(SEARCH("NA",#REF!)))</formula>
    </cfRule>
    <cfRule type="containsText" dxfId="2465" priority="3007" operator="containsText" text="Done">
      <formula>NOT(ISERROR(SEARCH("Done",#REF!)))</formula>
    </cfRule>
    <cfRule type="containsText" dxfId="2464" priority="2978" operator="containsText" text="NA">
      <formula>NOT(ISERROR(SEARCH("NA",#REF!)))</formula>
    </cfRule>
    <cfRule type="containsText" dxfId="2463" priority="3006" operator="containsText" text="NA">
      <formula>NOT(ISERROR(SEARCH("NA",#REF!)))</formula>
    </cfRule>
    <cfRule type="containsText" dxfId="2462" priority="2977" operator="containsText" text="Pending">
      <formula>NOT(ISERROR(SEARCH("Pending",#REF!)))</formula>
    </cfRule>
    <cfRule type="containsText" dxfId="2461" priority="3005" operator="containsText" text="NA">
      <formula>NOT(ISERROR(SEARCH("NA",#REF!)))</formula>
    </cfRule>
    <cfRule type="containsText" dxfId="2460" priority="2976" operator="containsText" text="Done">
      <formula>NOT(ISERROR(SEARCH("Done",#REF!)))</formula>
    </cfRule>
    <cfRule type="containsText" dxfId="2459" priority="3004" operator="containsText" text="Pending">
      <formula>NOT(ISERROR(SEARCH("Pending",#REF!)))</formula>
    </cfRule>
    <cfRule type="containsText" dxfId="2458" priority="3003" operator="containsText" text="Done">
      <formula>NOT(ISERROR(SEARCH("Done",#REF!)))</formula>
    </cfRule>
    <cfRule type="containsText" dxfId="2457" priority="3002" operator="containsText" text="NA">
      <formula>NOT(ISERROR(SEARCH("NA",#REF!)))</formula>
    </cfRule>
    <cfRule type="containsText" dxfId="2456" priority="3001" operator="containsText" text="NA">
      <formula>NOT(ISERROR(SEARCH("NA",#REF!)))</formula>
    </cfRule>
    <cfRule type="containsText" dxfId="2455" priority="3000" operator="containsText" text="Pending">
      <formula>NOT(ISERROR(SEARCH("Pending",#REF!)))</formula>
    </cfRule>
    <cfRule type="containsText" dxfId="2454" priority="2999" operator="containsText" text="Done">
      <formula>NOT(ISERROR(SEARCH("Done",#REF!)))</formula>
    </cfRule>
    <cfRule type="containsText" dxfId="2453" priority="2998" operator="containsText" text="NA">
      <formula>NOT(ISERROR(SEARCH("NA",#REF!)))</formula>
    </cfRule>
    <cfRule type="containsText" dxfId="2452" priority="2997" operator="containsText" text="NA">
      <formula>NOT(ISERROR(SEARCH("NA",#REF!)))</formula>
    </cfRule>
    <cfRule type="containsText" dxfId="2451" priority="2996" operator="containsText" text="Pending">
      <formula>NOT(ISERROR(SEARCH("Pending",#REF!)))</formula>
    </cfRule>
    <cfRule type="containsText" dxfId="2450" priority="3099" operator="containsText" text="NA">
      <formula>NOT(ISERROR(SEARCH("NA",#REF!)))</formula>
    </cfRule>
    <cfRule type="containsText" dxfId="2449" priority="3098" operator="containsText" text="Pending">
      <formula>NOT(ISERROR(SEARCH("Pending",#REF!)))</formula>
    </cfRule>
    <cfRule type="containsText" dxfId="2448" priority="3097" operator="containsText" text="NA">
      <formula>NOT(ISERROR(SEARCH("NA",#REF!)))</formula>
    </cfRule>
    <cfRule type="containsText" dxfId="2447" priority="3096" operator="containsText" text="Pending">
      <formula>NOT(ISERROR(SEARCH("Pending",#REF!)))</formula>
    </cfRule>
    <cfRule type="containsText" dxfId="2446" priority="3095" operator="containsText" text="Done">
      <formula>NOT(ISERROR(SEARCH("Done",#REF!)))</formula>
    </cfRule>
    <cfRule type="containsText" dxfId="2445" priority="3094" operator="containsText" text="NA">
      <formula>NOT(ISERROR(SEARCH("NA",#REF!)))</formula>
    </cfRule>
    <cfRule type="containsText" dxfId="2444" priority="3093" operator="containsText" text="Done">
      <formula>NOT(ISERROR(SEARCH("Done",AE30)))</formula>
    </cfRule>
    <cfRule type="containsText" dxfId="2443" priority="3092" operator="containsText" text="Pending">
      <formula>NOT(ISERROR(SEARCH("Pending",AE30)))</formula>
    </cfRule>
    <cfRule type="containsText" dxfId="2442" priority="3091" operator="containsText" text="NA">
      <formula>NOT(ISERROR(SEARCH("NA",AE30)))</formula>
    </cfRule>
    <cfRule type="containsText" dxfId="2441" priority="3090" operator="containsText" text="Done">
      <formula>NOT(ISERROR(SEARCH("Done",#REF!)))</formula>
    </cfRule>
    <cfRule type="containsText" dxfId="2440" priority="3089" operator="containsText" text="NA">
      <formula>NOT(ISERROR(SEARCH("NA",#REF!)))</formula>
    </cfRule>
    <cfRule type="containsText" dxfId="2439" priority="3088" operator="containsText" text="Pending">
      <formula>NOT(ISERROR(SEARCH("Pending",#REF!)))</formula>
    </cfRule>
    <cfRule type="containsText" dxfId="2438" priority="3087" operator="containsText" text="Done">
      <formula>NOT(ISERROR(SEARCH("Done",#REF!)))</formula>
    </cfRule>
    <cfRule type="containsText" dxfId="2437" priority="3086" operator="containsText" text="NA">
      <formula>NOT(ISERROR(SEARCH("NA",#REF!)))</formula>
    </cfRule>
    <cfRule type="containsText" dxfId="2436" priority="3085" operator="containsText" text="NA">
      <formula>NOT(ISERROR(SEARCH("NA",#REF!)))</formula>
    </cfRule>
    <cfRule type="containsText" dxfId="2435" priority="3084" operator="containsText" text="Pending">
      <formula>NOT(ISERROR(SEARCH("Pending",#REF!)))</formula>
    </cfRule>
    <cfRule type="containsText" dxfId="2434" priority="3083" operator="containsText" text="Done">
      <formula>NOT(ISERROR(SEARCH("Done",#REF!)))</formula>
    </cfRule>
    <cfRule type="containsText" dxfId="2433" priority="3082" operator="containsText" text="NA">
      <formula>NOT(ISERROR(SEARCH("NA",#REF!)))</formula>
    </cfRule>
    <cfRule type="containsText" dxfId="2432" priority="3081" operator="containsText" text="Pending">
      <formula>NOT(ISERROR(SEARCH("Pending",#REF!)))</formula>
    </cfRule>
    <cfRule type="containsText" dxfId="2431" priority="3080" operator="containsText" text="Done">
      <formula>NOT(ISERROR(SEARCH("Done",#REF!)))</formula>
    </cfRule>
    <cfRule type="containsText" dxfId="2430" priority="3079" operator="containsText" text="NA">
      <formula>NOT(ISERROR(SEARCH("NA",#REF!)))</formula>
    </cfRule>
    <cfRule type="containsText" dxfId="2429" priority="3078" operator="containsText" text="NA">
      <formula>NOT(ISERROR(SEARCH("NA",#REF!)))</formula>
    </cfRule>
    <cfRule type="containsText" dxfId="2428" priority="3077" operator="containsText" text="Pending">
      <formula>NOT(ISERROR(SEARCH("Pending",#REF!)))</formula>
    </cfRule>
    <cfRule type="containsText" dxfId="2427" priority="3076" operator="containsText" text="Done">
      <formula>NOT(ISERROR(SEARCH("Done",#REF!)))</formula>
    </cfRule>
    <cfRule type="containsText" dxfId="2426" priority="3075" operator="containsText" text="NA">
      <formula>NOT(ISERROR(SEARCH("NA",#REF!)))</formula>
    </cfRule>
    <cfRule type="containsText" dxfId="2425" priority="3073" operator="containsText" text="Pending">
      <formula>NOT(ISERROR(SEARCH("Pending",#REF!)))</formula>
    </cfRule>
    <cfRule type="containsText" dxfId="2424" priority="3072" operator="containsText" text="Done">
      <formula>NOT(ISERROR(SEARCH("Done",#REF!)))</formula>
    </cfRule>
    <cfRule type="containsText" dxfId="2423" priority="3071" operator="containsText" text="NA">
      <formula>NOT(ISERROR(SEARCH("NA",#REF!)))</formula>
    </cfRule>
    <cfRule type="containsText" dxfId="2422" priority="3070" operator="containsText" text="Pending">
      <formula>NOT(ISERROR(SEARCH("Pending",#REF!)))</formula>
    </cfRule>
    <cfRule type="containsText" dxfId="2421" priority="3069" operator="containsText" text="Done">
      <formula>NOT(ISERROR(SEARCH("Done",#REF!)))</formula>
    </cfRule>
    <cfRule type="containsText" dxfId="2420" priority="3068" operator="containsText" text="NA">
      <formula>NOT(ISERROR(SEARCH("NA",#REF!)))</formula>
    </cfRule>
    <cfRule type="containsText" dxfId="2419" priority="3067" operator="containsText" text="NA">
      <formula>NOT(ISERROR(SEARCH("NA",#REF!)))</formula>
    </cfRule>
    <cfRule type="containsText" dxfId="2418" priority="3066" operator="containsText" text="Pending">
      <formula>NOT(ISERROR(SEARCH("Pending",#REF!)))</formula>
    </cfRule>
    <cfRule type="containsText" dxfId="2417" priority="3065" operator="containsText" text="Done">
      <formula>NOT(ISERROR(SEARCH("Done",#REF!)))</formula>
    </cfRule>
    <cfRule type="containsText" dxfId="2416" priority="3064" operator="containsText" text="NA">
      <formula>NOT(ISERROR(SEARCH("NA",#REF!)))</formula>
    </cfRule>
    <cfRule type="containsText" dxfId="2415" priority="3063" operator="containsText" text="NA">
      <formula>NOT(ISERROR(SEARCH("NA",#REF!)))</formula>
    </cfRule>
    <cfRule type="containsText" dxfId="2414" priority="3062" operator="containsText" text="Pending">
      <formula>NOT(ISERROR(SEARCH("Pending",#REF!)))</formula>
    </cfRule>
    <cfRule type="containsText" dxfId="2413" priority="3061" operator="containsText" text="Done">
      <formula>NOT(ISERROR(SEARCH("Done",#REF!)))</formula>
    </cfRule>
    <cfRule type="containsText" dxfId="2412" priority="3060" operator="containsText" text="NA">
      <formula>NOT(ISERROR(SEARCH("NA",#REF!)))</formula>
    </cfRule>
    <cfRule type="containsText" dxfId="2411" priority="3059" operator="containsText" text="NA">
      <formula>NOT(ISERROR(SEARCH("NA",#REF!)))</formula>
    </cfRule>
    <cfRule type="containsText" dxfId="2410" priority="3058" operator="containsText" text="Pending">
      <formula>NOT(ISERROR(SEARCH("Pending",#REF!)))</formula>
    </cfRule>
    <cfRule type="containsText" dxfId="2409" priority="3057" operator="containsText" text="Done">
      <formula>NOT(ISERROR(SEARCH("Done",#REF!)))</formula>
    </cfRule>
    <cfRule type="containsText" dxfId="2408" priority="3056" operator="containsText" text="NA">
      <formula>NOT(ISERROR(SEARCH("NA",#REF!)))</formula>
    </cfRule>
    <cfRule type="containsText" dxfId="2407" priority="3055" operator="containsText" text="Pending">
      <formula>NOT(ISERROR(SEARCH("Pending",#REF!)))</formula>
    </cfRule>
    <cfRule type="containsText" dxfId="2406" priority="3054" operator="containsText" text="Done">
      <formula>NOT(ISERROR(SEARCH("Done",#REF!)))</formula>
    </cfRule>
    <cfRule type="containsText" dxfId="2405" priority="3053" operator="containsText" text="NA">
      <formula>NOT(ISERROR(SEARCH("NA",#REF!)))</formula>
    </cfRule>
    <cfRule type="containsText" dxfId="2404" priority="3052" operator="containsText" text="NA">
      <formula>NOT(ISERROR(SEARCH("NA",#REF!)))</formula>
    </cfRule>
    <cfRule type="containsText" dxfId="2403" priority="3051" operator="containsText" text="Pending">
      <formula>NOT(ISERROR(SEARCH("Pending",#REF!)))</formula>
    </cfRule>
    <cfRule type="containsText" dxfId="2402" priority="3050" operator="containsText" text="Done">
      <formula>NOT(ISERROR(SEARCH("Done",#REF!)))</formula>
    </cfRule>
    <cfRule type="containsText" dxfId="2401" priority="3049" operator="containsText" text="NA">
      <formula>NOT(ISERROR(SEARCH("NA",#REF!)))</formula>
    </cfRule>
    <cfRule type="containsText" dxfId="2400" priority="3048" operator="containsText" text="NA">
      <formula>NOT(ISERROR(SEARCH("NA",#REF!)))</formula>
    </cfRule>
    <cfRule type="containsText" dxfId="2399" priority="3047" operator="containsText" text="Pending">
      <formula>NOT(ISERROR(SEARCH("Pending",#REF!)))</formula>
    </cfRule>
  </conditionalFormatting>
  <conditionalFormatting sqref="AE31:AE32">
    <cfRule type="containsText" dxfId="2398" priority="76383" operator="containsText" text="Pending">
      <formula>NOT(ISERROR(SEARCH("Pending",#REF!)))</formula>
    </cfRule>
    <cfRule type="containsText" dxfId="2397" priority="76384" operator="containsText" text="NA">
      <formula>NOT(ISERROR(SEARCH("NA",#REF!)))</formula>
    </cfRule>
    <cfRule type="containsText" dxfId="2396" priority="76385" operator="containsText" text="NA">
      <formula>NOT(ISERROR(SEARCH("NA",AE31)))</formula>
    </cfRule>
    <cfRule type="containsText" dxfId="2395" priority="76386" operator="containsText" text="Pending">
      <formula>NOT(ISERROR(SEARCH("Pending",AE31)))</formula>
    </cfRule>
    <cfRule type="containsText" dxfId="2394" priority="76387" operator="containsText" text="Done">
      <formula>NOT(ISERROR(SEARCH("Done",AE31)))</formula>
    </cfRule>
    <cfRule type="containsText" dxfId="2393" priority="76388" operator="containsText" text="NA">
      <formula>NOT(ISERROR(SEARCH("NA",#REF!)))</formula>
    </cfRule>
    <cfRule type="containsText" dxfId="2392" priority="76389" operator="containsText" text="Done">
      <formula>NOT(ISERROR(SEARCH("Done",#REF!)))</formula>
    </cfRule>
    <cfRule type="containsText" dxfId="2391" priority="76390" operator="containsText" text="Pending">
      <formula>NOT(ISERROR(SEARCH("Pending",#REF!)))</formula>
    </cfRule>
    <cfRule type="containsText" dxfId="2390" priority="76391" operator="containsText" text="NA">
      <formula>NOT(ISERROR(SEARCH("NA",#REF!)))</formula>
    </cfRule>
    <cfRule type="containsText" dxfId="2389" priority="76392" operator="containsText" text="NA">
      <formula>NOT(ISERROR(SEARCH("NA",#REF!)))</formula>
    </cfRule>
    <cfRule type="containsText" dxfId="2388" priority="76393" operator="containsText" text="Done">
      <formula>NOT(ISERROR(SEARCH("Done",#REF!)))</formula>
    </cfRule>
    <cfRule type="containsText" dxfId="2387" priority="76394" operator="containsText" text="Pending">
      <formula>NOT(ISERROR(SEARCH("Pending",#REF!)))</formula>
    </cfRule>
    <cfRule type="containsText" dxfId="2386" priority="76395" operator="containsText" text="NA">
      <formula>NOT(ISERROR(SEARCH("NA",#REF!)))</formula>
    </cfRule>
    <cfRule type="containsText" dxfId="2385" priority="76396" operator="containsText" text="NA">
      <formula>NOT(ISERROR(SEARCH("NA",AE31)))</formula>
    </cfRule>
    <cfRule type="containsText" dxfId="2384" priority="76397" operator="containsText" text="Done">
      <formula>NOT(ISERROR(SEARCH("Done",AE31)))</formula>
    </cfRule>
    <cfRule type="containsText" dxfId="2383" priority="76398" operator="containsText" text="NA">
      <formula>NOT(ISERROR(SEARCH("NA",#REF!)))</formula>
    </cfRule>
    <cfRule type="containsText" dxfId="2382" priority="76399" operator="containsText" text="Done">
      <formula>NOT(ISERROR(SEARCH("Done",#REF!)))</formula>
    </cfRule>
    <cfRule type="containsText" dxfId="2381" priority="76400" operator="containsText" text="Pending">
      <formula>NOT(ISERROR(SEARCH("Pending",#REF!)))</formula>
    </cfRule>
    <cfRule type="containsText" dxfId="2380" priority="76401" operator="containsText" text="NA">
      <formula>NOT(ISERROR(SEARCH("NA",#REF!)))</formula>
    </cfRule>
    <cfRule type="containsText" dxfId="2379" priority="76402" operator="containsText" text="NA">
      <formula>NOT(ISERROR(SEARCH("NA",AE31)))</formula>
    </cfRule>
    <cfRule type="containsText" dxfId="2378" priority="76403" operator="containsText" text="Pending">
      <formula>NOT(ISERROR(SEARCH("Pending",AE31)))</formula>
    </cfRule>
    <cfRule type="containsText" dxfId="2377" priority="76404" operator="containsText" text="Done">
      <formula>NOT(ISERROR(SEARCH("Done",AE31)))</formula>
    </cfRule>
    <cfRule type="containsText" dxfId="2376" priority="76405" operator="containsText" text="NA">
      <formula>NOT(ISERROR(SEARCH("NA",#REF!)))</formula>
    </cfRule>
    <cfRule type="containsText" dxfId="2375" priority="76406" operator="containsText" text="Done">
      <formula>NOT(ISERROR(SEARCH("Done",#REF!)))</formula>
    </cfRule>
    <cfRule type="containsText" dxfId="2374" priority="76407" operator="containsText" text="Pending">
      <formula>NOT(ISERROR(SEARCH("Pending",#REF!)))</formula>
    </cfRule>
    <cfRule type="containsText" dxfId="2373" priority="76408" operator="containsText" text="NA">
      <formula>NOT(ISERROR(SEARCH("NA",#REF!)))</formula>
    </cfRule>
    <cfRule type="containsText" dxfId="2372" priority="76409" operator="containsText" text="NA">
      <formula>NOT(ISERROR(SEARCH("NA",#REF!)))</formula>
    </cfRule>
    <cfRule type="containsText" dxfId="2371" priority="76410" operator="containsText" text="Done">
      <formula>NOT(ISERROR(SEARCH("Done",#REF!)))</formula>
    </cfRule>
    <cfRule type="containsText" dxfId="2370" priority="76411" operator="containsText" text="Pending">
      <formula>NOT(ISERROR(SEARCH("Pending",#REF!)))</formula>
    </cfRule>
    <cfRule type="containsText" dxfId="2369" priority="76413" operator="containsText" text="NA">
      <formula>NOT(ISERROR(SEARCH("NA",#REF!)))</formula>
    </cfRule>
    <cfRule type="containsText" dxfId="2368" priority="76414" operator="containsText" text="Done">
      <formula>NOT(ISERROR(SEARCH("Done",#REF!)))</formula>
    </cfRule>
    <cfRule type="containsText" dxfId="2367" priority="76415" operator="containsText" text="Pending">
      <formula>NOT(ISERROR(SEARCH("Pending",#REF!)))</formula>
    </cfRule>
    <cfRule type="containsText" dxfId="2366" priority="76416" operator="containsText" text="NA">
      <formula>NOT(ISERROR(SEARCH("NA",#REF!)))</formula>
    </cfRule>
    <cfRule type="containsText" dxfId="2365" priority="76417" operator="containsText" text="NA">
      <formula>NOT(ISERROR(SEARCH("NA",AE31)))</formula>
    </cfRule>
    <cfRule type="containsText" dxfId="2364" priority="76418" operator="containsText" text="Pending">
      <formula>NOT(ISERROR(SEARCH("Pending",AE31)))</formula>
    </cfRule>
    <cfRule type="containsText" dxfId="2363" priority="76419" operator="containsText" text="Done">
      <formula>NOT(ISERROR(SEARCH("Done",AE31)))</formula>
    </cfRule>
    <cfRule type="containsText" dxfId="2362" priority="76420" operator="containsText" text="NA">
      <formula>NOT(ISERROR(SEARCH("NA",#REF!)))</formula>
    </cfRule>
    <cfRule type="containsText" dxfId="2361" priority="76421" operator="containsText" text="Done">
      <formula>NOT(ISERROR(SEARCH("Done",#REF!)))</formula>
    </cfRule>
    <cfRule type="containsText" dxfId="2360" priority="76422" operator="containsText" text="Pending">
      <formula>NOT(ISERROR(SEARCH("Pending",#REF!)))</formula>
    </cfRule>
    <cfRule type="containsText" dxfId="2359" priority="76423" operator="containsText" text="NA">
      <formula>NOT(ISERROR(SEARCH("NA",#REF!)))</formula>
    </cfRule>
    <cfRule type="containsText" dxfId="2358" priority="76412" operator="containsText" text="NA">
      <formula>NOT(ISERROR(SEARCH("NA",#REF!)))</formula>
    </cfRule>
    <cfRule type="containsText" dxfId="2357" priority="76365" operator="containsText" text="NA">
      <formula>NOT(ISERROR(SEARCH("NA",AE31)))</formula>
    </cfRule>
    <cfRule type="containsText" dxfId="2356" priority="76424" operator="containsText" text="NA">
      <formula>NOT(ISERROR(SEARCH("NA",AE31)))</formula>
    </cfRule>
    <cfRule type="containsText" dxfId="2355" priority="76425" operator="containsText" text="Pending">
      <formula>NOT(ISERROR(SEARCH("Pending",AE31)))</formula>
    </cfRule>
    <cfRule type="containsText" dxfId="2354" priority="76426" operator="containsText" text="Done">
      <formula>NOT(ISERROR(SEARCH("Done",AE31)))</formula>
    </cfRule>
    <cfRule type="containsText" dxfId="2353" priority="76427" operator="containsText" text="NA">
      <formula>NOT(ISERROR(SEARCH("NA",#REF!)))</formula>
    </cfRule>
    <cfRule type="containsText" dxfId="2352" priority="76428" operator="containsText" text="Done">
      <formula>NOT(ISERROR(SEARCH("Done",#REF!)))</formula>
    </cfRule>
    <cfRule type="containsText" dxfId="2351" priority="76429" operator="containsText" text="Pending">
      <formula>NOT(ISERROR(SEARCH("Pending",#REF!)))</formula>
    </cfRule>
    <cfRule type="containsText" dxfId="2350" priority="76430" operator="containsText" text="NA">
      <formula>NOT(ISERROR(SEARCH("NA",#REF!)))</formula>
    </cfRule>
    <cfRule type="containsText" dxfId="2349" priority="76338" operator="containsText" text="NA">
      <formula>NOT(ISERROR(SEARCH("NA",AE31)))</formula>
    </cfRule>
    <cfRule type="containsText" dxfId="2348" priority="76339" operator="containsText" text="Pending">
      <formula>NOT(ISERROR(SEARCH("Pending",AE31)))</formula>
    </cfRule>
    <cfRule type="containsText" dxfId="2347" priority="76340" operator="containsText" text="Done">
      <formula>NOT(ISERROR(SEARCH("Done",AE31)))</formula>
    </cfRule>
    <cfRule type="containsText" dxfId="2346" priority="76341" operator="containsText" text="NA">
      <formula>NOT(ISERROR(SEARCH("NA",#REF!)))</formula>
    </cfRule>
    <cfRule type="containsText" dxfId="2345" priority="76342" operator="containsText" text="Done">
      <formula>NOT(ISERROR(SEARCH("Done",#REF!)))</formula>
    </cfRule>
    <cfRule type="containsText" dxfId="2344" priority="76343" operator="containsText" text="Pending">
      <formula>NOT(ISERROR(SEARCH("Pending",#REF!)))</formula>
    </cfRule>
    <cfRule type="containsText" dxfId="2343" priority="76344" operator="containsText" text="NA">
      <formula>NOT(ISERROR(SEARCH("NA",#REF!)))</formula>
    </cfRule>
    <cfRule type="containsText" dxfId="2342" priority="76345" operator="containsText" text="NA">
      <formula>NOT(ISERROR(SEARCH("NA",#REF!)))</formula>
    </cfRule>
    <cfRule type="containsText" dxfId="2341" priority="76346" operator="containsText" text="Done">
      <formula>NOT(ISERROR(SEARCH("Done",#REF!)))</formula>
    </cfRule>
    <cfRule type="containsText" dxfId="2340" priority="76347" operator="containsText" text="Pending">
      <formula>NOT(ISERROR(SEARCH("Pending",#REF!)))</formula>
    </cfRule>
    <cfRule type="containsText" dxfId="2339" priority="76348" operator="containsText" text="NA">
      <formula>NOT(ISERROR(SEARCH("NA",#REF!)))</formula>
    </cfRule>
    <cfRule type="containsText" dxfId="2338" priority="76349" operator="containsText" text="NA">
      <formula>NOT(ISERROR(SEARCH("NA",#REF!)))</formula>
    </cfRule>
    <cfRule type="containsText" dxfId="2337" priority="76350" operator="containsText" text="Done">
      <formula>NOT(ISERROR(SEARCH("Done",#REF!)))</formula>
    </cfRule>
    <cfRule type="containsText" dxfId="2336" priority="76351" operator="containsText" text="Pending">
      <formula>NOT(ISERROR(SEARCH("Pending",#REF!)))</formula>
    </cfRule>
    <cfRule type="containsText" dxfId="2335" priority="76352" operator="containsText" text="NA">
      <formula>NOT(ISERROR(SEARCH("NA",#REF!)))</formula>
    </cfRule>
    <cfRule type="containsText" dxfId="2334" priority="76353" operator="containsText" text="NA">
      <formula>NOT(ISERROR(SEARCH("NA",#REF!)))</formula>
    </cfRule>
    <cfRule type="containsText" dxfId="2333" priority="76354" operator="containsText" text="Done">
      <formula>NOT(ISERROR(SEARCH("Done",#REF!)))</formula>
    </cfRule>
    <cfRule type="containsText" dxfId="2332" priority="76355" operator="containsText" text="Pending">
      <formula>NOT(ISERROR(SEARCH("Pending",#REF!)))</formula>
    </cfRule>
    <cfRule type="containsText" dxfId="2331" priority="76356" operator="containsText" text="NA">
      <formula>NOT(ISERROR(SEARCH("NA",#REF!)))</formula>
    </cfRule>
    <cfRule type="containsText" dxfId="2330" priority="76357" operator="containsText" text="NA">
      <formula>NOT(ISERROR(SEARCH("NA",#REF!)))</formula>
    </cfRule>
    <cfRule type="containsText" dxfId="2329" priority="76358" operator="containsText" text="Done">
      <formula>NOT(ISERROR(SEARCH("Done",#REF!)))</formula>
    </cfRule>
    <cfRule type="containsText" dxfId="2328" priority="76359" operator="containsText" text="Pending">
      <formula>NOT(ISERROR(SEARCH("Pending",#REF!)))</formula>
    </cfRule>
    <cfRule type="containsText" dxfId="2327" priority="76360" operator="containsText" text="NA">
      <formula>NOT(ISERROR(SEARCH("NA",#REF!)))</formula>
    </cfRule>
    <cfRule type="containsText" dxfId="2326" priority="76361" operator="containsText" text="NA">
      <formula>NOT(ISERROR(SEARCH("NA",#REF!)))</formula>
    </cfRule>
    <cfRule type="containsText" dxfId="2325" priority="76362" operator="containsText" text="Done">
      <formula>NOT(ISERROR(SEARCH("Done",#REF!)))</formula>
    </cfRule>
    <cfRule type="containsText" dxfId="2324" priority="76363" operator="containsText" text="Pending">
      <formula>NOT(ISERROR(SEARCH("Pending",#REF!)))</formula>
    </cfRule>
    <cfRule type="containsText" dxfId="2323" priority="76364" operator="containsText" text="NA">
      <formula>NOT(ISERROR(SEARCH("NA",#REF!)))</formula>
    </cfRule>
    <cfRule type="containsText" dxfId="2322" priority="76366" operator="containsText" text="Pending">
      <formula>NOT(ISERROR(SEARCH("Pending",AE31)))</formula>
    </cfRule>
    <cfRule type="containsText" dxfId="2321" priority="76367" operator="containsText" text="Done">
      <formula>NOT(ISERROR(SEARCH("Done",AE31)))</formula>
    </cfRule>
    <cfRule type="containsText" dxfId="2320" priority="76368" operator="containsText" text="NA">
      <formula>NOT(ISERROR(SEARCH("NA",#REF!)))</formula>
    </cfRule>
    <cfRule type="containsText" dxfId="2319" priority="76369" operator="containsText" text="Done">
      <formula>NOT(ISERROR(SEARCH("Done",#REF!)))</formula>
    </cfRule>
    <cfRule type="containsText" dxfId="2318" priority="76370" operator="containsText" text="Pending">
      <formula>NOT(ISERROR(SEARCH("Pending",#REF!)))</formula>
    </cfRule>
    <cfRule type="containsText" dxfId="2317" priority="76371" operator="containsText" text="NA">
      <formula>NOT(ISERROR(SEARCH("NA",#REF!)))</formula>
    </cfRule>
    <cfRule type="containsText" dxfId="2316" priority="76372" operator="containsText" text="NA">
      <formula>NOT(ISERROR(SEARCH("NA",AE31)))</formula>
    </cfRule>
    <cfRule type="containsText" dxfId="2315" priority="76373" operator="containsText" text="Pending">
      <formula>NOT(ISERROR(SEARCH("Pending",AE31)))</formula>
    </cfRule>
    <cfRule type="containsText" dxfId="2314" priority="76374" operator="containsText" text="Done">
      <formula>NOT(ISERROR(SEARCH("Done",AE31)))</formula>
    </cfRule>
    <cfRule type="containsText" dxfId="2313" priority="76375" operator="containsText" text="NA">
      <formula>NOT(ISERROR(SEARCH("NA",#REF!)))</formula>
    </cfRule>
    <cfRule type="containsText" dxfId="2312" priority="76376" operator="containsText" text="Done">
      <formula>NOT(ISERROR(SEARCH("Done",#REF!)))</formula>
    </cfRule>
    <cfRule type="containsText" dxfId="2311" priority="76377" operator="containsText" text="Pending">
      <formula>NOT(ISERROR(SEARCH("Pending",#REF!)))</formula>
    </cfRule>
    <cfRule type="containsText" dxfId="2310" priority="76378" operator="containsText" text="NA">
      <formula>NOT(ISERROR(SEARCH("NA",#REF!)))</formula>
    </cfRule>
    <cfRule type="containsText" dxfId="2309" priority="76379" operator="containsText" text="NA">
      <formula>NOT(ISERROR(SEARCH("NA",AE31)))</formula>
    </cfRule>
    <cfRule type="containsText" dxfId="2308" priority="76380" operator="containsText" text="Done">
      <formula>NOT(ISERROR(SEARCH("Done",AE31)))</formula>
    </cfRule>
    <cfRule type="containsText" dxfId="2307" priority="76381" operator="containsText" text="NA">
      <formula>NOT(ISERROR(SEARCH("NA",#REF!)))</formula>
    </cfRule>
    <cfRule type="containsText" dxfId="2306" priority="76382" operator="containsText" text="Done">
      <formula>NOT(ISERROR(SEARCH("Done",#REF!)))</formula>
    </cfRule>
  </conditionalFormatting>
  <conditionalFormatting sqref="AE46">
    <cfRule type="containsText" dxfId="2305" priority="139981" operator="containsText" text="Pending">
      <formula>NOT(ISERROR(SEARCH("Pending",#REF!)))</formula>
    </cfRule>
    <cfRule type="containsText" dxfId="2304" priority="139984" operator="containsText" text="NA">
      <formula>NOT(ISERROR(SEARCH("NA",#REF!)))</formula>
    </cfRule>
    <cfRule type="containsText" dxfId="2303" priority="138995" operator="containsText" text="NA">
      <formula>NOT(ISERROR(SEARCH("NA",#REF!)))</formula>
    </cfRule>
    <cfRule type="containsText" dxfId="2302" priority="138152" operator="containsText" text="Pending">
      <formula>NOT(ISERROR(SEARCH("Pending",#REF!)))</formula>
    </cfRule>
    <cfRule type="containsText" dxfId="2301" priority="139978" operator="containsText" text="Done">
      <formula>NOT(ISERROR(SEARCH("Done",#REF!)))</formula>
    </cfRule>
    <cfRule type="containsText" dxfId="2300" priority="137309" operator="containsText" text="Done">
      <formula>NOT(ISERROR(SEARCH("Done",#REF!)))</formula>
    </cfRule>
  </conditionalFormatting>
  <conditionalFormatting sqref="AE49:AE53">
    <cfRule type="containsText" dxfId="2299" priority="109413" operator="containsText" text="NA">
      <formula>NOT(ISERROR(SEARCH("NA",AB112)))</formula>
    </cfRule>
    <cfRule type="containsText" dxfId="2298" priority="2016" operator="containsText" text="NA">
      <formula>NOT(ISERROR(SEARCH("NA",AB112)))</formula>
    </cfRule>
    <cfRule type="containsText" dxfId="2297" priority="2015" operator="containsText" text="Pending">
      <formula>NOT(ISERROR(SEARCH("Pending",AB112)))</formula>
    </cfRule>
    <cfRule type="containsText" dxfId="2296" priority="109411" operator="containsText" text="Done">
      <formula>NOT(ISERROR(SEARCH("Done",AB112)))</formula>
    </cfRule>
    <cfRule type="containsText" dxfId="2295" priority="109412" operator="containsText" text="Pending">
      <formula>NOT(ISERROR(SEARCH("Pending",AB112)))</formula>
    </cfRule>
    <cfRule type="containsText" dxfId="2294" priority="2014" operator="containsText" text="Done">
      <formula>NOT(ISERROR(SEARCH("Done",AB112)))</formula>
    </cfRule>
  </conditionalFormatting>
  <conditionalFormatting sqref="AE58:AE61 AC57:AH57">
    <cfRule type="containsText" dxfId="2293" priority="119814" operator="containsText" text="Done">
      <formula>NOT(ISERROR(SEARCH("Done",#REF!)))</formula>
    </cfRule>
  </conditionalFormatting>
  <conditionalFormatting sqref="AE58:AE61 AE57:AH57">
    <cfRule type="containsText" dxfId="2292" priority="119801" operator="containsText" text="Done">
      <formula>NOT(ISERROR(SEARCH("Done",#REF!)))</formula>
    </cfRule>
    <cfRule type="containsText" dxfId="2291" priority="119815" operator="containsText" text="Pending">
      <formula>NOT(ISERROR(SEARCH("Pending",#REF!)))</formula>
    </cfRule>
    <cfRule type="containsText" dxfId="2290" priority="119816" operator="containsText" text="NA">
      <formula>NOT(ISERROR(SEARCH("NA",#REF!)))</formula>
    </cfRule>
    <cfRule type="containsText" dxfId="2289" priority="119808" operator="containsText" text="NA">
      <formula>NOT(ISERROR(SEARCH("NA",#REF!)))</formula>
    </cfRule>
    <cfRule type="containsText" dxfId="2288" priority="119806" operator="containsText" text="Done">
      <formula>NOT(ISERROR(SEARCH("Done",#REF!)))</formula>
    </cfRule>
    <cfRule type="containsText" dxfId="2287" priority="119804" operator="containsText" text="Done">
      <formula>NOT(ISERROR(SEARCH("Done",#REF!)))</formula>
    </cfRule>
    <cfRule type="containsText" dxfId="2286" priority="119803" operator="containsText" text="NA">
      <formula>NOT(ISERROR(SEARCH("NA",#REF!)))</formula>
    </cfRule>
    <cfRule type="containsText" dxfId="2285" priority="119860" operator="containsText" text="NA">
      <formula>NOT(ISERROR(SEARCH("NA",#REF!)))</formula>
    </cfRule>
    <cfRule type="containsText" dxfId="2284" priority="119848" operator="containsText" text="Done">
      <formula>NOT(ISERROR(SEARCH("Done",#REF!)))</formula>
    </cfRule>
    <cfRule type="containsText" dxfId="2283" priority="119809" operator="containsText" text="Done">
      <formula>NOT(ISERROR(SEARCH("Done",#REF!)))</formula>
    </cfRule>
    <cfRule type="containsText" dxfId="2282" priority="119811" operator="containsText" text="NA">
      <formula>NOT(ISERROR(SEARCH("NA",#REF!)))</formula>
    </cfRule>
    <cfRule type="containsText" dxfId="2281" priority="119812" operator="containsText" text="Done">
      <formula>NOT(ISERROR(SEARCH("Done",#REF!)))</formula>
    </cfRule>
  </conditionalFormatting>
  <conditionalFormatting sqref="AE72:AE73">
    <cfRule type="containsText" dxfId="2280" priority="5319" operator="containsText" text="NA">
      <formula>NOT(ISERROR(SEARCH("NA",AB132)))</formula>
    </cfRule>
    <cfRule type="containsText" dxfId="2279" priority="5320" operator="containsText" text="Done">
      <formula>NOT(ISERROR(SEARCH("Done",AB132)))</formula>
    </cfRule>
    <cfRule type="containsText" dxfId="2278" priority="5321" operator="containsText" text="Pending">
      <formula>NOT(ISERROR(SEARCH("Pending",AB132)))</formula>
    </cfRule>
  </conditionalFormatting>
  <conditionalFormatting sqref="AE79:AE81">
    <cfRule type="containsText" dxfId="2277" priority="231" operator="containsText" text="Done">
      <formula>NOT(ISERROR(SEARCH("Done",#REF!)))</formula>
    </cfRule>
    <cfRule type="containsText" dxfId="2276" priority="229" operator="containsText" text="NA">
      <formula>NOT(ISERROR(SEARCH("NA",AE79)))</formula>
    </cfRule>
    <cfRule type="containsText" dxfId="2275" priority="238" operator="containsText" text="NA">
      <formula>NOT(ISERROR(SEARCH("NA",#REF!)))</formula>
    </cfRule>
    <cfRule type="containsText" dxfId="2274" priority="237" operator="containsText" text="Pending">
      <formula>NOT(ISERROR(SEARCH("Pending",#REF!)))</formula>
    </cfRule>
    <cfRule type="containsText" dxfId="2273" priority="236" operator="containsText" text="Done">
      <formula>NOT(ISERROR(SEARCH("Done",#REF!)))</formula>
    </cfRule>
    <cfRule type="containsText" dxfId="2272" priority="3604" operator="containsText" text="NA">
      <formula>NOT(ISERROR(SEARCH("NA",AE79)))</formula>
    </cfRule>
    <cfRule type="containsText" dxfId="2271" priority="3605" operator="containsText" text="Done">
      <formula>NOT(ISERROR(SEARCH("Done",AE79)))</formula>
    </cfRule>
    <cfRule type="containsText" dxfId="2270" priority="3606" operator="containsText" text="Done">
      <formula>NOT(ISERROR(SEARCH("Done",#REF!)))</formula>
    </cfRule>
    <cfRule type="containsText" dxfId="2269" priority="234" operator="containsText" text="NA">
      <formula>NOT(ISERROR(SEARCH("NA",AE79)))</formula>
    </cfRule>
    <cfRule type="containsText" dxfId="2268" priority="232" operator="containsText" text="Pending">
      <formula>NOT(ISERROR(SEARCH("Pending",#REF!)))</formula>
    </cfRule>
    <cfRule type="containsText" dxfId="2267" priority="235" operator="containsText" text="Done">
      <formula>NOT(ISERROR(SEARCH("Done",AE79)))</formula>
    </cfRule>
    <cfRule type="containsText" dxfId="2266" priority="3607" operator="containsText" text="Pending">
      <formula>NOT(ISERROR(SEARCH("Pending",#REF!)))</formula>
    </cfRule>
    <cfRule type="containsText" dxfId="2265" priority="233" operator="containsText" text="NA">
      <formula>NOT(ISERROR(SEARCH("NA",#REF!)))</formula>
    </cfRule>
    <cfRule type="containsText" dxfId="2264" priority="230" operator="containsText" text="Done">
      <formula>NOT(ISERROR(SEARCH("Done",AE79)))</formula>
    </cfRule>
    <cfRule type="containsText" dxfId="2263" priority="3608" operator="containsText" text="NA">
      <formula>NOT(ISERROR(SEARCH("NA",#REF!)))</formula>
    </cfRule>
  </conditionalFormatting>
  <conditionalFormatting sqref="AE88">
    <cfRule type="containsText" dxfId="2262" priority="1128" operator="containsText" text="Done">
      <formula>NOT(ISERROR(SEARCH("Done",AE88)))</formula>
    </cfRule>
    <cfRule type="containsText" dxfId="2261" priority="1131" operator="containsText" text="NA">
      <formula>NOT(ISERROR(SEARCH("NA",#REF!)))</formula>
    </cfRule>
    <cfRule type="containsText" dxfId="2260" priority="1130" operator="containsText" text="Pending">
      <formula>NOT(ISERROR(SEARCH("Pending",#REF!)))</formula>
    </cfRule>
    <cfRule type="containsText" dxfId="2259" priority="1125" operator="containsText" text="Pending">
      <formula>NOT(ISERROR(SEARCH("Pending",#REF!)))</formula>
    </cfRule>
    <cfRule type="containsText" dxfId="2258" priority="1129" operator="containsText" text="Done">
      <formula>NOT(ISERROR(SEARCH("Done",#REF!)))</formula>
    </cfRule>
    <cfRule type="containsText" dxfId="2257" priority="1126" operator="containsText" text="NA">
      <formula>NOT(ISERROR(SEARCH("NA",#REF!)))</formula>
    </cfRule>
    <cfRule type="containsText" dxfId="2256" priority="1127" operator="containsText" text="NA">
      <formula>NOT(ISERROR(SEARCH("NA",AE88)))</formula>
    </cfRule>
  </conditionalFormatting>
  <conditionalFormatting sqref="AE88:AE89">
    <cfRule type="containsText" dxfId="2255" priority="77330" operator="containsText" text="Pending">
      <formula>NOT(ISERROR(SEARCH("Pending",#REF!)))</formula>
    </cfRule>
    <cfRule type="containsText" dxfId="2254" priority="77328" operator="containsText" text="Done">
      <formula>NOT(ISERROR(SEARCH("Done",AE88)))</formula>
    </cfRule>
    <cfRule type="containsText" dxfId="2253" priority="77327" operator="containsText" text="NA">
      <formula>NOT(ISERROR(SEARCH("NA",AE88)))</formula>
    </cfRule>
    <cfRule type="containsText" dxfId="2252" priority="77331" operator="containsText" text="NA">
      <formula>NOT(ISERROR(SEARCH("NA",#REF!)))</formula>
    </cfRule>
  </conditionalFormatting>
  <conditionalFormatting sqref="AE29:AF30 AB29:AB32 AG29:AG32">
    <cfRule type="containsText" dxfId="2251" priority="109555" operator="containsText" text="Pending">
      <formula>NOT(ISERROR(SEARCH("Pending",#REF!)))</formula>
    </cfRule>
  </conditionalFormatting>
  <conditionalFormatting sqref="AE29:AF30 AB30:AB32 AE31:AG32">
    <cfRule type="containsText" dxfId="2250" priority="158679" operator="containsText" text="Done">
      <formula>NOT(ISERROR(SEARCH("Done",Y90)))</formula>
    </cfRule>
    <cfRule type="containsText" dxfId="2249" priority="158680" operator="containsText" text="Pending">
      <formula>NOT(ISERROR(SEARCH("Pending",Y90)))</formula>
    </cfRule>
    <cfRule type="containsText" dxfId="2248" priority="158681" operator="containsText" text="NA">
      <formula>NOT(ISERROR(SEARCH("NA",Y90)))</formula>
    </cfRule>
  </conditionalFormatting>
  <conditionalFormatting sqref="AE29:AF30">
    <cfRule type="containsText" dxfId="2247" priority="5043" operator="containsText" text="Done">
      <formula>NOT(ISERROR(SEARCH("Done",#REF!)))</formula>
    </cfRule>
    <cfRule type="containsText" dxfId="2246" priority="5031" operator="containsText" text="NA">
      <formula>NOT(ISERROR(SEARCH("NA",#REF!)))</formula>
    </cfRule>
    <cfRule type="containsText" dxfId="2245" priority="5083" operator="containsText" text="NA">
      <formula>NOT(ISERROR(SEARCH("NA",#REF!)))</formula>
    </cfRule>
    <cfRule type="containsText" dxfId="2244" priority="5088" operator="containsText" text="Done">
      <formula>NOT(ISERROR(SEARCH("Done",AE29)))</formula>
    </cfRule>
    <cfRule type="containsText" dxfId="2243" priority="5087" operator="containsText" text="NA">
      <formula>NOT(ISERROR(SEARCH("NA",AE29)))</formula>
    </cfRule>
    <cfRule type="containsText" dxfId="2242" priority="5068" operator="containsText" text="Pending">
      <formula>NOT(ISERROR(SEARCH("Pending",#REF!)))</formula>
    </cfRule>
    <cfRule type="containsText" dxfId="2241" priority="5069" operator="containsText" text="NA">
      <formula>NOT(ISERROR(SEARCH("NA",#REF!)))</formula>
    </cfRule>
    <cfRule type="containsText" dxfId="2240" priority="5086" operator="containsText" text="NA">
      <formula>NOT(ISERROR(SEARCH("NA",#REF!)))</formula>
    </cfRule>
    <cfRule type="containsText" dxfId="2239" priority="5075" operator="containsText" text="Done">
      <formula>NOT(ISERROR(SEARCH("Done",AE29)))</formula>
    </cfRule>
    <cfRule type="containsText" dxfId="2238" priority="5074" operator="containsText" text="NA">
      <formula>NOT(ISERROR(SEARCH("NA",AE29)))</formula>
    </cfRule>
    <cfRule type="containsText" dxfId="2237" priority="5059" operator="containsText" text="NA">
      <formula>NOT(ISERROR(SEARCH("NA",#REF!)))</formula>
    </cfRule>
    <cfRule type="containsText" dxfId="2236" priority="5060" operator="containsText" text="Done">
      <formula>NOT(ISERROR(SEARCH("Done",#REF!)))</formula>
    </cfRule>
    <cfRule type="containsText" dxfId="2235" priority="5061" operator="containsText" text="Pending">
      <formula>NOT(ISERROR(SEARCH("Pending",#REF!)))</formula>
    </cfRule>
    <cfRule type="containsText" dxfId="2234" priority="5076" operator="containsText" text="NA">
      <formula>NOT(ISERROR(SEARCH("NA",#REF!)))</formula>
    </cfRule>
    <cfRule type="containsText" dxfId="2233" priority="5062" operator="containsText" text="NA">
      <formula>NOT(ISERROR(SEARCH("NA",#REF!)))</formula>
    </cfRule>
    <cfRule type="containsText" dxfId="2232" priority="5063" operator="containsText" text="NA">
      <formula>NOT(ISERROR(SEARCH("NA",#REF!)))</formula>
    </cfRule>
    <cfRule type="containsText" dxfId="2231" priority="5064" operator="containsText" text="Done">
      <formula>NOT(ISERROR(SEARCH("Done",#REF!)))</formula>
    </cfRule>
    <cfRule type="containsText" dxfId="2230" priority="5073" operator="containsText" text="NA">
      <formula>NOT(ISERROR(SEARCH("NA",#REF!)))</formula>
    </cfRule>
    <cfRule type="containsText" dxfId="2229" priority="5058" operator="containsText" text="Pending">
      <formula>NOT(ISERROR(SEARCH("Pending",#REF!)))</formula>
    </cfRule>
    <cfRule type="containsText" dxfId="2228" priority="5050" operator="containsText" text="Done">
      <formula>NOT(ISERROR(SEARCH("Done",#REF!)))</formula>
    </cfRule>
    <cfRule type="containsText" dxfId="2227" priority="5057" operator="containsText" text="Done">
      <formula>NOT(ISERROR(SEARCH("Done",#REF!)))</formula>
    </cfRule>
    <cfRule type="containsText" dxfId="2226" priority="5072" operator="containsText" text="Pending">
      <formula>NOT(ISERROR(SEARCH("Pending",#REF!)))</formula>
    </cfRule>
    <cfRule type="containsText" dxfId="2225" priority="5077" operator="containsText" text="Done">
      <formula>NOT(ISERROR(SEARCH("Done",#REF!)))</formula>
    </cfRule>
    <cfRule type="containsText" dxfId="2224" priority="5054" operator="containsText" text="NA">
      <formula>NOT(ISERROR(SEARCH("NA",AE29)))</formula>
    </cfRule>
    <cfRule type="containsText" dxfId="2223" priority="5071" operator="containsText" text="Done">
      <formula>NOT(ISERROR(SEARCH("Done",#REF!)))</formula>
    </cfRule>
    <cfRule type="containsText" dxfId="2222" priority="5070" operator="containsText" text="NA">
      <formula>NOT(ISERROR(SEARCH("NA",#REF!)))</formula>
    </cfRule>
    <cfRule type="containsText" dxfId="2221" priority="5056" operator="containsText" text="NA">
      <formula>NOT(ISERROR(SEARCH("NA",#REF!)))</formula>
    </cfRule>
    <cfRule type="containsText" dxfId="2220" priority="5055" operator="containsText" text="Done">
      <formula>NOT(ISERROR(SEARCH("Done",AE29)))</formula>
    </cfRule>
    <cfRule type="containsText" dxfId="2219" priority="5053" operator="containsText" text="NA">
      <formula>NOT(ISERROR(SEARCH("NA",#REF!)))</formula>
    </cfRule>
    <cfRule type="containsText" dxfId="2218" priority="5052" operator="containsText" text="NA">
      <formula>NOT(ISERROR(SEARCH("NA",#REF!)))</formula>
    </cfRule>
    <cfRule type="containsText" dxfId="2217" priority="5084" operator="containsText" text="Done">
      <formula>NOT(ISERROR(SEARCH("Done",#REF!)))</formula>
    </cfRule>
    <cfRule type="containsText" dxfId="2216" priority="5078" operator="containsText" text="Pending">
      <formula>NOT(ISERROR(SEARCH("Pending",#REF!)))</formula>
    </cfRule>
    <cfRule type="containsText" dxfId="2215" priority="5065" operator="containsText" text="Pending">
      <formula>NOT(ISERROR(SEARCH("Pending",#REF!)))</formula>
    </cfRule>
    <cfRule type="containsText" dxfId="2214" priority="5066" operator="containsText" text="NA">
      <formula>NOT(ISERROR(SEARCH("NA",#REF!)))</formula>
    </cfRule>
    <cfRule type="containsText" dxfId="2213" priority="5067" operator="containsText" text="Done">
      <formula>NOT(ISERROR(SEARCH("Done",#REF!)))</formula>
    </cfRule>
    <cfRule type="containsText" dxfId="2212" priority="5049" operator="containsText" text="NA">
      <formula>NOT(ISERROR(SEARCH("NA",#REF!)))</formula>
    </cfRule>
    <cfRule type="containsText" dxfId="2211" priority="5048" operator="containsText" text="Pending">
      <formula>NOT(ISERROR(SEARCH("Pending",#REF!)))</formula>
    </cfRule>
    <cfRule type="containsText" dxfId="2210" priority="5047" operator="containsText" text="Done">
      <formula>NOT(ISERROR(SEARCH("Done",#REF!)))</formula>
    </cfRule>
    <cfRule type="containsText" dxfId="2209" priority="5046" operator="containsText" text="NA">
      <formula>NOT(ISERROR(SEARCH("NA",#REF!)))</formula>
    </cfRule>
    <cfRule type="containsText" dxfId="2208" priority="5035" operator="containsText" text="NA">
      <formula>NOT(ISERROR(SEARCH("NA",#REF!)))</formula>
    </cfRule>
    <cfRule type="containsText" dxfId="2207" priority="5044" operator="containsText" text="Pending">
      <formula>NOT(ISERROR(SEARCH("Pending",#REF!)))</formula>
    </cfRule>
    <cfRule type="containsText" dxfId="2206" priority="5034" operator="containsText" text="NA">
      <formula>NOT(ISERROR(SEARCH("NA",#REF!)))</formula>
    </cfRule>
    <cfRule type="containsText" dxfId="2205" priority="5042" operator="containsText" text="NA">
      <formula>NOT(ISERROR(SEARCH("NA",#REF!)))</formula>
    </cfRule>
    <cfRule type="containsText" dxfId="2204" priority="5041" operator="containsText" text="NA">
      <formula>NOT(ISERROR(SEARCH("NA",#REF!)))</formula>
    </cfRule>
    <cfRule type="containsText" dxfId="2203" priority="5079" operator="containsText" text="NA">
      <formula>NOT(ISERROR(SEARCH("NA",#REF!)))</formula>
    </cfRule>
    <cfRule type="containsText" dxfId="2202" priority="5080" operator="containsText" text="NA">
      <formula>NOT(ISERROR(SEARCH("NA",AE29)))</formula>
    </cfRule>
    <cfRule type="containsText" dxfId="2201" priority="5081" operator="containsText" text="Pending">
      <formula>NOT(ISERROR(SEARCH("Pending",AE29)))</formula>
    </cfRule>
    <cfRule type="containsText" dxfId="2200" priority="5040" operator="containsText" text="Pending">
      <formula>NOT(ISERROR(SEARCH("Pending",#REF!)))</formula>
    </cfRule>
    <cfRule type="containsText" dxfId="2199" priority="5039" operator="containsText" text="Done">
      <formula>NOT(ISERROR(SEARCH("Done",#REF!)))</formula>
    </cfRule>
    <cfRule type="containsText" dxfId="2198" priority="5085" operator="containsText" text="Pending">
      <formula>NOT(ISERROR(SEARCH("Pending",#REF!)))</formula>
    </cfRule>
    <cfRule type="containsText" dxfId="2197" priority="5051" operator="containsText" text="Pending">
      <formula>NOT(ISERROR(SEARCH("Pending",#REF!)))</formula>
    </cfRule>
    <cfRule type="containsText" dxfId="2196" priority="5089" operator="containsText" text="NA">
      <formula>NOT(ISERROR(SEARCH("NA",#REF!)))</formula>
    </cfRule>
    <cfRule type="containsText" dxfId="2195" priority="5090" operator="containsText" text="Done">
      <formula>NOT(ISERROR(SEARCH("Done",#REF!)))</formula>
    </cfRule>
    <cfRule type="containsText" dxfId="2194" priority="5091" operator="containsText" text="Pending">
      <formula>NOT(ISERROR(SEARCH("Pending",#REF!)))</formula>
    </cfRule>
    <cfRule type="containsText" dxfId="2193" priority="5092" operator="containsText" text="NA">
      <formula>NOT(ISERROR(SEARCH("NA",#REF!)))</formula>
    </cfRule>
    <cfRule type="containsText" dxfId="2192" priority="5045" operator="containsText" text="NA">
      <formula>NOT(ISERROR(SEARCH("NA",#REF!)))</formula>
    </cfRule>
    <cfRule type="containsText" dxfId="2191" priority="5033" operator="containsText" text="Pending">
      <formula>NOT(ISERROR(SEARCH("Pending",#REF!)))</formula>
    </cfRule>
    <cfRule type="containsText" dxfId="2190" priority="5032" operator="containsText" text="Done">
      <formula>NOT(ISERROR(SEARCH("Done",#REF!)))</formula>
    </cfRule>
    <cfRule type="containsText" dxfId="2189" priority="5082" operator="containsText" text="Done">
      <formula>NOT(ISERROR(SEARCH("Done",AE29)))</formula>
    </cfRule>
    <cfRule type="containsText" dxfId="2188" priority="5038" operator="containsText" text="NA">
      <formula>NOT(ISERROR(SEARCH("NA",#REF!)))</formula>
    </cfRule>
    <cfRule type="containsText" dxfId="2187" priority="5037" operator="containsText" text="Pending">
      <formula>NOT(ISERROR(SEARCH("Pending",#REF!)))</formula>
    </cfRule>
    <cfRule type="containsText" dxfId="2186" priority="5036" operator="containsText" text="Done">
      <formula>NOT(ISERROR(SEARCH("Done",#REF!)))</formula>
    </cfRule>
  </conditionalFormatting>
  <conditionalFormatting sqref="AE30:AF30 AE31:AG32">
    <cfRule type="containsText" dxfId="2185" priority="159253" operator="containsText" text="Pending">
      <formula>NOT(ISERROR(SEARCH("Pending",AE30)))</formula>
    </cfRule>
    <cfRule type="containsText" dxfId="2184" priority="159254" operator="containsText" text="Done">
      <formula>NOT(ISERROR(SEARCH("Done",AE30)))</formula>
    </cfRule>
    <cfRule type="containsText" dxfId="2183" priority="159255" operator="containsText" text="NA">
      <formula>NOT(ISERROR(SEARCH("NA",#REF!)))</formula>
    </cfRule>
    <cfRule type="containsText" dxfId="2182" priority="159256" operator="containsText" text="Done">
      <formula>NOT(ISERROR(SEARCH("Done",#REF!)))</formula>
    </cfRule>
    <cfRule type="containsText" dxfId="2181" priority="159257" operator="containsText" text="Pending">
      <formula>NOT(ISERROR(SEARCH("Pending",#REF!)))</formula>
    </cfRule>
    <cfRule type="containsText" dxfId="2180" priority="159258" operator="containsText" text="NA">
      <formula>NOT(ISERROR(SEARCH("NA",#REF!)))</formula>
    </cfRule>
    <cfRule type="containsText" dxfId="2179" priority="159259" operator="containsText" text="NA">
      <formula>NOT(ISERROR(SEARCH("NA",AB55)))</formula>
    </cfRule>
    <cfRule type="containsText" dxfId="2178" priority="159260" operator="containsText" text="Done">
      <formula>NOT(ISERROR(SEARCH("Done",AB54)))</formula>
    </cfRule>
    <cfRule type="containsText" dxfId="2177" priority="159261" operator="containsText" text="Pending">
      <formula>NOT(ISERROR(SEARCH("Pending",AB54)))</formula>
    </cfRule>
    <cfRule type="containsText" dxfId="2176" priority="159262" operator="containsText" text="NA">
      <formula>NOT(ISERROR(SEARCH("NA",AB54)))</formula>
    </cfRule>
  </conditionalFormatting>
  <conditionalFormatting sqref="AE30:AF32">
    <cfRule type="containsText" dxfId="2175" priority="109636" operator="containsText" text="Pending">
      <formula>NOT(ISERROR(SEARCH("Pending",#REF!)))</formula>
    </cfRule>
    <cfRule type="containsText" dxfId="2174" priority="109637" operator="containsText" text="NA">
      <formula>NOT(ISERROR(SEARCH("NA",#REF!)))</formula>
    </cfRule>
    <cfRule type="containsText" dxfId="2173" priority="109638" operator="containsText" text="NA">
      <formula>NOT(ISERROR(SEARCH("NA",AE30)))</formula>
    </cfRule>
    <cfRule type="containsText" dxfId="2172" priority="109639" operator="containsText" text="Done">
      <formula>NOT(ISERROR(SEARCH("Done",AE30)))</formula>
    </cfRule>
    <cfRule type="containsText" dxfId="2171" priority="109640" operator="containsText" text="NA">
      <formula>NOT(ISERROR(SEARCH("NA",#REF!)))</formula>
    </cfRule>
    <cfRule type="containsText" dxfId="2170" priority="109641" operator="containsText" text="Done">
      <formula>NOT(ISERROR(SEARCH("Done",#REF!)))</formula>
    </cfRule>
    <cfRule type="containsText" dxfId="2169" priority="109643" operator="containsText" text="NA">
      <formula>NOT(ISERROR(SEARCH("NA",#REF!)))</formula>
    </cfRule>
    <cfRule type="containsText" dxfId="2168" priority="109644" operator="containsText" text="NA">
      <formula>NOT(ISERROR(SEARCH("NA",AE30)))</formula>
    </cfRule>
    <cfRule type="containsText" dxfId="2167" priority="109645" operator="containsText" text="Pending">
      <formula>NOT(ISERROR(SEARCH("Pending",AE30)))</formula>
    </cfRule>
    <cfRule type="containsText" dxfId="2166" priority="109646" operator="containsText" text="Done">
      <formula>NOT(ISERROR(SEARCH("Done",AE30)))</formula>
    </cfRule>
    <cfRule type="containsText" dxfId="2165" priority="109647" operator="containsText" text="NA">
      <formula>NOT(ISERROR(SEARCH("NA",#REF!)))</formula>
    </cfRule>
    <cfRule type="containsText" dxfId="2164" priority="109648" operator="containsText" text="Done">
      <formula>NOT(ISERROR(SEARCH("Done",#REF!)))</formula>
    </cfRule>
    <cfRule type="containsText" dxfId="2163" priority="109649" operator="containsText" text="Pending">
      <formula>NOT(ISERROR(SEARCH("Pending",#REF!)))</formula>
    </cfRule>
    <cfRule type="containsText" dxfId="2162" priority="109650" operator="containsText" text="NA">
      <formula>NOT(ISERROR(SEARCH("NA",#REF!)))</formula>
    </cfRule>
    <cfRule type="containsText" dxfId="2161" priority="109651" operator="containsText" text="NA">
      <formula>NOT(ISERROR(SEARCH("NA",AE30)))</formula>
    </cfRule>
    <cfRule type="containsText" dxfId="2160" priority="109652" operator="containsText" text="Done">
      <formula>NOT(ISERROR(SEARCH("Done",AE30)))</formula>
    </cfRule>
    <cfRule type="containsText" dxfId="2159" priority="109653" operator="containsText" text="NA">
      <formula>NOT(ISERROR(SEARCH("NA",#REF!)))</formula>
    </cfRule>
    <cfRule type="containsText" dxfId="2158" priority="109654" operator="containsText" text="Done">
      <formula>NOT(ISERROR(SEARCH("Done",#REF!)))</formula>
    </cfRule>
    <cfRule type="containsText" dxfId="2157" priority="109655" operator="containsText" text="Pending">
      <formula>NOT(ISERROR(SEARCH("Pending",#REF!)))</formula>
    </cfRule>
    <cfRule type="containsText" dxfId="2156" priority="109656" operator="containsText" text="NA">
      <formula>NOT(ISERROR(SEARCH("NA",#REF!)))</formula>
    </cfRule>
    <cfRule type="containsText" dxfId="2155" priority="109642" operator="containsText" text="Pending">
      <formula>NOT(ISERROR(SEARCH("Pending",#REF!)))</formula>
    </cfRule>
    <cfRule type="containsText" dxfId="2154" priority="109627" operator="containsText" text="NA">
      <formula>NOT(ISERROR(SEARCH("NA",#REF!)))</formula>
    </cfRule>
    <cfRule type="containsText" dxfId="2153" priority="109628" operator="containsText" text="Done">
      <formula>NOT(ISERROR(SEARCH("Done",#REF!)))</formula>
    </cfRule>
    <cfRule type="containsText" dxfId="2152" priority="109629" operator="containsText" text="Pending">
      <formula>NOT(ISERROR(SEARCH("Pending",#REF!)))</formula>
    </cfRule>
    <cfRule type="containsText" dxfId="2151" priority="109630" operator="containsText" text="NA">
      <formula>NOT(ISERROR(SEARCH("NA",#REF!)))</formula>
    </cfRule>
    <cfRule type="containsText" dxfId="2150" priority="109631" operator="containsText" text="Done">
      <formula>NOT(ISERROR(SEARCH("Done",#REF!)))</formula>
    </cfRule>
    <cfRule type="containsText" dxfId="2149" priority="109632" operator="containsText" text="Pending">
      <formula>NOT(ISERROR(SEARCH("Pending",#REF!)))</formula>
    </cfRule>
    <cfRule type="containsText" dxfId="2148" priority="109633" operator="containsText" text="NA">
      <formula>NOT(ISERROR(SEARCH("NA",#REF!)))</formula>
    </cfRule>
    <cfRule type="containsText" dxfId="2147" priority="109634" operator="containsText" text="NA">
      <formula>NOT(ISERROR(SEARCH("NA",#REF!)))</formula>
    </cfRule>
    <cfRule type="containsText" dxfId="2146" priority="109635" operator="containsText" text="Done">
      <formula>NOT(ISERROR(SEARCH("Done",#REF!)))</formula>
    </cfRule>
  </conditionalFormatting>
  <conditionalFormatting sqref="AE39:AF39">
    <cfRule type="containsText" dxfId="2145" priority="138935" operator="containsText" text="NA">
      <formula>NOT(ISERROR(SEARCH("NA",#REF!)))</formula>
    </cfRule>
  </conditionalFormatting>
  <conditionalFormatting sqref="AE44:AF44">
    <cfRule type="containsText" dxfId="2144" priority="159549" operator="containsText" text="Done">
      <formula>NOT(ISERROR(SEARCH("Done",AB105)))</formula>
    </cfRule>
    <cfRule type="containsText" dxfId="2143" priority="159548" operator="containsText" text="NA">
      <formula>NOT(ISERROR(SEARCH("NA",AB105)))</formula>
    </cfRule>
    <cfRule type="containsText" dxfId="2142" priority="159550" operator="containsText" text="Pending">
      <formula>NOT(ISERROR(SEARCH("Pending",AB105)))</formula>
    </cfRule>
  </conditionalFormatting>
  <conditionalFormatting sqref="AE83:AF83">
    <cfRule type="containsText" dxfId="2141" priority="3601" operator="containsText" text="Done">
      <formula>NOT(ISERROR(SEARCH("Done",#REF!)))</formula>
    </cfRule>
    <cfRule type="containsText" dxfId="2140" priority="3602" operator="containsText" text="Pending">
      <formula>NOT(ISERROR(SEARCH("Pending",#REF!)))</formula>
    </cfRule>
    <cfRule type="containsText" dxfId="2139" priority="3603" operator="containsText" text="NA">
      <formula>NOT(ISERROR(SEARCH("NA",#REF!)))</formula>
    </cfRule>
    <cfRule type="containsText" dxfId="2138" priority="221" operator="containsText" text="Done">
      <formula>NOT(ISERROR(SEARCH("Done",#REF!)))</formula>
    </cfRule>
    <cfRule type="containsText" dxfId="2137" priority="220" operator="containsText" text="Done">
      <formula>NOT(ISERROR(SEARCH("Done",AE83)))</formula>
    </cfRule>
    <cfRule type="containsText" dxfId="2136" priority="228" operator="containsText" text="NA">
      <formula>NOT(ISERROR(SEARCH("NA",#REF!)))</formula>
    </cfRule>
    <cfRule type="containsText" dxfId="2135" priority="223" operator="containsText" text="NA">
      <formula>NOT(ISERROR(SEARCH("NA",#REF!)))</formula>
    </cfRule>
    <cfRule type="containsText" dxfId="2134" priority="227" operator="containsText" text="Pending">
      <formula>NOT(ISERROR(SEARCH("Pending",#REF!)))</formula>
    </cfRule>
    <cfRule type="containsText" dxfId="2133" priority="3599" operator="containsText" text="NA">
      <formula>NOT(ISERROR(SEARCH("NA",AE83)))</formula>
    </cfRule>
    <cfRule type="containsText" dxfId="2132" priority="3600" operator="containsText" text="Done">
      <formula>NOT(ISERROR(SEARCH("Done",AE83)))</formula>
    </cfRule>
    <cfRule type="containsText" dxfId="2131" priority="226" operator="containsText" text="Done">
      <formula>NOT(ISERROR(SEARCH("Done",#REF!)))</formula>
    </cfRule>
    <cfRule type="containsText" dxfId="2130" priority="225" operator="containsText" text="Done">
      <formula>NOT(ISERROR(SEARCH("Done",AE83)))</formula>
    </cfRule>
    <cfRule type="containsText" dxfId="2129" priority="219" operator="containsText" text="NA">
      <formula>NOT(ISERROR(SEARCH("NA",AE83)))</formula>
    </cfRule>
    <cfRule type="containsText" dxfId="2128" priority="224" operator="containsText" text="NA">
      <formula>NOT(ISERROR(SEARCH("NA",AE83)))</formula>
    </cfRule>
    <cfRule type="containsText" dxfId="2127" priority="222" operator="containsText" text="Pending">
      <formula>NOT(ISERROR(SEARCH("Pending",#REF!)))</formula>
    </cfRule>
  </conditionalFormatting>
  <conditionalFormatting sqref="AE30:AG32">
    <cfRule type="containsText" dxfId="2126" priority="123362" operator="containsText" text="Done">
      <formula>NOT(ISERROR(SEARCH("Done",#REF!)))</formula>
    </cfRule>
  </conditionalFormatting>
  <conditionalFormatting sqref="AE31:AG32 AE29:AF30 AB30:AB32">
    <cfRule type="containsText" dxfId="2125" priority="158678" operator="containsText" text="NA">
      <formula>NOT(ISERROR(SEARCH("NA",Y91)))</formula>
    </cfRule>
  </conditionalFormatting>
  <conditionalFormatting sqref="AE31:AG32 AE30:AF30">
    <cfRule type="containsText" dxfId="2124" priority="159252" operator="containsText" text="NA">
      <formula>NOT(ISERROR(SEARCH("NA",AE30)))</formula>
    </cfRule>
  </conditionalFormatting>
  <conditionalFormatting sqref="AE39:AG40 AC40:AI40 Z41:AG42 V43:AI43 Z44:AD44 AH44:AI44 R46:AG46 N54">
    <cfRule type="containsText" dxfId="2123" priority="147957" operator="containsText" text="NA">
      <formula>NOT(ISERROR(SEARCH("NA",#REF!)))</formula>
    </cfRule>
  </conditionalFormatting>
  <conditionalFormatting sqref="AE39:AG40 AC40:AI40 Z41:AG42 V43:AI43 Z44:AD44 AH44:AI44 R46:AG46">
    <cfRule type="containsText" dxfId="2122" priority="147956" operator="containsText" text="Pending">
      <formula>NOT(ISERROR(SEARCH("Pending",#REF!)))</formula>
    </cfRule>
  </conditionalFormatting>
  <conditionalFormatting sqref="AE48:AG48 AA48:AB48 W48:X48">
    <cfRule type="containsText" dxfId="2121" priority="135682" operator="containsText" text="Done">
      <formula>NOT(ISERROR(SEARCH("Done",T111)))</formula>
    </cfRule>
    <cfRule type="containsText" dxfId="2120" priority="135900" operator="containsText" text="Pending">
      <formula>NOT(ISERROR(SEARCH("Pending",T111)))</formula>
    </cfRule>
    <cfRule type="containsText" dxfId="2119" priority="136118" operator="containsText" text="NA">
      <formula>NOT(ISERROR(SEARCH("NA",T111)))</formula>
    </cfRule>
  </conditionalFormatting>
  <conditionalFormatting sqref="AE58:AG58">
    <cfRule type="containsText" dxfId="2118" priority="119794" operator="containsText" text="NA">
      <formula>NOT(ISERROR(SEARCH("NA",#REF!)))</formula>
    </cfRule>
    <cfRule type="containsText" dxfId="2117" priority="119757" operator="containsText" text="NA">
      <formula>NOT(ISERROR(SEARCH("NA",#REF!)))</formula>
    </cfRule>
    <cfRule type="containsText" dxfId="2116" priority="119758" operator="containsText" text="Done">
      <formula>NOT(ISERROR(SEARCH("Done",#REF!)))</formula>
    </cfRule>
    <cfRule type="containsText" dxfId="2115" priority="119759" operator="containsText" text="Pending">
      <formula>NOT(ISERROR(SEARCH("Pending",#REF!)))</formula>
    </cfRule>
    <cfRule type="containsText" dxfId="2114" priority="119760" operator="containsText" text="Done">
      <formula>NOT(ISERROR(SEARCH("Done",#REF!)))</formula>
    </cfRule>
    <cfRule type="containsText" dxfId="2113" priority="119761" operator="containsText" text="Pending">
      <formula>NOT(ISERROR(SEARCH("Pending",#REF!)))</formula>
    </cfRule>
    <cfRule type="containsText" dxfId="2112" priority="119762" operator="containsText" text="NA">
      <formula>NOT(ISERROR(SEARCH("NA",#REF!)))</formula>
    </cfRule>
    <cfRule type="containsText" dxfId="2111" priority="119763" operator="containsText" text="Done">
      <formula>NOT(ISERROR(SEARCH("Done",#REF!)))</formula>
    </cfRule>
    <cfRule type="containsText" dxfId="2110" priority="119764" operator="containsText" text="Pending">
      <formula>NOT(ISERROR(SEARCH("Pending",#REF!)))</formula>
    </cfRule>
    <cfRule type="containsText" dxfId="2109" priority="119765" operator="containsText" text="NA">
      <formula>NOT(ISERROR(SEARCH("NA",#REF!)))</formula>
    </cfRule>
    <cfRule type="containsText" dxfId="2108" priority="119766" operator="containsText" text="Done">
      <formula>NOT(ISERROR(SEARCH("Done",#REF!)))</formula>
    </cfRule>
    <cfRule type="containsText" dxfId="2107" priority="119767" operator="containsText" text="Pending">
      <formula>NOT(ISERROR(SEARCH("Pending",#REF!)))</formula>
    </cfRule>
    <cfRule type="containsText" dxfId="2106" priority="119769" operator="containsText" text="Pending">
      <formula>NOT(ISERROR(SEARCH("Pending",#REF!)))</formula>
    </cfRule>
    <cfRule type="containsText" dxfId="2105" priority="119756" operator="containsText" text="Pending">
      <formula>NOT(ISERROR(SEARCH("Pending",#REF!)))</formula>
    </cfRule>
    <cfRule type="containsText" dxfId="2104" priority="119770" operator="containsText" text="NA">
      <formula>NOT(ISERROR(SEARCH("NA",#REF!)))</formula>
    </cfRule>
    <cfRule type="containsText" dxfId="2103" priority="119793" operator="containsText" text="Pending">
      <formula>NOT(ISERROR(SEARCH("Pending",#REF!)))</formula>
    </cfRule>
  </conditionalFormatting>
  <conditionalFormatting sqref="AE58:AG59">
    <cfRule type="containsText" dxfId="2102" priority="118996" operator="containsText" text="Done">
      <formula>NOT(ISERROR(SEARCH("Done",#REF!)))</formula>
    </cfRule>
  </conditionalFormatting>
  <conditionalFormatting sqref="AE59:AG59">
    <cfRule type="containsText" dxfId="2101" priority="118986" operator="containsText" text="Done">
      <formula>NOT(ISERROR(SEARCH("Done",#REF!)))</formula>
    </cfRule>
    <cfRule type="containsText" dxfId="2100" priority="118987" operator="containsText" text="Pending">
      <formula>NOT(ISERROR(SEARCH("Pending",#REF!)))</formula>
    </cfRule>
    <cfRule type="containsText" dxfId="2099" priority="118988" operator="containsText" text="Done">
      <formula>NOT(ISERROR(SEARCH("Done",#REF!)))</formula>
    </cfRule>
    <cfRule type="containsText" dxfId="2098" priority="118989" operator="containsText" text="Pending">
      <formula>NOT(ISERROR(SEARCH("Pending",#REF!)))</formula>
    </cfRule>
    <cfRule type="containsText" dxfId="2097" priority="118990" operator="containsText" text="NA">
      <formula>NOT(ISERROR(SEARCH("NA",#REF!)))</formula>
    </cfRule>
    <cfRule type="containsText" dxfId="2096" priority="118991" operator="containsText" text="Done">
      <formula>NOT(ISERROR(SEARCH("Done",#REF!)))</formula>
    </cfRule>
    <cfRule type="containsText" dxfId="2095" priority="118992" operator="containsText" text="Pending">
      <formula>NOT(ISERROR(SEARCH("Pending",#REF!)))</formula>
    </cfRule>
    <cfRule type="containsText" dxfId="2094" priority="118993" operator="containsText" text="NA">
      <formula>NOT(ISERROR(SEARCH("NA",#REF!)))</formula>
    </cfRule>
    <cfRule type="containsText" dxfId="2093" priority="118994" operator="containsText" text="Done">
      <formula>NOT(ISERROR(SEARCH("Done",#REF!)))</formula>
    </cfRule>
    <cfRule type="containsText" dxfId="2092" priority="118995" operator="containsText" text="Pending">
      <formula>NOT(ISERROR(SEARCH("Pending",#REF!)))</formula>
    </cfRule>
    <cfRule type="containsText" dxfId="2091" priority="118998" operator="containsText" text="NA">
      <formula>NOT(ISERROR(SEARCH("NA",#REF!)))</formula>
    </cfRule>
    <cfRule type="containsText" dxfId="2090" priority="118997" operator="containsText" text="Pending">
      <formula>NOT(ISERROR(SEARCH("Pending",#REF!)))</formula>
    </cfRule>
    <cfRule type="containsText" dxfId="2089" priority="118983" operator="containsText" text="Done">
      <formula>NOT(ISERROR(SEARCH("Done",#REF!)))</formula>
    </cfRule>
    <cfRule type="containsText" dxfId="2088" priority="118984" operator="containsText" text="Pending">
      <formula>NOT(ISERROR(SEARCH("Pending",#REF!)))</formula>
    </cfRule>
    <cfRule type="containsText" dxfId="2087" priority="118985" operator="containsText" text="NA">
      <formula>NOT(ISERROR(SEARCH("NA",#REF!)))</formula>
    </cfRule>
  </conditionalFormatting>
  <conditionalFormatting sqref="AE57:AH57 AE58:AE61">
    <cfRule type="containsText" dxfId="2086" priority="119813" operator="containsText" text="Pending">
      <formula>NOT(ISERROR(SEARCH("Pending",#REF!)))</formula>
    </cfRule>
    <cfRule type="containsText" dxfId="2085" priority="119810" operator="containsText" text="Pending">
      <formula>NOT(ISERROR(SEARCH("Pending",#REF!)))</formula>
    </cfRule>
    <cfRule type="containsText" dxfId="2084" priority="119807" operator="containsText" text="Pending">
      <formula>NOT(ISERROR(SEARCH("Pending",#REF!)))</formula>
    </cfRule>
    <cfRule type="containsText" dxfId="2083" priority="119805" operator="containsText" text="Pending">
      <formula>NOT(ISERROR(SEARCH("Pending",#REF!)))</formula>
    </cfRule>
    <cfRule type="containsText" dxfId="2082" priority="119802" operator="containsText" text="Pending">
      <formula>NOT(ISERROR(SEARCH("Pending",#REF!)))</formula>
    </cfRule>
    <cfRule type="containsText" dxfId="2081" priority="119854" operator="containsText" text="Pending">
      <formula>NOT(ISERROR(SEARCH("Pending",#REF!)))</formula>
    </cfRule>
  </conditionalFormatting>
  <conditionalFormatting sqref="AE40:AI40">
    <cfRule type="containsText" dxfId="2080" priority="124559" operator="containsText" text="Done">
      <formula>NOT(ISERROR(SEARCH("Done",#REF!)))</formula>
    </cfRule>
    <cfRule type="containsText" dxfId="2079" priority="124560" operator="containsText" text="Pending">
      <formula>NOT(ISERROR(SEARCH("Pending",#REF!)))</formula>
    </cfRule>
    <cfRule type="containsText" dxfId="2078" priority="124561" operator="containsText" text="Done">
      <formula>NOT(ISERROR(SEARCH("Done",#REF!)))</formula>
    </cfRule>
    <cfRule type="containsText" dxfId="2077" priority="124556" operator="containsText" text="Done">
      <formula>NOT(ISERROR(SEARCH("Done",#REF!)))</formula>
    </cfRule>
    <cfRule type="containsText" dxfId="2076" priority="124557" operator="containsText" text="Pending">
      <formula>NOT(ISERROR(SEARCH("Pending",#REF!)))</formula>
    </cfRule>
    <cfRule type="containsText" dxfId="2075" priority="124558" operator="containsText" text="NA">
      <formula>NOT(ISERROR(SEARCH("NA",#REF!)))</formula>
    </cfRule>
    <cfRule type="containsText" dxfId="2074" priority="124565" operator="containsText" text="Pending">
      <formula>NOT(ISERROR(SEARCH("Pending",#REF!)))</formula>
    </cfRule>
    <cfRule type="containsText" dxfId="2073" priority="124562" operator="containsText" text="Pending">
      <formula>NOT(ISERROR(SEARCH("Pending",#REF!)))</formula>
    </cfRule>
    <cfRule type="containsText" dxfId="2072" priority="124563" operator="containsText" text="NA">
      <formula>NOT(ISERROR(SEARCH("NA",#REF!)))</formula>
    </cfRule>
    <cfRule type="containsText" dxfId="2071" priority="124564" operator="containsText" text="Done">
      <formula>NOT(ISERROR(SEARCH("Done",#REF!)))</formula>
    </cfRule>
    <cfRule type="containsText" dxfId="2070" priority="124566" operator="containsText" text="NA">
      <formula>NOT(ISERROR(SEARCH("NA",#REF!)))</formula>
    </cfRule>
    <cfRule type="containsText" dxfId="2069" priority="124567" operator="containsText" text="Done">
      <formula>NOT(ISERROR(SEARCH("Done",#REF!)))</formula>
    </cfRule>
    <cfRule type="containsText" dxfId="2068" priority="124568" operator="containsText" text="Pending">
      <formula>NOT(ISERROR(SEARCH("Pending",#REF!)))</formula>
    </cfRule>
    <cfRule type="containsText" dxfId="2067" priority="124570" operator="containsText" text="Pending">
      <formula>NOT(ISERROR(SEARCH("Pending",#REF!)))</formula>
    </cfRule>
    <cfRule type="containsText" dxfId="2066" priority="124571" operator="containsText" text="NA">
      <formula>NOT(ISERROR(SEARCH("NA",#REF!)))</formula>
    </cfRule>
  </conditionalFormatting>
  <conditionalFormatting sqref="AE88:AI89">
    <cfRule type="containsText" dxfId="2065" priority="77329" operator="containsText" text="Done">
      <formula>NOT(ISERROR(SEARCH("Done",#REF!)))</formula>
    </cfRule>
  </conditionalFormatting>
  <conditionalFormatting sqref="AF18">
    <cfRule type="containsText" dxfId="2064" priority="135962" operator="containsText" text="NA">
      <formula>NOT(ISERROR(SEARCH("NA",#REF!)))</formula>
    </cfRule>
    <cfRule type="containsText" dxfId="2063" priority="135744" operator="containsText" text="Pending">
      <formula>NOT(ISERROR(SEARCH("Pending",#REF!)))</formula>
    </cfRule>
    <cfRule type="containsText" dxfId="2062" priority="135526" operator="containsText" text="Done">
      <formula>NOT(ISERROR(SEARCH("Done",#REF!)))</formula>
    </cfRule>
  </conditionalFormatting>
  <conditionalFormatting sqref="AF20">
    <cfRule type="containsText" dxfId="2061" priority="135997" operator="containsText" text="NA">
      <formula>NOT(ISERROR(SEARCH("NA",#REF!)))</formula>
    </cfRule>
  </conditionalFormatting>
  <conditionalFormatting sqref="AF20:AF22">
    <cfRule type="containsText" dxfId="2060" priority="135779" operator="containsText" text="Pending">
      <formula>NOT(ISERROR(SEARCH("Pending",#REF!)))</formula>
    </cfRule>
  </conditionalFormatting>
  <conditionalFormatting sqref="AF21">
    <cfRule type="containsText" dxfId="2059" priority="135998" operator="containsText" text="NA">
      <formula>NOT(ISERROR(SEARCH("NA",#REF!)))</formula>
    </cfRule>
  </conditionalFormatting>
  <conditionalFormatting sqref="AF22">
    <cfRule type="containsText" dxfId="2058" priority="136017" operator="containsText" text="NA">
      <formula>NOT(ISERROR(SEARCH("NA",#REF!)))</formula>
    </cfRule>
  </conditionalFormatting>
  <conditionalFormatting sqref="AF29">
    <cfRule type="containsText" dxfId="2057" priority="109695" operator="containsText" text="Done">
      <formula>NOT(ISERROR(SEARCH("Done",#REF!)))</formula>
    </cfRule>
    <cfRule type="containsText" dxfId="2056" priority="109276" operator="containsText" text="NA">
      <formula>NOT(ISERROR(SEARCH("NA",#REF!)))</formula>
    </cfRule>
    <cfRule type="containsText" dxfId="2055" priority="109279" operator="containsText" text="NA">
      <formula>NOT(ISERROR(SEARCH("NA",#REF!)))</formula>
    </cfRule>
    <cfRule type="containsText" dxfId="2054" priority="109696" operator="containsText" text="Pending">
      <formula>NOT(ISERROR(SEARCH("Pending",#REF!)))</formula>
    </cfRule>
    <cfRule type="containsText" dxfId="2053" priority="109697" operator="containsText" text="NA">
      <formula>NOT(ISERROR(SEARCH("NA",#REF!)))</formula>
    </cfRule>
    <cfRule type="containsText" dxfId="2052" priority="109274" operator="containsText" text="Done">
      <formula>NOT(ISERROR(SEARCH("Done",#REF!)))</formula>
    </cfRule>
    <cfRule type="containsText" dxfId="2051" priority="109273" operator="containsText" text="NA">
      <formula>NOT(ISERROR(SEARCH("NA",#REF!)))</formula>
    </cfRule>
    <cfRule type="containsText" dxfId="2050" priority="109283" operator="containsText" text="NA">
      <formula>NOT(ISERROR(SEARCH("NA",#REF!)))</formula>
    </cfRule>
    <cfRule type="containsText" dxfId="2049" priority="109282" operator="containsText" text="Pending">
      <formula>NOT(ISERROR(SEARCH("Pending",#REF!)))</formula>
    </cfRule>
    <cfRule type="containsText" dxfId="2048" priority="109281" operator="containsText" text="Done">
      <formula>NOT(ISERROR(SEARCH("Done",#REF!)))</formula>
    </cfRule>
    <cfRule type="containsText" dxfId="2047" priority="109280" operator="containsText" text="NA">
      <formula>NOT(ISERROR(SEARCH("NA",#REF!)))</formula>
    </cfRule>
    <cfRule type="containsText" dxfId="2046" priority="109278" operator="containsText" text="Pending">
      <formula>NOT(ISERROR(SEARCH("Pending",#REF!)))</formula>
    </cfRule>
    <cfRule type="containsText" dxfId="2045" priority="109277" operator="containsText" text="Done">
      <formula>NOT(ISERROR(SEARCH("Done",#REF!)))</formula>
    </cfRule>
    <cfRule type="containsText" dxfId="2044" priority="109275" operator="containsText" text="Pending">
      <formula>NOT(ISERROR(SEARCH("Pending",#REF!)))</formula>
    </cfRule>
    <cfRule type="containsText" dxfId="2043" priority="109694" operator="containsText" text="NA">
      <formula>NOT(ISERROR(SEARCH("NA",#REF!)))</formula>
    </cfRule>
  </conditionalFormatting>
  <conditionalFormatting sqref="AF29:AF32">
    <cfRule type="containsText" dxfId="2042" priority="123399" operator="containsText" text="Pending">
      <formula>NOT(ISERROR(SEARCH("Pending",#REF!)))</formula>
    </cfRule>
    <cfRule type="containsText" dxfId="2041" priority="123398" operator="containsText" text="Done">
      <formula>NOT(ISERROR(SEARCH("Done",#REF!)))</formula>
    </cfRule>
    <cfRule type="containsText" dxfId="2040" priority="123397" operator="containsText" text="NA">
      <formula>NOT(ISERROR(SEARCH("NA",#REF!)))</formula>
    </cfRule>
    <cfRule type="containsText" dxfId="2039" priority="123400" operator="containsText" text="NA">
      <formula>NOT(ISERROR(SEARCH("NA",#REF!)))</formula>
    </cfRule>
    <cfRule type="containsText" dxfId="2038" priority="123396" operator="containsText" text="Done">
      <formula>NOT(ISERROR(SEARCH("Done",AF29)))</formula>
    </cfRule>
    <cfRule type="containsText" dxfId="2037" priority="123395" operator="containsText" text="NA">
      <formula>NOT(ISERROR(SEARCH("NA",AF29)))</formula>
    </cfRule>
    <cfRule type="containsText" dxfId="2036" priority="124337" operator="containsText" text="Pending">
      <formula>NOT(ISERROR(SEARCH("Pending",#REF!)))</formula>
    </cfRule>
    <cfRule type="containsText" dxfId="2035" priority="124336" operator="containsText" text="Done">
      <formula>NOT(ISERROR(SEARCH("Done",#REF!)))</formula>
    </cfRule>
    <cfRule type="containsText" dxfId="2034" priority="124338" operator="containsText" text="NA">
      <formula>NOT(ISERROR(SEARCH("NA",#REF!)))</formula>
    </cfRule>
    <cfRule type="containsText" dxfId="2033" priority="124335" operator="containsText" text="NA">
      <formula>NOT(ISERROR(SEARCH("NA",#REF!)))</formula>
    </cfRule>
  </conditionalFormatting>
  <conditionalFormatting sqref="AF30">
    <cfRule type="containsText" dxfId="2032" priority="2762" operator="containsText" text="NA">
      <formula>NOT(ISERROR(SEARCH("NA",#REF!)))</formula>
    </cfRule>
    <cfRule type="containsText" dxfId="2031" priority="2761" operator="containsText" text="Pending">
      <formula>NOT(ISERROR(SEARCH("Pending",#REF!)))</formula>
    </cfRule>
    <cfRule type="containsText" dxfId="2030" priority="2760" operator="containsText" text="Done">
      <formula>NOT(ISERROR(SEARCH("Done",#REF!)))</formula>
    </cfRule>
    <cfRule type="containsText" dxfId="2029" priority="2759" operator="containsText" text="NA">
      <formula>NOT(ISERROR(SEARCH("NA",#REF!)))</formula>
    </cfRule>
    <cfRule type="containsText" dxfId="2028" priority="2758" operator="containsText" text="NA">
      <formula>NOT(ISERROR(SEARCH("NA",#REF!)))</formula>
    </cfRule>
    <cfRule type="containsText" dxfId="2027" priority="2757" operator="containsText" text="Pending">
      <formula>NOT(ISERROR(SEARCH("Pending",#REF!)))</formula>
    </cfRule>
    <cfRule type="containsText" dxfId="2026" priority="2756" operator="containsText" text="Done">
      <formula>NOT(ISERROR(SEARCH("Done",#REF!)))</formula>
    </cfRule>
    <cfRule type="containsText" dxfId="2025" priority="2755" operator="containsText" text="NA">
      <formula>NOT(ISERROR(SEARCH("NA",#REF!)))</formula>
    </cfRule>
    <cfRule type="containsText" dxfId="2024" priority="2754" operator="containsText" text="NA">
      <formula>NOT(ISERROR(SEARCH("NA",#REF!)))</formula>
    </cfRule>
    <cfRule type="containsText" dxfId="2023" priority="2753" operator="containsText" text="Pending">
      <formula>NOT(ISERROR(SEARCH("Pending",#REF!)))</formula>
    </cfRule>
    <cfRule type="containsText" dxfId="2022" priority="2752" operator="containsText" text="Done">
      <formula>NOT(ISERROR(SEARCH("Done",#REF!)))</formula>
    </cfRule>
    <cfRule type="containsText" dxfId="2021" priority="2751" operator="containsText" text="NA">
      <formula>NOT(ISERROR(SEARCH("NA",#REF!)))</formula>
    </cfRule>
    <cfRule type="containsText" dxfId="2020" priority="2750" operator="containsText" text="Pending">
      <formula>NOT(ISERROR(SEARCH("Pending",#REF!)))</formula>
    </cfRule>
    <cfRule type="containsText" dxfId="2019" priority="2749" operator="containsText" text="Done">
      <formula>NOT(ISERROR(SEARCH("Done",#REF!)))</formula>
    </cfRule>
    <cfRule type="containsText" dxfId="2018" priority="2748" operator="containsText" text="NA">
      <formula>NOT(ISERROR(SEARCH("NA",#REF!)))</formula>
    </cfRule>
    <cfRule type="containsText" dxfId="2017" priority="2747" operator="containsText" text="NA">
      <formula>NOT(ISERROR(SEARCH("NA",#REF!)))</formula>
    </cfRule>
    <cfRule type="containsText" dxfId="2016" priority="2746" operator="containsText" text="Pending">
      <formula>NOT(ISERROR(SEARCH("Pending",#REF!)))</formula>
    </cfRule>
    <cfRule type="containsText" dxfId="2015" priority="2745" operator="containsText" text="Done">
      <formula>NOT(ISERROR(SEARCH("Done",#REF!)))</formula>
    </cfRule>
    <cfRule type="containsText" dxfId="2014" priority="2744" operator="containsText" text="NA">
      <formula>NOT(ISERROR(SEARCH("NA",#REF!)))</formula>
    </cfRule>
    <cfRule type="containsText" dxfId="2013" priority="2743" operator="containsText" text="NA">
      <formula>NOT(ISERROR(SEARCH("NA",#REF!)))</formula>
    </cfRule>
    <cfRule type="containsText" dxfId="2012" priority="2742" operator="containsText" text="Pending">
      <formula>NOT(ISERROR(SEARCH("Pending",#REF!)))</formula>
    </cfRule>
    <cfRule type="containsText" dxfId="2011" priority="2741" operator="containsText" text="Done">
      <formula>NOT(ISERROR(SEARCH("Done",#REF!)))</formula>
    </cfRule>
    <cfRule type="containsText" dxfId="2010" priority="2740" operator="containsText" text="NA">
      <formula>NOT(ISERROR(SEARCH("NA",#REF!)))</formula>
    </cfRule>
    <cfRule type="containsText" dxfId="2009" priority="2739" operator="containsText" text="NA">
      <formula>NOT(ISERROR(SEARCH("NA",#REF!)))</formula>
    </cfRule>
    <cfRule type="containsText" dxfId="2008" priority="2738" operator="containsText" text="Pending">
      <formula>NOT(ISERROR(SEARCH("Pending",#REF!)))</formula>
    </cfRule>
    <cfRule type="containsText" dxfId="2007" priority="2737" operator="containsText" text="Done">
      <formula>NOT(ISERROR(SEARCH("Done",#REF!)))</formula>
    </cfRule>
    <cfRule type="containsText" dxfId="2006" priority="2736" operator="containsText" text="NA">
      <formula>NOT(ISERROR(SEARCH("NA",#REF!)))</formula>
    </cfRule>
    <cfRule type="containsText" dxfId="2005" priority="2735" operator="containsText" text="NA">
      <formula>NOT(ISERROR(SEARCH("NA",#REF!)))</formula>
    </cfRule>
    <cfRule type="containsText" dxfId="2004" priority="2734" operator="containsText" text="Pending">
      <formula>NOT(ISERROR(SEARCH("Pending",#REF!)))</formula>
    </cfRule>
    <cfRule type="containsText" dxfId="2003" priority="2733" operator="containsText" text="Done">
      <formula>NOT(ISERROR(SEARCH("Done",#REF!)))</formula>
    </cfRule>
    <cfRule type="containsText" dxfId="2002" priority="2732" operator="containsText" text="NA">
      <formula>NOT(ISERROR(SEARCH("NA",#REF!)))</formula>
    </cfRule>
    <cfRule type="containsText" dxfId="2001" priority="2731" operator="containsText" text="NA">
      <formula>NOT(ISERROR(SEARCH("NA",#REF!)))</formula>
    </cfRule>
    <cfRule type="containsText" dxfId="2000" priority="2730" operator="containsText" text="Pending">
      <formula>NOT(ISERROR(SEARCH("Pending",#REF!)))</formula>
    </cfRule>
    <cfRule type="containsText" dxfId="1999" priority="2729" operator="containsText" text="Done">
      <formula>NOT(ISERROR(SEARCH("Done",#REF!)))</formula>
    </cfRule>
    <cfRule type="containsText" dxfId="1998" priority="2728" operator="containsText" text="NA">
      <formula>NOT(ISERROR(SEARCH("NA",#REF!)))</formula>
    </cfRule>
    <cfRule type="containsText" dxfId="1997" priority="2727" operator="containsText" text="Pending">
      <formula>NOT(ISERROR(SEARCH("Pending",#REF!)))</formula>
    </cfRule>
    <cfRule type="containsText" dxfId="1996" priority="2726" operator="containsText" text="Done">
      <formula>NOT(ISERROR(SEARCH("Done",#REF!)))</formula>
    </cfRule>
    <cfRule type="containsText" dxfId="1995" priority="2725" operator="containsText" text="NA">
      <formula>NOT(ISERROR(SEARCH("NA",#REF!)))</formula>
    </cfRule>
    <cfRule type="containsText" dxfId="1994" priority="2724" operator="containsText" text="NA">
      <formula>NOT(ISERROR(SEARCH("NA",#REF!)))</formula>
    </cfRule>
    <cfRule type="containsText" dxfId="1993" priority="2723" operator="containsText" text="Pending">
      <formula>NOT(ISERROR(SEARCH("Pending",#REF!)))</formula>
    </cfRule>
    <cfRule type="containsText" dxfId="1992" priority="2722" operator="containsText" text="Done">
      <formula>NOT(ISERROR(SEARCH("Done",#REF!)))</formula>
    </cfRule>
    <cfRule type="containsText" dxfId="1991" priority="2721" operator="containsText" text="NA">
      <formula>NOT(ISERROR(SEARCH("NA",#REF!)))</formula>
    </cfRule>
    <cfRule type="containsText" dxfId="1990" priority="2720" operator="containsText" text="NA">
      <formula>NOT(ISERROR(SEARCH("NA",#REF!)))</formula>
    </cfRule>
    <cfRule type="containsText" dxfId="1989" priority="2719" operator="containsText" text="Pending">
      <formula>NOT(ISERROR(SEARCH("Pending",#REF!)))</formula>
    </cfRule>
    <cfRule type="containsText" dxfId="1988" priority="2718" operator="containsText" text="Done">
      <formula>NOT(ISERROR(SEARCH("Done",#REF!)))</formula>
    </cfRule>
    <cfRule type="containsText" dxfId="1987" priority="2717" operator="containsText" text="NA">
      <formula>NOT(ISERROR(SEARCH("NA",#REF!)))</formula>
    </cfRule>
    <cfRule type="containsText" dxfId="1986" priority="4322" operator="containsText" text="Done">
      <formula>NOT(ISERROR(SEARCH("Done",#REF!)))</formula>
    </cfRule>
    <cfRule type="containsText" dxfId="1985" priority="4323" operator="containsText" text="Pending">
      <formula>NOT(ISERROR(SEARCH("Pending",#REF!)))</formula>
    </cfRule>
    <cfRule type="containsText" dxfId="1984" priority="4324" operator="containsText" text="NA">
      <formula>NOT(ISERROR(SEARCH("NA",#REF!)))</formula>
    </cfRule>
    <cfRule type="containsText" dxfId="1983" priority="4325" operator="containsText" text="NA">
      <formula>NOT(ISERROR(SEARCH("NA",#REF!)))</formula>
    </cfRule>
    <cfRule type="containsText" dxfId="1982" priority="4335" operator="containsText" text="NA">
      <formula>NOT(ISERROR(SEARCH("NA",#REF!)))</formula>
    </cfRule>
    <cfRule type="containsText" dxfId="1981" priority="4334" operator="containsText" text="Pending">
      <formula>NOT(ISERROR(SEARCH("Pending",#REF!)))</formula>
    </cfRule>
    <cfRule type="containsText" dxfId="1980" priority="4333" operator="containsText" text="Done">
      <formula>NOT(ISERROR(SEARCH("Done",#REF!)))</formula>
    </cfRule>
    <cfRule type="containsText" dxfId="1979" priority="4332" operator="containsText" text="NA">
      <formula>NOT(ISERROR(SEARCH("NA",#REF!)))</formula>
    </cfRule>
    <cfRule type="containsText" dxfId="1978" priority="4331" operator="containsText" text="NA">
      <formula>NOT(ISERROR(SEARCH("NA",#REF!)))</formula>
    </cfRule>
    <cfRule type="containsText" dxfId="1977" priority="4330" operator="containsText" text="Pending">
      <formula>NOT(ISERROR(SEARCH("Pending",#REF!)))</formula>
    </cfRule>
    <cfRule type="containsText" dxfId="1976" priority="4329" operator="containsText" text="Done">
      <formula>NOT(ISERROR(SEARCH("Done",#REF!)))</formula>
    </cfRule>
    <cfRule type="containsText" dxfId="1975" priority="4328" operator="containsText" text="NA">
      <formula>NOT(ISERROR(SEARCH("NA",#REF!)))</formula>
    </cfRule>
    <cfRule type="containsText" dxfId="1974" priority="4327" operator="containsText" text="Pending">
      <formula>NOT(ISERROR(SEARCH("Pending",#REF!)))</formula>
    </cfRule>
    <cfRule type="containsText" dxfId="1973" priority="4326" operator="containsText" text="Done">
      <formula>NOT(ISERROR(SEARCH("Done",#REF!)))</formula>
    </cfRule>
    <cfRule type="containsText" dxfId="1972" priority="75834" operator="containsText" text="NA">
      <formula>NOT(ISERROR(SEARCH("NA",#REF!)))</formula>
    </cfRule>
    <cfRule type="containsText" dxfId="1971" priority="75835" operator="containsText" text="Done">
      <formula>NOT(ISERROR(SEARCH("Done",#REF!)))</formula>
    </cfRule>
    <cfRule type="containsText" dxfId="1970" priority="75836" operator="containsText" text="Pending">
      <formula>NOT(ISERROR(SEARCH("Pending",#REF!)))</formula>
    </cfRule>
    <cfRule type="containsText" dxfId="1969" priority="75837" operator="containsText" text="NA">
      <formula>NOT(ISERROR(SEARCH("NA",#REF!)))</formula>
    </cfRule>
    <cfRule type="containsText" dxfId="1968" priority="75838" operator="containsText" text="NA">
      <formula>NOT(ISERROR(SEARCH("NA",#REF!)))</formula>
    </cfRule>
    <cfRule type="containsText" dxfId="1967" priority="75840" operator="containsText" text="Pending">
      <formula>NOT(ISERROR(SEARCH("Pending",#REF!)))</formula>
    </cfRule>
    <cfRule type="containsText" dxfId="1966" priority="75841" operator="containsText" text="NA">
      <formula>NOT(ISERROR(SEARCH("NA",#REF!)))</formula>
    </cfRule>
    <cfRule type="containsText" dxfId="1965" priority="75842" operator="containsText" text="NA">
      <formula>NOT(ISERROR(SEARCH("NA",#REF!)))</formula>
    </cfRule>
    <cfRule type="containsText" dxfId="1964" priority="75843" operator="containsText" text="Done">
      <formula>NOT(ISERROR(SEARCH("Done",#REF!)))</formula>
    </cfRule>
    <cfRule type="containsText" dxfId="1963" priority="75844" operator="containsText" text="Pending">
      <formula>NOT(ISERROR(SEARCH("Pending",#REF!)))</formula>
    </cfRule>
    <cfRule type="containsText" dxfId="1962" priority="75845" operator="containsText" text="NA">
      <formula>NOT(ISERROR(SEARCH("NA",#REF!)))</formula>
    </cfRule>
    <cfRule type="containsText" dxfId="1961" priority="75846" operator="containsText" text="Done">
      <formula>NOT(ISERROR(SEARCH("Done",#REF!)))</formula>
    </cfRule>
    <cfRule type="containsText" dxfId="1960" priority="75847" operator="containsText" text="Pending">
      <formula>NOT(ISERROR(SEARCH("Pending",#REF!)))</formula>
    </cfRule>
    <cfRule type="containsText" dxfId="1959" priority="75848" operator="containsText" text="NA">
      <formula>NOT(ISERROR(SEARCH("NA",#REF!)))</formula>
    </cfRule>
    <cfRule type="containsText" dxfId="1958" priority="75849" operator="containsText" text="NA">
      <formula>NOT(ISERROR(SEARCH("NA",#REF!)))</formula>
    </cfRule>
    <cfRule type="containsText" dxfId="1957" priority="75850" operator="containsText" text="Done">
      <formula>NOT(ISERROR(SEARCH("Done",#REF!)))</formula>
    </cfRule>
    <cfRule type="containsText" dxfId="1956" priority="75851" operator="containsText" text="Pending">
      <formula>NOT(ISERROR(SEARCH("Pending",#REF!)))</formula>
    </cfRule>
    <cfRule type="containsText" dxfId="1955" priority="75852" operator="containsText" text="NA">
      <formula>NOT(ISERROR(SEARCH("NA",#REF!)))</formula>
    </cfRule>
    <cfRule type="containsText" dxfId="1954" priority="75853" operator="containsText" text="NA">
      <formula>NOT(ISERROR(SEARCH("NA",#REF!)))</formula>
    </cfRule>
    <cfRule type="containsText" dxfId="1953" priority="75854" operator="containsText" text="Done">
      <formula>NOT(ISERROR(SEARCH("Done",#REF!)))</formula>
    </cfRule>
    <cfRule type="containsText" dxfId="1952" priority="75855" operator="containsText" text="Pending">
      <formula>NOT(ISERROR(SEARCH("Pending",#REF!)))</formula>
    </cfRule>
    <cfRule type="containsText" dxfId="1951" priority="75856" operator="containsText" text="NA">
      <formula>NOT(ISERROR(SEARCH("NA",#REF!)))</formula>
    </cfRule>
    <cfRule type="containsText" dxfId="1950" priority="75857" operator="containsText" text="NA">
      <formula>NOT(ISERROR(SEARCH("NA",#REF!)))</formula>
    </cfRule>
    <cfRule type="containsText" dxfId="1949" priority="75858" operator="containsText" text="Done">
      <formula>NOT(ISERROR(SEARCH("Done",#REF!)))</formula>
    </cfRule>
    <cfRule type="containsText" dxfId="1948" priority="75859" operator="containsText" text="Pending">
      <formula>NOT(ISERROR(SEARCH("Pending",#REF!)))</formula>
    </cfRule>
    <cfRule type="containsText" dxfId="1947" priority="75860" operator="containsText" text="NA">
      <formula>NOT(ISERROR(SEARCH("NA",#REF!)))</formula>
    </cfRule>
    <cfRule type="containsText" dxfId="1946" priority="75861" operator="containsText" text="Done">
      <formula>NOT(ISERROR(SEARCH("Done",#REF!)))</formula>
    </cfRule>
    <cfRule type="containsText" dxfId="1945" priority="75862" operator="containsText" text="Pending">
      <formula>NOT(ISERROR(SEARCH("Pending",#REF!)))</formula>
    </cfRule>
    <cfRule type="containsText" dxfId="1944" priority="75863" operator="containsText" text="NA">
      <formula>NOT(ISERROR(SEARCH("NA",#REF!)))</formula>
    </cfRule>
    <cfRule type="containsText" dxfId="1943" priority="75864" operator="containsText" text="NA">
      <formula>NOT(ISERROR(SEARCH("NA",#REF!)))</formula>
    </cfRule>
    <cfRule type="containsText" dxfId="1942" priority="75865" operator="containsText" text="Done">
      <formula>NOT(ISERROR(SEARCH("Done",#REF!)))</formula>
    </cfRule>
    <cfRule type="containsText" dxfId="1941" priority="75866" operator="containsText" text="Pending">
      <formula>NOT(ISERROR(SEARCH("Pending",#REF!)))</formula>
    </cfRule>
    <cfRule type="containsText" dxfId="1940" priority="75867" operator="containsText" text="NA">
      <formula>NOT(ISERROR(SEARCH("NA",#REF!)))</formula>
    </cfRule>
    <cfRule type="containsText" dxfId="1939" priority="75868" operator="containsText" text="Done">
      <formula>NOT(ISERROR(SEARCH("Done",#REF!)))</formula>
    </cfRule>
    <cfRule type="containsText" dxfId="1938" priority="75869" operator="containsText" text="NA">
      <formula>NOT(ISERROR(SEARCH("NA",AF30)))</formula>
    </cfRule>
    <cfRule type="containsText" dxfId="1937" priority="75870" operator="containsText" text="Pending">
      <formula>NOT(ISERROR(SEARCH("Pending",AF30)))</formula>
    </cfRule>
    <cfRule type="containsText" dxfId="1936" priority="75871" operator="containsText" text="Done">
      <formula>NOT(ISERROR(SEARCH("Done",AF30)))</formula>
    </cfRule>
    <cfRule type="containsText" dxfId="1935" priority="75872" operator="containsText" text="NA">
      <formula>NOT(ISERROR(SEARCH("NA",#REF!)))</formula>
    </cfRule>
    <cfRule type="containsText" dxfId="1934" priority="75873" operator="containsText" text="Done">
      <formula>NOT(ISERROR(SEARCH("Done",#REF!)))</formula>
    </cfRule>
    <cfRule type="containsText" dxfId="1933" priority="75874" operator="containsText" text="Pending">
      <formula>NOT(ISERROR(SEARCH("Pending",#REF!)))</formula>
    </cfRule>
    <cfRule type="containsText" dxfId="1932" priority="75875" operator="containsText" text="NA">
      <formula>NOT(ISERROR(SEARCH("NA",#REF!)))</formula>
    </cfRule>
    <cfRule type="containsText" dxfId="1931" priority="75876" operator="containsText" text="Pending">
      <formula>NOT(ISERROR(SEARCH("Pending",#REF!)))</formula>
    </cfRule>
    <cfRule type="containsText" dxfId="1930" priority="75877" operator="containsText" text="NA">
      <formula>NOT(ISERROR(SEARCH("NA",#REF!)))</formula>
    </cfRule>
    <cfRule type="containsText" dxfId="1929" priority="75878" operator="containsText" text="NA">
      <formula>NOT(ISERROR(SEARCH("NA",#REF!)))</formula>
    </cfRule>
    <cfRule type="containsText" dxfId="1928" priority="75879" operator="containsText" text="Done">
      <formula>NOT(ISERROR(SEARCH("Done",#REF!)))</formula>
    </cfRule>
    <cfRule type="containsText" dxfId="1927" priority="75880" operator="containsText" text="Pending">
      <formula>NOT(ISERROR(SEARCH("Pending",#REF!)))</formula>
    </cfRule>
    <cfRule type="containsText" dxfId="1926" priority="75881" operator="containsText" text="NA">
      <formula>NOT(ISERROR(SEARCH("NA",#REF!)))</formula>
    </cfRule>
    <cfRule type="containsText" dxfId="1925" priority="75882" operator="containsText" text="NA">
      <formula>NOT(ISERROR(SEARCH("NA",AF30)))</formula>
    </cfRule>
    <cfRule type="containsText" dxfId="1924" priority="75883" operator="containsText" text="Done">
      <formula>NOT(ISERROR(SEARCH("Done",AF30)))</formula>
    </cfRule>
    <cfRule type="containsText" dxfId="1923" priority="75884" operator="containsText" text="NA">
      <formula>NOT(ISERROR(SEARCH("NA",#REF!)))</formula>
    </cfRule>
    <cfRule type="containsText" dxfId="1922" priority="75885" operator="containsText" text="Done">
      <formula>NOT(ISERROR(SEARCH("Done",#REF!)))</formula>
    </cfRule>
    <cfRule type="containsText" dxfId="1921" priority="75886" operator="containsText" text="Pending">
      <formula>NOT(ISERROR(SEARCH("Pending",#REF!)))</formula>
    </cfRule>
    <cfRule type="containsText" dxfId="1920" priority="75887" operator="containsText" text="NA">
      <formula>NOT(ISERROR(SEARCH("NA",#REF!)))</formula>
    </cfRule>
    <cfRule type="containsText" dxfId="1919" priority="75888" operator="containsText" text="NA">
      <formula>NOT(ISERROR(SEARCH("NA",AF30)))</formula>
    </cfRule>
    <cfRule type="containsText" dxfId="1918" priority="75889" operator="containsText" text="Pending">
      <formula>NOT(ISERROR(SEARCH("Pending",AF30)))</formula>
    </cfRule>
    <cfRule type="containsText" dxfId="1917" priority="75890" operator="containsText" text="Done">
      <formula>NOT(ISERROR(SEARCH("Done",AF30)))</formula>
    </cfRule>
    <cfRule type="containsText" dxfId="1916" priority="75891" operator="containsText" text="NA">
      <formula>NOT(ISERROR(SEARCH("NA",#REF!)))</formula>
    </cfRule>
    <cfRule type="containsText" dxfId="1915" priority="75892" operator="containsText" text="Done">
      <formula>NOT(ISERROR(SEARCH("Done",#REF!)))</formula>
    </cfRule>
    <cfRule type="containsText" dxfId="1914" priority="75893" operator="containsText" text="Pending">
      <formula>NOT(ISERROR(SEARCH("Pending",#REF!)))</formula>
    </cfRule>
    <cfRule type="containsText" dxfId="1913" priority="75894" operator="containsText" text="NA">
      <formula>NOT(ISERROR(SEARCH("NA",#REF!)))</formula>
    </cfRule>
    <cfRule type="containsText" dxfId="1912" priority="75895" operator="containsText" text="NA">
      <formula>NOT(ISERROR(SEARCH("NA",#REF!)))</formula>
    </cfRule>
    <cfRule type="containsText" dxfId="1911" priority="75896" operator="containsText" text="Done">
      <formula>NOT(ISERROR(SEARCH("Done",#REF!)))</formula>
    </cfRule>
    <cfRule type="containsText" dxfId="1910" priority="75897" operator="containsText" text="Pending">
      <formula>NOT(ISERROR(SEARCH("Pending",#REF!)))</formula>
    </cfRule>
    <cfRule type="containsText" dxfId="1909" priority="75898" operator="containsText" text="NA">
      <formula>NOT(ISERROR(SEARCH("NA",#REF!)))</formula>
    </cfRule>
    <cfRule type="containsText" dxfId="1908" priority="75899" operator="containsText" text="NA">
      <formula>NOT(ISERROR(SEARCH("NA",AF30)))</formula>
    </cfRule>
    <cfRule type="containsText" dxfId="1907" priority="75900" operator="containsText" text="Pending">
      <formula>NOT(ISERROR(SEARCH("Pending",AF30)))</formula>
    </cfRule>
    <cfRule type="containsText" dxfId="1906" priority="75901" operator="containsText" text="Done">
      <formula>NOT(ISERROR(SEARCH("Done",AF30)))</formula>
    </cfRule>
    <cfRule type="containsText" dxfId="1905" priority="75902" operator="containsText" text="NA">
      <formula>NOT(ISERROR(SEARCH("NA",#REF!)))</formula>
    </cfRule>
    <cfRule type="containsText" dxfId="1904" priority="75903" operator="containsText" text="Done">
      <formula>NOT(ISERROR(SEARCH("Done",#REF!)))</formula>
    </cfRule>
    <cfRule type="containsText" dxfId="1903" priority="75904" operator="containsText" text="Pending">
      <formula>NOT(ISERROR(SEARCH("Pending",#REF!)))</formula>
    </cfRule>
    <cfRule type="containsText" dxfId="1902" priority="75905" operator="containsText" text="NA">
      <formula>NOT(ISERROR(SEARCH("NA",#REF!)))</formula>
    </cfRule>
    <cfRule type="containsText" dxfId="1901" priority="75906" operator="containsText" text="NA">
      <formula>NOT(ISERROR(SEARCH("NA",#REF!)))</formula>
    </cfRule>
    <cfRule type="containsText" dxfId="1900" priority="75907" operator="containsText" text="Done">
      <formula>NOT(ISERROR(SEARCH("Done",#REF!)))</formula>
    </cfRule>
    <cfRule type="containsText" dxfId="1899" priority="75908" operator="containsText" text="Pending">
      <formula>NOT(ISERROR(SEARCH("Pending",#REF!)))</formula>
    </cfRule>
    <cfRule type="containsText" dxfId="1898" priority="75909" operator="containsText" text="NA">
      <formula>NOT(ISERROR(SEARCH("NA",#REF!)))</formula>
    </cfRule>
    <cfRule type="containsText" dxfId="1897" priority="75910" operator="containsText" text="NA">
      <formula>NOT(ISERROR(SEARCH("NA",#REF!)))</formula>
    </cfRule>
    <cfRule type="containsText" dxfId="1896" priority="75911" operator="containsText" text="Done">
      <formula>NOT(ISERROR(SEARCH("Done",#REF!)))</formula>
    </cfRule>
    <cfRule type="containsText" dxfId="1895" priority="75912" operator="containsText" text="Pending">
      <formula>NOT(ISERROR(SEARCH("Pending",#REF!)))</formula>
    </cfRule>
    <cfRule type="containsText" dxfId="1894" priority="75913" operator="containsText" text="NA">
      <formula>NOT(ISERROR(SEARCH("NA",#REF!)))</formula>
    </cfRule>
    <cfRule type="containsText" dxfId="1893" priority="75914" operator="containsText" text="NA">
      <formula>NOT(ISERROR(SEARCH("NA",#REF!)))</formula>
    </cfRule>
    <cfRule type="containsText" dxfId="1892" priority="75915" operator="containsText" text="Done">
      <formula>NOT(ISERROR(SEARCH("Done",#REF!)))</formula>
    </cfRule>
    <cfRule type="containsText" dxfId="1891" priority="75916" operator="containsText" text="Pending">
      <formula>NOT(ISERROR(SEARCH("Pending",#REF!)))</formula>
    </cfRule>
    <cfRule type="containsText" dxfId="1890" priority="75917" operator="containsText" text="NA">
      <formula>NOT(ISERROR(SEARCH("NA",#REF!)))</formula>
    </cfRule>
    <cfRule type="containsText" dxfId="1889" priority="75918" operator="containsText" text="NA">
      <formula>NOT(ISERROR(SEARCH("NA",#REF!)))</formula>
    </cfRule>
    <cfRule type="containsText" dxfId="1888" priority="75919" operator="containsText" text="Done">
      <formula>NOT(ISERROR(SEARCH("Done",#REF!)))</formula>
    </cfRule>
    <cfRule type="containsText" dxfId="1887" priority="75920" operator="containsText" text="Pending">
      <formula>NOT(ISERROR(SEARCH("Pending",#REF!)))</formula>
    </cfRule>
    <cfRule type="containsText" dxfId="1886" priority="75921" operator="containsText" text="NA">
      <formula>NOT(ISERROR(SEARCH("NA",#REF!)))</formula>
    </cfRule>
    <cfRule type="containsText" dxfId="1885" priority="75922" operator="containsText" text="NA">
      <formula>NOT(ISERROR(SEARCH("NA",#REF!)))</formula>
    </cfRule>
    <cfRule type="containsText" dxfId="1884" priority="75923" operator="containsText" text="Done">
      <formula>NOT(ISERROR(SEARCH("Done",#REF!)))</formula>
    </cfRule>
    <cfRule type="containsText" dxfId="1883" priority="75924" operator="containsText" text="Pending">
      <formula>NOT(ISERROR(SEARCH("Pending",#REF!)))</formula>
    </cfRule>
    <cfRule type="containsText" dxfId="1882" priority="75925" operator="containsText" text="NA">
      <formula>NOT(ISERROR(SEARCH("NA",#REF!)))</formula>
    </cfRule>
    <cfRule type="containsText" dxfId="1881" priority="75926" operator="containsText" text="NA">
      <formula>NOT(ISERROR(SEARCH("NA",AF30)))</formula>
    </cfRule>
    <cfRule type="containsText" dxfId="1880" priority="75927" operator="containsText" text="Pending">
      <formula>NOT(ISERROR(SEARCH("Pending",AF30)))</formula>
    </cfRule>
    <cfRule type="containsText" dxfId="1879" priority="75928" operator="containsText" text="Done">
      <formula>NOT(ISERROR(SEARCH("Done",AF30)))</formula>
    </cfRule>
    <cfRule type="containsText" dxfId="1878" priority="75929" operator="containsText" text="NA">
      <formula>NOT(ISERROR(SEARCH("NA",#REF!)))</formula>
    </cfRule>
    <cfRule type="containsText" dxfId="1877" priority="75930" operator="containsText" text="Done">
      <formula>NOT(ISERROR(SEARCH("Done",#REF!)))</formula>
    </cfRule>
    <cfRule type="containsText" dxfId="1876" priority="75931" operator="containsText" text="Pending">
      <formula>NOT(ISERROR(SEARCH("Pending",#REF!)))</formula>
    </cfRule>
    <cfRule type="containsText" dxfId="1875" priority="75932" operator="containsText" text="NA">
      <formula>NOT(ISERROR(SEARCH("NA",#REF!)))</formula>
    </cfRule>
    <cfRule type="containsText" dxfId="1874" priority="75933" operator="containsText" text="NA">
      <formula>NOT(ISERROR(SEARCH("NA",AF30)))</formula>
    </cfRule>
    <cfRule type="containsText" dxfId="1873" priority="75934" operator="containsText" text="Pending">
      <formula>NOT(ISERROR(SEARCH("Pending",AF30)))</formula>
    </cfRule>
    <cfRule type="containsText" dxfId="1872" priority="75935" operator="containsText" text="Done">
      <formula>NOT(ISERROR(SEARCH("Done",AF30)))</formula>
    </cfRule>
    <cfRule type="containsText" dxfId="1871" priority="75936" operator="containsText" text="NA">
      <formula>NOT(ISERROR(SEARCH("NA",#REF!)))</formula>
    </cfRule>
    <cfRule type="containsText" dxfId="1870" priority="75937" operator="containsText" text="Done">
      <formula>NOT(ISERROR(SEARCH("Done",#REF!)))</formula>
    </cfRule>
    <cfRule type="containsText" dxfId="1869" priority="75938" operator="containsText" text="Pending">
      <formula>NOT(ISERROR(SEARCH("Pending",#REF!)))</formula>
    </cfRule>
    <cfRule type="containsText" dxfId="1868" priority="75939" operator="containsText" text="NA">
      <formula>NOT(ISERROR(SEARCH("NA",#REF!)))</formula>
    </cfRule>
    <cfRule type="containsText" dxfId="1867" priority="75940" operator="containsText" text="NA">
      <formula>NOT(ISERROR(SEARCH("NA",#REF!)))</formula>
    </cfRule>
    <cfRule type="containsText" dxfId="1866" priority="75941" operator="containsText" text="Done">
      <formula>NOT(ISERROR(SEARCH("Done",#REF!)))</formula>
    </cfRule>
    <cfRule type="containsText" dxfId="1865" priority="75942" operator="containsText" text="Pending">
      <formula>NOT(ISERROR(SEARCH("Pending",#REF!)))</formula>
    </cfRule>
    <cfRule type="containsText" dxfId="1864" priority="75973" operator="containsText" text="NA">
      <formula>NOT(ISERROR(SEARCH("NA",#REF!)))</formula>
    </cfRule>
    <cfRule type="containsText" dxfId="1863" priority="75943" operator="containsText" text="NA">
      <formula>NOT(ISERROR(SEARCH("NA",#REF!)))</formula>
    </cfRule>
    <cfRule type="containsText" dxfId="1862" priority="75944" operator="containsText" text="NA">
      <formula>NOT(ISERROR(SEARCH("NA",#REF!)))</formula>
    </cfRule>
    <cfRule type="containsText" dxfId="1861" priority="75945" operator="containsText" text="Done">
      <formula>NOT(ISERROR(SEARCH("Done",#REF!)))</formula>
    </cfRule>
    <cfRule type="containsText" dxfId="1860" priority="75946" operator="containsText" text="Pending">
      <formula>NOT(ISERROR(SEARCH("Pending",#REF!)))</formula>
    </cfRule>
    <cfRule type="containsText" dxfId="1859" priority="75947" operator="containsText" text="NA">
      <formula>NOT(ISERROR(SEARCH("NA",#REF!)))</formula>
    </cfRule>
    <cfRule type="containsText" dxfId="1858" priority="75948" operator="containsText" text="NA">
      <formula>NOT(ISERROR(SEARCH("NA",#REF!)))</formula>
    </cfRule>
    <cfRule type="containsText" dxfId="1857" priority="75949" operator="containsText" text="Done">
      <formula>NOT(ISERROR(SEARCH("Done",#REF!)))</formula>
    </cfRule>
    <cfRule type="containsText" dxfId="1856" priority="75950" operator="containsText" text="Pending">
      <formula>NOT(ISERROR(SEARCH("Pending",#REF!)))</formula>
    </cfRule>
    <cfRule type="containsText" dxfId="1855" priority="75951" operator="containsText" text="NA">
      <formula>NOT(ISERROR(SEARCH("NA",#REF!)))</formula>
    </cfRule>
    <cfRule type="containsText" dxfId="1854" priority="75952" operator="containsText" text="NA">
      <formula>NOT(ISERROR(SEARCH("NA",AF30)))</formula>
    </cfRule>
    <cfRule type="containsText" dxfId="1853" priority="75953" operator="containsText" text="Pending">
      <formula>NOT(ISERROR(SEARCH("Pending",AF30)))</formula>
    </cfRule>
    <cfRule type="containsText" dxfId="1852" priority="75954" operator="containsText" text="Done">
      <formula>NOT(ISERROR(SEARCH("Done",AF30)))</formula>
    </cfRule>
    <cfRule type="containsText" dxfId="1851" priority="75955" operator="containsText" text="NA">
      <formula>NOT(ISERROR(SEARCH("NA",#REF!)))</formula>
    </cfRule>
    <cfRule type="containsText" dxfId="1850" priority="75956" operator="containsText" text="Done">
      <formula>NOT(ISERROR(SEARCH("Done",#REF!)))</formula>
    </cfRule>
    <cfRule type="containsText" dxfId="1849" priority="75957" operator="containsText" text="Pending">
      <formula>NOT(ISERROR(SEARCH("Pending",#REF!)))</formula>
    </cfRule>
    <cfRule type="containsText" dxfId="1848" priority="75958" operator="containsText" text="NA">
      <formula>NOT(ISERROR(SEARCH("NA",#REF!)))</formula>
    </cfRule>
    <cfRule type="containsText" dxfId="1847" priority="75959" operator="containsText" text="NA">
      <formula>NOT(ISERROR(SEARCH("NA",AF30)))</formula>
    </cfRule>
    <cfRule type="containsText" dxfId="1846" priority="75960" operator="containsText" text="Pending">
      <formula>NOT(ISERROR(SEARCH("Pending",AF30)))</formula>
    </cfRule>
    <cfRule type="containsText" dxfId="1845" priority="75961" operator="containsText" text="Done">
      <formula>NOT(ISERROR(SEARCH("Done",AF30)))</formula>
    </cfRule>
    <cfRule type="containsText" dxfId="1844" priority="75962" operator="containsText" text="NA">
      <formula>NOT(ISERROR(SEARCH("NA",#REF!)))</formula>
    </cfRule>
    <cfRule type="containsText" dxfId="1843" priority="75963" operator="containsText" text="Done">
      <formula>NOT(ISERROR(SEARCH("Done",#REF!)))</formula>
    </cfRule>
    <cfRule type="containsText" dxfId="1842" priority="75964" operator="containsText" text="Pending">
      <formula>NOT(ISERROR(SEARCH("Pending",#REF!)))</formula>
    </cfRule>
    <cfRule type="containsText" dxfId="1841" priority="75965" operator="containsText" text="NA">
      <formula>NOT(ISERROR(SEARCH("NA",#REF!)))</formula>
    </cfRule>
    <cfRule type="containsText" dxfId="1840" priority="75966" operator="containsText" text="NA">
      <formula>NOT(ISERROR(SEARCH("NA",#REF!)))</formula>
    </cfRule>
    <cfRule type="containsText" dxfId="1839" priority="75967" operator="containsText" text="Done">
      <formula>NOT(ISERROR(SEARCH("Done",#REF!)))</formula>
    </cfRule>
    <cfRule type="containsText" dxfId="1838" priority="75968" operator="containsText" text="Pending">
      <formula>NOT(ISERROR(SEARCH("Pending",#REF!)))</formula>
    </cfRule>
    <cfRule type="containsText" dxfId="1837" priority="75969" operator="containsText" text="NA">
      <formula>NOT(ISERROR(SEARCH("NA",#REF!)))</formula>
    </cfRule>
    <cfRule type="containsText" dxfId="1836" priority="4347" operator="containsText" text="Done">
      <formula>NOT(ISERROR(SEARCH("Done",#REF!)))</formula>
    </cfRule>
    <cfRule type="containsText" dxfId="1835" priority="75970" operator="containsText" text="NA">
      <formula>NOT(ISERROR(SEARCH("NA",#REF!)))</formula>
    </cfRule>
    <cfRule type="containsText" dxfId="1834" priority="4346" operator="containsText" text="NA">
      <formula>NOT(ISERROR(SEARCH("NA",#REF!)))</formula>
    </cfRule>
    <cfRule type="containsText" dxfId="1833" priority="75971" operator="containsText" text="Done">
      <formula>NOT(ISERROR(SEARCH("Done",#REF!)))</formula>
    </cfRule>
    <cfRule type="containsText" dxfId="1832" priority="75972" operator="containsText" text="Pending">
      <formula>NOT(ISERROR(SEARCH("Pending",#REF!)))</formula>
    </cfRule>
    <cfRule type="containsText" dxfId="1831" priority="75974" operator="containsText" text="NA">
      <formula>NOT(ISERROR(SEARCH("NA",#REF!)))</formula>
    </cfRule>
    <cfRule type="containsText" dxfId="1830" priority="75975" operator="containsText" text="Done">
      <formula>NOT(ISERROR(SEARCH("Done",#REF!)))</formula>
    </cfRule>
    <cfRule type="containsText" dxfId="1829" priority="75976" operator="containsText" text="Pending">
      <formula>NOT(ISERROR(SEARCH("Pending",#REF!)))</formula>
    </cfRule>
    <cfRule type="containsText" dxfId="1828" priority="75977" operator="containsText" text="NA">
      <formula>NOT(ISERROR(SEARCH("NA",#REF!)))</formula>
    </cfRule>
    <cfRule type="containsText" dxfId="1827" priority="75978" operator="containsText" text="NA">
      <formula>NOT(ISERROR(SEARCH("NA",AF30)))</formula>
    </cfRule>
    <cfRule type="containsText" dxfId="1826" priority="75979" operator="containsText" text="Done">
      <formula>NOT(ISERROR(SEARCH("Done",AF30)))</formula>
    </cfRule>
    <cfRule type="containsText" dxfId="1825" priority="4345" operator="containsText" text="NA">
      <formula>NOT(ISERROR(SEARCH("NA",#REF!)))</formula>
    </cfRule>
    <cfRule type="containsText" dxfId="1824" priority="75980" operator="containsText" text="NA">
      <formula>NOT(ISERROR(SEARCH("NA",#REF!)))</formula>
    </cfRule>
    <cfRule type="containsText" dxfId="1823" priority="75981" operator="containsText" text="Done">
      <formula>NOT(ISERROR(SEARCH("Done",#REF!)))</formula>
    </cfRule>
    <cfRule type="containsText" dxfId="1822" priority="75982" operator="containsText" text="Pending">
      <formula>NOT(ISERROR(SEARCH("Pending",#REF!)))</formula>
    </cfRule>
    <cfRule type="containsText" dxfId="1821" priority="75983" operator="containsText" text="NA">
      <formula>NOT(ISERROR(SEARCH("NA",#REF!)))</formula>
    </cfRule>
    <cfRule type="containsText" dxfId="1820" priority="75984" operator="containsText" text="NA">
      <formula>NOT(ISERROR(SEARCH("NA",AF30)))</formula>
    </cfRule>
    <cfRule type="containsText" dxfId="1819" priority="75985" operator="containsText" text="Pending">
      <formula>NOT(ISERROR(SEARCH("Pending",AF30)))</formula>
    </cfRule>
    <cfRule type="containsText" dxfId="1818" priority="75986" operator="containsText" text="Done">
      <formula>NOT(ISERROR(SEARCH("Done",AF30)))</formula>
    </cfRule>
    <cfRule type="containsText" dxfId="1817" priority="75987" operator="containsText" text="NA">
      <formula>NOT(ISERROR(SEARCH("NA",#REF!)))</formula>
    </cfRule>
    <cfRule type="containsText" dxfId="1816" priority="75988" operator="containsText" text="Pending">
      <formula>NOT(ISERROR(SEARCH("Pending",#REF!)))</formula>
    </cfRule>
    <cfRule type="containsText" dxfId="1815" priority="75989" operator="containsText" text="NA">
      <formula>NOT(ISERROR(SEARCH("NA",#REF!)))</formula>
    </cfRule>
    <cfRule type="containsText" dxfId="1814" priority="75990" operator="containsText" text="NA">
      <formula>NOT(ISERROR(SEARCH("NA",#REF!)))</formula>
    </cfRule>
    <cfRule type="containsText" dxfId="1813" priority="75991" operator="containsText" text="Done">
      <formula>NOT(ISERROR(SEARCH("Done",#REF!)))</formula>
    </cfRule>
    <cfRule type="containsText" dxfId="1812" priority="75992" operator="containsText" text="Pending">
      <formula>NOT(ISERROR(SEARCH("Pending",#REF!)))</formula>
    </cfRule>
    <cfRule type="containsText" dxfId="1811" priority="75993" operator="containsText" text="NA">
      <formula>NOT(ISERROR(SEARCH("NA",#REF!)))</formula>
    </cfRule>
    <cfRule type="containsText" dxfId="1810" priority="75994" operator="containsText" text="Done">
      <formula>NOT(ISERROR(SEARCH("Done",#REF!)))</formula>
    </cfRule>
    <cfRule type="containsText" dxfId="1809" priority="75995" operator="containsText" text="NA">
      <formula>NOT(ISERROR(SEARCH("NA",#REF!)))</formula>
    </cfRule>
    <cfRule type="containsText" dxfId="1808" priority="4344" operator="containsText" text="Pending">
      <formula>NOT(ISERROR(SEARCH("Pending",#REF!)))</formula>
    </cfRule>
    <cfRule type="containsText" dxfId="1807" priority="75996" operator="containsText" text="Done">
      <formula>NOT(ISERROR(SEARCH("Done",#REF!)))</formula>
    </cfRule>
    <cfRule type="containsText" dxfId="1806" priority="4343" operator="containsText" text="NA">
      <formula>NOT(ISERROR(SEARCH("NA",#REF!)))</formula>
    </cfRule>
    <cfRule type="containsText" dxfId="1805" priority="75997" operator="containsText" text="Pending">
      <formula>NOT(ISERROR(SEARCH("Pending",#REF!)))</formula>
    </cfRule>
    <cfRule type="containsText" dxfId="1804" priority="75998" operator="containsText" text="NA">
      <formula>NOT(ISERROR(SEARCH("NA",#REF!)))</formula>
    </cfRule>
    <cfRule type="containsText" dxfId="1803" priority="75999" operator="containsText" text="Done">
      <formula>NOT(ISERROR(SEARCH("Done",#REF!)))</formula>
    </cfRule>
    <cfRule type="containsText" dxfId="1802" priority="4342" operator="containsText" text="Pending">
      <formula>NOT(ISERROR(SEARCH("Pending",#REF!)))</formula>
    </cfRule>
    <cfRule type="containsText" dxfId="1801" priority="76000" operator="containsText" text="Pending">
      <formula>NOT(ISERROR(SEARCH("Pending",#REF!)))</formula>
    </cfRule>
    <cfRule type="containsText" dxfId="1800" priority="76001" operator="containsText" text="NA">
      <formula>NOT(ISERROR(SEARCH("NA",#REF!)))</formula>
    </cfRule>
    <cfRule type="containsText" dxfId="1799" priority="76002" operator="containsText" text="NA">
      <formula>NOT(ISERROR(SEARCH("NA",#REF!)))</formula>
    </cfRule>
    <cfRule type="containsText" dxfId="1798" priority="76003" operator="containsText" text="Done">
      <formula>NOT(ISERROR(SEARCH("Done",#REF!)))</formula>
    </cfRule>
    <cfRule type="containsText" dxfId="1797" priority="76004" operator="containsText" text="Pending">
      <formula>NOT(ISERROR(SEARCH("Pending",#REF!)))</formula>
    </cfRule>
    <cfRule type="containsText" dxfId="1796" priority="76005" operator="containsText" text="NA">
      <formula>NOT(ISERROR(SEARCH("NA",#REF!)))</formula>
    </cfRule>
    <cfRule type="containsText" dxfId="1795" priority="76006" operator="containsText" text="NA">
      <formula>NOT(ISERROR(SEARCH("NA",AF30)))</formula>
    </cfRule>
    <cfRule type="containsText" dxfId="1794" priority="76007" operator="containsText" text="Done">
      <formula>NOT(ISERROR(SEARCH("Done",AF30)))</formula>
    </cfRule>
    <cfRule type="containsText" dxfId="1793" priority="76008" operator="containsText" text="NA">
      <formula>NOT(ISERROR(SEARCH("NA",#REF!)))</formula>
    </cfRule>
    <cfRule type="containsText" dxfId="1792" priority="76009" operator="containsText" text="Done">
      <formula>NOT(ISERROR(SEARCH("Done",#REF!)))</formula>
    </cfRule>
    <cfRule type="containsText" dxfId="1791" priority="76010" operator="containsText" text="Pending">
      <formula>NOT(ISERROR(SEARCH("Pending",#REF!)))</formula>
    </cfRule>
    <cfRule type="containsText" dxfId="1790" priority="76011" operator="containsText" text="NA">
      <formula>NOT(ISERROR(SEARCH("NA",#REF!)))</formula>
    </cfRule>
    <cfRule type="containsText" dxfId="1789" priority="76012" operator="containsText" text="NA">
      <formula>NOT(ISERROR(SEARCH("NA",AF30)))</formula>
    </cfRule>
    <cfRule type="containsText" dxfId="1788" priority="76013" operator="containsText" text="Pending">
      <formula>NOT(ISERROR(SEARCH("Pending",AF30)))</formula>
    </cfRule>
    <cfRule type="containsText" dxfId="1787" priority="76014" operator="containsText" text="Done">
      <formula>NOT(ISERROR(SEARCH("Done",AF30)))</formula>
    </cfRule>
    <cfRule type="containsText" dxfId="1786" priority="76015" operator="containsText" text="NA">
      <formula>NOT(ISERROR(SEARCH("NA",#REF!)))</formula>
    </cfRule>
    <cfRule type="containsText" dxfId="1785" priority="76016" operator="containsText" text="Done">
      <formula>NOT(ISERROR(SEARCH("Done",#REF!)))</formula>
    </cfRule>
    <cfRule type="containsText" dxfId="1784" priority="76017" operator="containsText" text="Pending">
      <formula>NOT(ISERROR(SEARCH("Pending",#REF!)))</formula>
    </cfRule>
    <cfRule type="containsText" dxfId="1783" priority="76018" operator="containsText" text="NA">
      <formula>NOT(ISERROR(SEARCH("NA",#REF!)))</formula>
    </cfRule>
    <cfRule type="containsText" dxfId="1782" priority="76019" operator="containsText" text="NA">
      <formula>NOT(ISERROR(SEARCH("NA",AF30)))</formula>
    </cfRule>
    <cfRule type="containsText" dxfId="1781" priority="76020" operator="containsText" text="Done">
      <formula>NOT(ISERROR(SEARCH("Done",AF30)))</formula>
    </cfRule>
    <cfRule type="containsText" dxfId="1780" priority="76021" operator="containsText" text="NA">
      <formula>NOT(ISERROR(SEARCH("NA",#REF!)))</formula>
    </cfRule>
    <cfRule type="containsText" dxfId="1779" priority="76022" operator="containsText" text="Done">
      <formula>NOT(ISERROR(SEARCH("Done",#REF!)))</formula>
    </cfRule>
    <cfRule type="containsText" dxfId="1778" priority="76023" operator="containsText" text="Pending">
      <formula>NOT(ISERROR(SEARCH("Pending",#REF!)))</formula>
    </cfRule>
    <cfRule type="containsText" dxfId="1777" priority="76024" operator="containsText" text="NA">
      <formula>NOT(ISERROR(SEARCH("NA",#REF!)))</formula>
    </cfRule>
    <cfRule type="containsText" dxfId="1776" priority="76025" operator="containsText" text="NA">
      <formula>NOT(ISERROR(SEARCH("NA",AF30)))</formula>
    </cfRule>
    <cfRule type="containsText" dxfId="1775" priority="76026" operator="containsText" text="Pending">
      <formula>NOT(ISERROR(SEARCH("Pending",AF30)))</formula>
    </cfRule>
    <cfRule type="containsText" dxfId="1774" priority="76027" operator="containsText" text="Done">
      <formula>NOT(ISERROR(SEARCH("Done",AF30)))</formula>
    </cfRule>
    <cfRule type="containsText" dxfId="1773" priority="76028" operator="containsText" text="NA">
      <formula>NOT(ISERROR(SEARCH("NA",#REF!)))</formula>
    </cfRule>
    <cfRule type="containsText" dxfId="1772" priority="76029" operator="containsText" text="Done">
      <formula>NOT(ISERROR(SEARCH("Done",#REF!)))</formula>
    </cfRule>
    <cfRule type="containsText" dxfId="1771" priority="76030" operator="containsText" text="Pending">
      <formula>NOT(ISERROR(SEARCH("Pending",#REF!)))</formula>
    </cfRule>
    <cfRule type="containsText" dxfId="1770" priority="76031" operator="containsText" text="NA">
      <formula>NOT(ISERROR(SEARCH("NA",#REF!)))</formula>
    </cfRule>
    <cfRule type="containsText" dxfId="1769" priority="76032" operator="containsText" text="NA">
      <formula>NOT(ISERROR(SEARCH("NA",#REF!)))</formula>
    </cfRule>
    <cfRule type="containsText" dxfId="1768" priority="76033" operator="containsText" text="Done">
      <formula>NOT(ISERROR(SEARCH("Done",#REF!)))</formula>
    </cfRule>
    <cfRule type="containsText" dxfId="1767" priority="76034" operator="containsText" text="Pending">
      <formula>NOT(ISERROR(SEARCH("Pending",#REF!)))</formula>
    </cfRule>
    <cfRule type="containsText" dxfId="1766" priority="76035" operator="containsText" text="NA">
      <formula>NOT(ISERROR(SEARCH("NA",#REF!)))</formula>
    </cfRule>
    <cfRule type="containsText" dxfId="1765" priority="76036" operator="containsText" text="NA">
      <formula>NOT(ISERROR(SEARCH("NA",#REF!)))</formula>
    </cfRule>
    <cfRule type="containsText" dxfId="1764" priority="76037" operator="containsText" text="Done">
      <formula>NOT(ISERROR(SEARCH("Done",#REF!)))</formula>
    </cfRule>
    <cfRule type="containsText" dxfId="1763" priority="76038" operator="containsText" text="Pending">
      <formula>NOT(ISERROR(SEARCH("Pending",#REF!)))</formula>
    </cfRule>
    <cfRule type="containsText" dxfId="1762" priority="76039" operator="containsText" text="NA">
      <formula>NOT(ISERROR(SEARCH("NA",#REF!)))</formula>
    </cfRule>
    <cfRule type="containsText" dxfId="1761" priority="76040" operator="containsText" text="NA">
      <formula>NOT(ISERROR(SEARCH("NA",AC92)))</formula>
    </cfRule>
    <cfRule type="containsText" dxfId="1760" priority="76041" operator="containsText" text="Done">
      <formula>NOT(ISERROR(SEARCH("Done",AC85)))</formula>
    </cfRule>
    <cfRule type="containsText" dxfId="1759" priority="76042" operator="containsText" text="Pending">
      <formula>NOT(ISERROR(SEARCH("Pending",AC85)))</formula>
    </cfRule>
    <cfRule type="containsText" dxfId="1758" priority="76043" operator="containsText" text="NA">
      <formula>NOT(ISERROR(SEARCH("NA",AC85)))</formula>
    </cfRule>
    <cfRule type="containsText" dxfId="1757" priority="76044" operator="containsText" text="NA">
      <formula>NOT(ISERROR(SEARCH("NA",#REF!)))</formula>
    </cfRule>
    <cfRule type="containsText" dxfId="1756" priority="76045" operator="containsText" text="Done">
      <formula>NOT(ISERROR(SEARCH("Done",#REF!)))</formula>
    </cfRule>
    <cfRule type="containsText" dxfId="1755" priority="76046" operator="containsText" text="Pending">
      <formula>NOT(ISERROR(SEARCH("Pending",#REF!)))</formula>
    </cfRule>
    <cfRule type="containsText" dxfId="1754" priority="76047" operator="containsText" text="NA">
      <formula>NOT(ISERROR(SEARCH("NA",#REF!)))</formula>
    </cfRule>
    <cfRule type="containsText" dxfId="1753" priority="76048" operator="containsText" text="Done">
      <formula>NOT(ISERROR(SEARCH("Done",#REF!)))</formula>
    </cfRule>
    <cfRule type="containsText" dxfId="1752" priority="76049" operator="containsText" text="Pending">
      <formula>NOT(ISERROR(SEARCH("Pending",#REF!)))</formula>
    </cfRule>
    <cfRule type="containsText" dxfId="1751" priority="76050" operator="containsText" text="NA">
      <formula>NOT(ISERROR(SEARCH("NA",#REF!)))</formula>
    </cfRule>
    <cfRule type="containsText" dxfId="1750" priority="76051" operator="containsText" text="NA">
      <formula>NOT(ISERROR(SEARCH("NA",#REF!)))</formula>
    </cfRule>
    <cfRule type="containsText" dxfId="1749" priority="76052" operator="containsText" text="Done">
      <formula>NOT(ISERROR(SEARCH("Done",#REF!)))</formula>
    </cfRule>
    <cfRule type="containsText" dxfId="1748" priority="4341" operator="containsText" text="Done">
      <formula>NOT(ISERROR(SEARCH("Done",#REF!)))</formula>
    </cfRule>
    <cfRule type="containsText" dxfId="1747" priority="4340" operator="containsText" text="NA">
      <formula>NOT(ISERROR(SEARCH("NA",#REF!)))</formula>
    </cfRule>
    <cfRule type="containsText" dxfId="1746" priority="4339" operator="containsText" text="Done">
      <formula>NOT(ISERROR(SEARCH("Done",AF30)))</formula>
    </cfRule>
    <cfRule type="containsText" dxfId="1745" priority="4338" operator="containsText" text="Pending">
      <formula>NOT(ISERROR(SEARCH("Pending",AF30)))</formula>
    </cfRule>
    <cfRule type="containsText" dxfId="1744" priority="76053" operator="containsText" text="Pending">
      <formula>NOT(ISERROR(SEARCH("Pending",#REF!)))</formula>
    </cfRule>
    <cfRule type="containsText" dxfId="1743" priority="76054" operator="containsText" text="NA">
      <formula>NOT(ISERROR(SEARCH("NA",#REF!)))</formula>
    </cfRule>
    <cfRule type="containsText" dxfId="1742" priority="76055" operator="containsText" text="NA">
      <formula>NOT(ISERROR(SEARCH("NA",AF30)))</formula>
    </cfRule>
    <cfRule type="containsText" dxfId="1741" priority="76056" operator="containsText" text="Done">
      <formula>NOT(ISERROR(SEARCH("Done",AF30)))</formula>
    </cfRule>
    <cfRule type="containsText" dxfId="1740" priority="76057" operator="containsText" text="NA">
      <formula>NOT(ISERROR(SEARCH("NA",#REF!)))</formula>
    </cfRule>
    <cfRule type="containsText" dxfId="1739" priority="76058" operator="containsText" text="Done">
      <formula>NOT(ISERROR(SEARCH("Done",#REF!)))</formula>
    </cfRule>
    <cfRule type="containsText" dxfId="1738" priority="76059" operator="containsText" text="Pending">
      <formula>NOT(ISERROR(SEARCH("Pending",#REF!)))</formula>
    </cfRule>
    <cfRule type="containsText" dxfId="1737" priority="76060" operator="containsText" text="NA">
      <formula>NOT(ISERROR(SEARCH("NA",#REF!)))</formula>
    </cfRule>
    <cfRule type="containsText" dxfId="1736" priority="76061" operator="containsText" text="NA">
      <formula>NOT(ISERROR(SEARCH("NA",AF30)))</formula>
    </cfRule>
    <cfRule type="containsText" dxfId="1735" priority="76062" operator="containsText" text="Pending">
      <formula>NOT(ISERROR(SEARCH("Pending",AF30)))</formula>
    </cfRule>
    <cfRule type="containsText" dxfId="1734" priority="76063" operator="containsText" text="Done">
      <formula>NOT(ISERROR(SEARCH("Done",AF30)))</formula>
    </cfRule>
    <cfRule type="containsText" dxfId="1733" priority="76064" operator="containsText" text="NA">
      <formula>NOT(ISERROR(SEARCH("NA",#REF!)))</formula>
    </cfRule>
    <cfRule type="containsText" dxfId="1732" priority="76065" operator="containsText" text="Done">
      <formula>NOT(ISERROR(SEARCH("Done",#REF!)))</formula>
    </cfRule>
    <cfRule type="containsText" dxfId="1731" priority="76066" operator="containsText" text="Pending">
      <formula>NOT(ISERROR(SEARCH("Pending",#REF!)))</formula>
    </cfRule>
    <cfRule type="containsText" dxfId="1730" priority="76067" operator="containsText" text="NA">
      <formula>NOT(ISERROR(SEARCH("NA",#REF!)))</formula>
    </cfRule>
    <cfRule type="containsText" dxfId="1729" priority="76068" operator="containsText" text="NA">
      <formula>NOT(ISERROR(SEARCH("NA",AF30)))</formula>
    </cfRule>
    <cfRule type="containsText" dxfId="1728" priority="76069" operator="containsText" text="Done">
      <formula>NOT(ISERROR(SEARCH("Done",AF30)))</formula>
    </cfRule>
    <cfRule type="containsText" dxfId="1727" priority="4259" operator="containsText" text="NA">
      <formula>NOT(ISERROR(SEARCH("NA",#REF!)))</formula>
    </cfRule>
    <cfRule type="containsText" dxfId="1726" priority="4260" operator="containsText" text="Done">
      <formula>NOT(ISERROR(SEARCH("Done",#REF!)))</formula>
    </cfRule>
    <cfRule type="containsText" dxfId="1725" priority="4261" operator="containsText" text="Pending">
      <formula>NOT(ISERROR(SEARCH("Pending",#REF!)))</formula>
    </cfRule>
    <cfRule type="containsText" dxfId="1724" priority="4262" operator="containsText" text="NA">
      <formula>NOT(ISERROR(SEARCH("NA",#REF!)))</formula>
    </cfRule>
    <cfRule type="containsText" dxfId="1723" priority="4263" operator="containsText" text="NA">
      <formula>NOT(ISERROR(SEARCH("NA",#REF!)))</formula>
    </cfRule>
    <cfRule type="containsText" dxfId="1722" priority="4264" operator="containsText" text="Done">
      <formula>NOT(ISERROR(SEARCH("Done",#REF!)))</formula>
    </cfRule>
    <cfRule type="containsText" dxfId="1721" priority="4265" operator="containsText" text="Pending">
      <formula>NOT(ISERROR(SEARCH("Pending",#REF!)))</formula>
    </cfRule>
    <cfRule type="containsText" dxfId="1720" priority="4266" operator="containsText" text="NA">
      <formula>NOT(ISERROR(SEARCH("NA",#REF!)))</formula>
    </cfRule>
    <cfRule type="containsText" dxfId="1719" priority="4267" operator="containsText" text="NA">
      <formula>NOT(ISERROR(SEARCH("NA",#REF!)))</formula>
    </cfRule>
    <cfRule type="containsText" dxfId="1718" priority="4268" operator="containsText" text="Done">
      <formula>NOT(ISERROR(SEARCH("Done",#REF!)))</formula>
    </cfRule>
    <cfRule type="containsText" dxfId="1717" priority="4269" operator="containsText" text="Pending">
      <formula>NOT(ISERROR(SEARCH("Pending",#REF!)))</formula>
    </cfRule>
    <cfRule type="containsText" dxfId="1716" priority="4270" operator="containsText" text="NA">
      <formula>NOT(ISERROR(SEARCH("NA",#REF!)))</formula>
    </cfRule>
    <cfRule type="containsText" dxfId="1715" priority="4271" operator="containsText" text="NA">
      <formula>NOT(ISERROR(SEARCH("NA",#REF!)))</formula>
    </cfRule>
    <cfRule type="containsText" dxfId="1714" priority="4272" operator="containsText" text="Done">
      <formula>NOT(ISERROR(SEARCH("Done",#REF!)))</formula>
    </cfRule>
    <cfRule type="containsText" dxfId="1713" priority="4273" operator="containsText" text="Pending">
      <formula>NOT(ISERROR(SEARCH("Pending",#REF!)))</formula>
    </cfRule>
    <cfRule type="containsText" dxfId="1712" priority="4274" operator="containsText" text="NA">
      <formula>NOT(ISERROR(SEARCH("NA",#REF!)))</formula>
    </cfRule>
    <cfRule type="containsText" dxfId="1711" priority="4275" operator="containsText" text="Done">
      <formula>NOT(ISERROR(SEARCH("Done",#REF!)))</formula>
    </cfRule>
    <cfRule type="containsText" dxfId="1710" priority="4276" operator="containsText" text="Pending">
      <formula>NOT(ISERROR(SEARCH("Pending",#REF!)))</formula>
    </cfRule>
    <cfRule type="containsText" dxfId="1709" priority="4277" operator="containsText" text="NA">
      <formula>NOT(ISERROR(SEARCH("NA",#REF!)))</formula>
    </cfRule>
    <cfRule type="containsText" dxfId="1708" priority="4278" operator="containsText" text="NA">
      <formula>NOT(ISERROR(SEARCH("NA",#REF!)))</formula>
    </cfRule>
    <cfRule type="containsText" dxfId="1707" priority="4279" operator="containsText" text="Done">
      <formula>NOT(ISERROR(SEARCH("Done",#REF!)))</formula>
    </cfRule>
    <cfRule type="containsText" dxfId="1706" priority="4280" operator="containsText" text="Pending">
      <formula>NOT(ISERROR(SEARCH("Pending",#REF!)))</formula>
    </cfRule>
    <cfRule type="containsText" dxfId="1705" priority="4281" operator="containsText" text="NA">
      <formula>NOT(ISERROR(SEARCH("NA",#REF!)))</formula>
    </cfRule>
    <cfRule type="containsText" dxfId="1704" priority="4282" operator="containsText" text="NA">
      <formula>NOT(ISERROR(SEARCH("NA",#REF!)))</formula>
    </cfRule>
    <cfRule type="containsText" dxfId="1703" priority="4283" operator="containsText" text="Done">
      <formula>NOT(ISERROR(SEARCH("Done",#REF!)))</formula>
    </cfRule>
    <cfRule type="containsText" dxfId="1702" priority="4284" operator="containsText" text="Pending">
      <formula>NOT(ISERROR(SEARCH("Pending",#REF!)))</formula>
    </cfRule>
    <cfRule type="containsText" dxfId="1701" priority="4285" operator="containsText" text="NA">
      <formula>NOT(ISERROR(SEARCH("NA",#REF!)))</formula>
    </cfRule>
    <cfRule type="containsText" dxfId="1700" priority="76070" operator="containsText" text="NA">
      <formula>NOT(ISERROR(SEARCH("NA",#REF!)))</formula>
    </cfRule>
    <cfRule type="containsText" dxfId="1699" priority="76071" operator="containsText" text="Done">
      <formula>NOT(ISERROR(SEARCH("Done",#REF!)))</formula>
    </cfRule>
    <cfRule type="containsText" dxfId="1698" priority="76072" operator="containsText" text="Pending">
      <formula>NOT(ISERROR(SEARCH("Pending",#REF!)))</formula>
    </cfRule>
    <cfRule type="containsText" dxfId="1697" priority="76073" operator="containsText" text="NA">
      <formula>NOT(ISERROR(SEARCH("NA",#REF!)))</formula>
    </cfRule>
    <cfRule type="containsText" dxfId="1696" priority="76074" operator="containsText" text="Done">
      <formula>NOT(ISERROR(SEARCH("Done",#REF!)))</formula>
    </cfRule>
    <cfRule type="containsText" dxfId="1695" priority="76075" operator="containsText" text="Pending">
      <formula>NOT(ISERROR(SEARCH("Pending",#REF!)))</formula>
    </cfRule>
    <cfRule type="containsText" dxfId="1694" priority="4286" operator="containsText" text="Done">
      <formula>NOT(ISERROR(SEARCH("Done",#REF!)))</formula>
    </cfRule>
    <cfRule type="containsText" dxfId="1693" priority="4287" operator="containsText" text="Pending">
      <formula>NOT(ISERROR(SEARCH("Pending",#REF!)))</formula>
    </cfRule>
    <cfRule type="containsText" dxfId="1692" priority="4288" operator="containsText" text="NA">
      <formula>NOT(ISERROR(SEARCH("NA",#REF!)))</formula>
    </cfRule>
    <cfRule type="containsText" dxfId="1691" priority="76076" operator="containsText" text="NA">
      <formula>NOT(ISERROR(SEARCH("NA",#REF!)))</formula>
    </cfRule>
    <cfRule type="containsText" dxfId="1690" priority="76077" operator="containsText" text="NA">
      <formula>NOT(ISERROR(SEARCH("NA",#REF!)))</formula>
    </cfRule>
    <cfRule type="containsText" dxfId="1689" priority="76078" operator="containsText" text="Done">
      <formula>NOT(ISERROR(SEARCH("Done",#REF!)))</formula>
    </cfRule>
    <cfRule type="containsText" dxfId="1688" priority="76079" operator="containsText" text="Pending">
      <formula>NOT(ISERROR(SEARCH("Pending",#REF!)))</formula>
    </cfRule>
    <cfRule type="containsText" dxfId="1687" priority="76080" operator="containsText" text="NA">
      <formula>NOT(ISERROR(SEARCH("NA",#REF!)))</formula>
    </cfRule>
    <cfRule type="containsText" dxfId="1686" priority="76081" operator="containsText" text="Done">
      <formula>NOT(ISERROR(SEARCH("Done",#REF!)))</formula>
    </cfRule>
    <cfRule type="containsText" dxfId="1685" priority="76082" operator="containsText" text="Pending">
      <formula>NOT(ISERROR(SEARCH("Pending",#REF!)))</formula>
    </cfRule>
    <cfRule type="containsText" dxfId="1684" priority="76083" operator="containsText" text="NA">
      <formula>NOT(ISERROR(SEARCH("NA",#REF!)))</formula>
    </cfRule>
    <cfRule type="containsText" dxfId="1683" priority="76084" operator="containsText" text="NA">
      <formula>NOT(ISERROR(SEARCH("NA",#REF!)))</formula>
    </cfRule>
    <cfRule type="containsText" dxfId="1682" priority="76085" operator="containsText" text="Done">
      <formula>NOT(ISERROR(SEARCH("Done",#REF!)))</formula>
    </cfRule>
    <cfRule type="containsText" dxfId="1681" priority="76086" operator="containsText" text="Pending">
      <formula>NOT(ISERROR(SEARCH("Pending",#REF!)))</formula>
    </cfRule>
    <cfRule type="containsText" dxfId="1680" priority="76087" operator="containsText" text="NA">
      <formula>NOT(ISERROR(SEARCH("NA",#REF!)))</formula>
    </cfRule>
    <cfRule type="containsText" dxfId="1679" priority="4337" operator="containsText" text="NA">
      <formula>NOT(ISERROR(SEARCH("NA",AF30)))</formula>
    </cfRule>
    <cfRule type="containsText" dxfId="1678" priority="4336" operator="containsText" text="Done">
      <formula>NOT(ISERROR(SEARCH("Done",#REF!)))</formula>
    </cfRule>
    <cfRule type="containsText" dxfId="1677" priority="4321" operator="containsText" text="NA">
      <formula>NOT(ISERROR(SEARCH("NA",#REF!)))</formula>
    </cfRule>
    <cfRule type="containsText" dxfId="1676" priority="2845" operator="containsText" text="NA">
      <formula>NOT(ISERROR(SEARCH("NA",#REF!)))</formula>
    </cfRule>
    <cfRule type="containsText" dxfId="1675" priority="2844" operator="containsText" text="Pending">
      <formula>NOT(ISERROR(SEARCH("Pending",#REF!)))</formula>
    </cfRule>
    <cfRule type="containsText" dxfId="1674" priority="2843" operator="containsText" text="Done">
      <formula>NOT(ISERROR(SEARCH("Done",#REF!)))</formula>
    </cfRule>
    <cfRule type="containsText" dxfId="1673" priority="2842" operator="containsText" text="NA">
      <formula>NOT(ISERROR(SEARCH("NA",#REF!)))</formula>
    </cfRule>
    <cfRule type="containsText" dxfId="1672" priority="2841" operator="containsText" text="NA">
      <formula>NOT(ISERROR(SEARCH("NA",#REF!)))</formula>
    </cfRule>
    <cfRule type="containsText" dxfId="1671" priority="2840" operator="containsText" text="Pending">
      <formula>NOT(ISERROR(SEARCH("Pending",#REF!)))</formula>
    </cfRule>
    <cfRule type="containsText" dxfId="1670" priority="4289" operator="containsText" text="NA">
      <formula>NOT(ISERROR(SEARCH("NA",#REF!)))</formula>
    </cfRule>
    <cfRule type="containsText" dxfId="1669" priority="4290" operator="containsText" text="Done">
      <formula>NOT(ISERROR(SEARCH("Done",#REF!)))</formula>
    </cfRule>
    <cfRule type="containsText" dxfId="1668" priority="4291" operator="containsText" text="Pending">
      <formula>NOT(ISERROR(SEARCH("Pending",#REF!)))</formula>
    </cfRule>
    <cfRule type="containsText" dxfId="1667" priority="4292" operator="containsText" text="NA">
      <formula>NOT(ISERROR(SEARCH("NA",#REF!)))</formula>
    </cfRule>
    <cfRule type="containsText" dxfId="1666" priority="4293" operator="containsText" text="NA">
      <formula>NOT(ISERROR(SEARCH("NA",#REF!)))</formula>
    </cfRule>
    <cfRule type="containsText" dxfId="1665" priority="4294" operator="containsText" text="Done">
      <formula>NOT(ISERROR(SEARCH("Done",#REF!)))</formula>
    </cfRule>
    <cfRule type="containsText" dxfId="1664" priority="4295" operator="containsText" text="Pending">
      <formula>NOT(ISERROR(SEARCH("Pending",#REF!)))</formula>
    </cfRule>
    <cfRule type="containsText" dxfId="1663" priority="4296" operator="containsText" text="NA">
      <formula>NOT(ISERROR(SEARCH("NA",#REF!)))</formula>
    </cfRule>
    <cfRule type="containsText" dxfId="1662" priority="4297" operator="containsText" text="Done">
      <formula>NOT(ISERROR(SEARCH("Done",#REF!)))</formula>
    </cfRule>
    <cfRule type="containsText" dxfId="1661" priority="4298" operator="containsText" text="Pending">
      <formula>NOT(ISERROR(SEARCH("Pending",#REF!)))</formula>
    </cfRule>
    <cfRule type="containsText" dxfId="1660" priority="4299" operator="containsText" text="NA">
      <formula>NOT(ISERROR(SEARCH("NA",#REF!)))</formula>
    </cfRule>
    <cfRule type="containsText" dxfId="1659" priority="4300" operator="containsText" text="NA">
      <formula>NOT(ISERROR(SEARCH("NA",#REF!)))</formula>
    </cfRule>
    <cfRule type="containsText" dxfId="1658" priority="2839" operator="containsText" text="NA">
      <formula>NOT(ISERROR(SEARCH("NA",#REF!)))</formula>
    </cfRule>
    <cfRule type="containsText" dxfId="1657" priority="2838" operator="containsText" text="Pending">
      <formula>NOT(ISERROR(SEARCH("Pending",#REF!)))</formula>
    </cfRule>
    <cfRule type="containsText" dxfId="1656" priority="2837" operator="containsText" text="Done">
      <formula>NOT(ISERROR(SEARCH("Done",#REF!)))</formula>
    </cfRule>
    <cfRule type="containsText" dxfId="1655" priority="2836" operator="containsText" text="NA">
      <formula>NOT(ISERROR(SEARCH("NA",#REF!)))</formula>
    </cfRule>
    <cfRule type="containsText" dxfId="1654" priority="2835" operator="containsText" text="Done">
      <formula>NOT(ISERROR(SEARCH("Done",AF30)))</formula>
    </cfRule>
    <cfRule type="containsText" dxfId="1653" priority="2834" operator="containsText" text="Pending">
      <formula>NOT(ISERROR(SEARCH("Pending",AF30)))</formula>
    </cfRule>
    <cfRule type="containsText" dxfId="1652" priority="2833" operator="containsText" text="NA">
      <formula>NOT(ISERROR(SEARCH("NA",AF30)))</formula>
    </cfRule>
    <cfRule type="containsText" dxfId="1651" priority="2832" operator="containsText" text="Done">
      <formula>NOT(ISERROR(SEARCH("Done",#REF!)))</formula>
    </cfRule>
    <cfRule type="containsText" dxfId="1650" priority="2831" operator="containsText" text="NA">
      <formula>NOT(ISERROR(SEARCH("NA",#REF!)))</formula>
    </cfRule>
    <cfRule type="containsText" dxfId="1649" priority="2830" operator="containsText" text="Pending">
      <formula>NOT(ISERROR(SEARCH("Pending",#REF!)))</formula>
    </cfRule>
    <cfRule type="containsText" dxfId="1648" priority="2829" operator="containsText" text="Done">
      <formula>NOT(ISERROR(SEARCH("Done",#REF!)))</formula>
    </cfRule>
    <cfRule type="containsText" dxfId="1647" priority="4301" operator="containsText" text="NA">
      <formula>NOT(ISERROR(SEARCH("NA",AF30)))</formula>
    </cfRule>
    <cfRule type="containsText" dxfId="1646" priority="4302" operator="containsText" text="Done">
      <formula>NOT(ISERROR(SEARCH("Done",AF30)))</formula>
    </cfRule>
    <cfRule type="containsText" dxfId="1645" priority="4303" operator="containsText" text="NA">
      <formula>NOT(ISERROR(SEARCH("NA",#REF!)))</formula>
    </cfRule>
    <cfRule type="containsText" dxfId="1644" priority="4304" operator="containsText" text="Done">
      <formula>NOT(ISERROR(SEARCH("Done",#REF!)))</formula>
    </cfRule>
    <cfRule type="containsText" dxfId="1643" priority="4305" operator="containsText" text="Pending">
      <formula>NOT(ISERROR(SEARCH("Pending",#REF!)))</formula>
    </cfRule>
    <cfRule type="containsText" dxfId="1642" priority="2828" operator="containsText" text="NA">
      <formula>NOT(ISERROR(SEARCH("NA",#REF!)))</formula>
    </cfRule>
    <cfRule type="containsText" dxfId="1641" priority="2827" operator="containsText" text="NA">
      <formula>NOT(ISERROR(SEARCH("NA",#REF!)))</formula>
    </cfRule>
    <cfRule type="containsText" dxfId="1640" priority="2826" operator="containsText" text="Pending">
      <formula>NOT(ISERROR(SEARCH("Pending",#REF!)))</formula>
    </cfRule>
    <cfRule type="containsText" dxfId="1639" priority="2825" operator="containsText" text="Done">
      <formula>NOT(ISERROR(SEARCH("Done",#REF!)))</formula>
    </cfRule>
    <cfRule type="containsText" dxfId="1638" priority="2824" operator="containsText" text="NA">
      <formula>NOT(ISERROR(SEARCH("NA",#REF!)))</formula>
    </cfRule>
    <cfRule type="containsText" dxfId="1637" priority="2823" operator="containsText" text="Pending">
      <formula>NOT(ISERROR(SEARCH("Pending",#REF!)))</formula>
    </cfRule>
    <cfRule type="containsText" dxfId="1636" priority="2822" operator="containsText" text="Done">
      <formula>NOT(ISERROR(SEARCH("Done",#REF!)))</formula>
    </cfRule>
    <cfRule type="containsText" dxfId="1635" priority="2821" operator="containsText" text="NA">
      <formula>NOT(ISERROR(SEARCH("NA",#REF!)))</formula>
    </cfRule>
    <cfRule type="containsText" dxfId="1634" priority="2820" operator="containsText" text="NA">
      <formula>NOT(ISERROR(SEARCH("NA",#REF!)))</formula>
    </cfRule>
    <cfRule type="containsText" dxfId="1633" priority="2819" operator="containsText" text="Pending">
      <formula>NOT(ISERROR(SEARCH("Pending",#REF!)))</formula>
    </cfRule>
    <cfRule type="containsText" dxfId="1632" priority="2818" operator="containsText" text="Done">
      <formula>NOT(ISERROR(SEARCH("Done",#REF!)))</formula>
    </cfRule>
    <cfRule type="containsText" dxfId="1631" priority="75839" operator="containsText" text="Done">
      <formula>NOT(ISERROR(SEARCH("Done",#REF!)))</formula>
    </cfRule>
    <cfRule type="containsText" dxfId="1630" priority="2817" operator="containsText" text="NA">
      <formula>NOT(ISERROR(SEARCH("NA",#REF!)))</formula>
    </cfRule>
    <cfRule type="containsText" dxfId="1629" priority="2816" operator="containsText" text="NA">
      <formula>NOT(ISERROR(SEARCH("NA",#REF!)))</formula>
    </cfRule>
    <cfRule type="containsText" dxfId="1628" priority="2815" operator="containsText" text="Pending">
      <formula>NOT(ISERROR(SEARCH("Pending",#REF!)))</formula>
    </cfRule>
    <cfRule type="containsText" dxfId="1627" priority="2814" operator="containsText" text="Done">
      <formula>NOT(ISERROR(SEARCH("Done",#REF!)))</formula>
    </cfRule>
    <cfRule type="containsText" dxfId="1626" priority="2813" operator="containsText" text="NA">
      <formula>NOT(ISERROR(SEARCH("NA",#REF!)))</formula>
    </cfRule>
    <cfRule type="containsText" dxfId="1625" priority="2812" operator="containsText" text="Pending">
      <formula>NOT(ISERROR(SEARCH("Pending",#REF!)))</formula>
    </cfRule>
    <cfRule type="containsText" dxfId="1624" priority="4306" operator="containsText" text="NA">
      <formula>NOT(ISERROR(SEARCH("NA",#REF!)))</formula>
    </cfRule>
    <cfRule type="containsText" dxfId="1623" priority="4307" operator="containsText" text="Done">
      <formula>NOT(ISERROR(SEARCH("Done",#REF!)))</formula>
    </cfRule>
    <cfRule type="containsText" dxfId="1622" priority="4308" operator="containsText" text="Pending">
      <formula>NOT(ISERROR(SEARCH("Pending",#REF!)))</formula>
    </cfRule>
    <cfRule type="containsText" dxfId="1621" priority="4309" operator="containsText" text="NA">
      <formula>NOT(ISERROR(SEARCH("NA",#REF!)))</formula>
    </cfRule>
    <cfRule type="containsText" dxfId="1620" priority="4310" operator="containsText" text="NA">
      <formula>NOT(ISERROR(SEARCH("NA",#REF!)))</formula>
    </cfRule>
    <cfRule type="containsText" dxfId="1619" priority="4311" operator="containsText" text="Done">
      <formula>NOT(ISERROR(SEARCH("Done",#REF!)))</formula>
    </cfRule>
    <cfRule type="containsText" dxfId="1618" priority="4312" operator="containsText" text="Pending">
      <formula>NOT(ISERROR(SEARCH("Pending",#REF!)))</formula>
    </cfRule>
    <cfRule type="containsText" dxfId="1617" priority="4313" operator="containsText" text="NA">
      <formula>NOT(ISERROR(SEARCH("NA",#REF!)))</formula>
    </cfRule>
    <cfRule type="containsText" dxfId="1616" priority="4314" operator="containsText" text="NA">
      <formula>NOT(ISERROR(SEARCH("NA",#REF!)))</formula>
    </cfRule>
    <cfRule type="containsText" dxfId="1615" priority="4315" operator="containsText" text="Done">
      <formula>NOT(ISERROR(SEARCH("Done",#REF!)))</formula>
    </cfRule>
    <cfRule type="containsText" dxfId="1614" priority="4316" operator="containsText" text="Pending">
      <formula>NOT(ISERROR(SEARCH("Pending",#REF!)))</formula>
    </cfRule>
    <cfRule type="containsText" dxfId="1613" priority="4317" operator="containsText" text="NA">
      <formula>NOT(ISERROR(SEARCH("NA",#REF!)))</formula>
    </cfRule>
    <cfRule type="containsText" dxfId="1612" priority="4318" operator="containsText" text="NA">
      <formula>NOT(ISERROR(SEARCH("NA",#REF!)))</formula>
    </cfRule>
    <cfRule type="containsText" dxfId="1611" priority="4319" operator="containsText" text="Done">
      <formula>NOT(ISERROR(SEARCH("Done",#REF!)))</formula>
    </cfRule>
    <cfRule type="containsText" dxfId="1610" priority="2811" operator="containsText" text="Done">
      <formula>NOT(ISERROR(SEARCH("Done",#REF!)))</formula>
    </cfRule>
    <cfRule type="containsText" dxfId="1609" priority="2810" operator="containsText" text="NA">
      <formula>NOT(ISERROR(SEARCH("NA",#REF!)))</formula>
    </cfRule>
    <cfRule type="containsText" dxfId="1608" priority="2809" operator="containsText" text="NA">
      <formula>NOT(ISERROR(SEARCH("NA",#REF!)))</formula>
    </cfRule>
    <cfRule type="containsText" dxfId="1607" priority="2808" operator="containsText" text="Pending">
      <formula>NOT(ISERROR(SEARCH("Pending",#REF!)))</formula>
    </cfRule>
    <cfRule type="containsText" dxfId="1606" priority="2807" operator="containsText" text="Done">
      <formula>NOT(ISERROR(SEARCH("Done",#REF!)))</formula>
    </cfRule>
    <cfRule type="containsText" dxfId="1605" priority="2806" operator="containsText" text="NA">
      <formula>NOT(ISERROR(SEARCH("NA",#REF!)))</formula>
    </cfRule>
    <cfRule type="containsText" dxfId="1604" priority="2805" operator="containsText" text="NA">
      <formula>NOT(ISERROR(SEARCH("NA",#REF!)))</formula>
    </cfRule>
    <cfRule type="containsText" dxfId="1603" priority="2804" operator="containsText" text="Pending">
      <formula>NOT(ISERROR(SEARCH("Pending",#REF!)))</formula>
    </cfRule>
    <cfRule type="containsText" dxfId="1602" priority="2803" operator="containsText" text="Done">
      <formula>NOT(ISERROR(SEARCH("Done",#REF!)))</formula>
    </cfRule>
    <cfRule type="containsText" dxfId="1601" priority="2802" operator="containsText" text="NA">
      <formula>NOT(ISERROR(SEARCH("NA",#REF!)))</formula>
    </cfRule>
    <cfRule type="containsText" dxfId="1600" priority="4320" operator="containsText" text="Pending">
      <formula>NOT(ISERROR(SEARCH("Pending",#REF!)))</formula>
    </cfRule>
    <cfRule type="containsText" dxfId="1599" priority="2801" operator="containsText" text="NA">
      <formula>NOT(ISERROR(SEARCH("NA",#REF!)))</formula>
    </cfRule>
    <cfRule type="containsText" dxfId="1598" priority="2800" operator="containsText" text="Pending">
      <formula>NOT(ISERROR(SEARCH("Pending",#REF!)))</formula>
    </cfRule>
    <cfRule type="containsText" dxfId="1597" priority="2799" operator="containsText" text="Done">
      <formula>NOT(ISERROR(SEARCH("Done",#REF!)))</formula>
    </cfRule>
    <cfRule type="containsText" dxfId="1596" priority="2798" operator="containsText" text="NA">
      <formula>NOT(ISERROR(SEARCH("NA",#REF!)))</formula>
    </cfRule>
    <cfRule type="containsText" dxfId="1595" priority="2797" operator="containsText" text="Pending">
      <formula>NOT(ISERROR(SEARCH("Pending",#REF!)))</formula>
    </cfRule>
    <cfRule type="containsText" dxfId="1594" priority="2796" operator="containsText" text="Done">
      <formula>NOT(ISERROR(SEARCH("Done",#REF!)))</formula>
    </cfRule>
    <cfRule type="containsText" dxfId="1593" priority="2795" operator="containsText" text="NA">
      <formula>NOT(ISERROR(SEARCH("NA",#REF!)))</formula>
    </cfRule>
    <cfRule type="containsText" dxfId="1592" priority="2794" operator="containsText" text="NA">
      <formula>NOT(ISERROR(SEARCH("NA",#REF!)))</formula>
    </cfRule>
    <cfRule type="containsText" dxfId="1591" priority="2793" operator="containsText" text="Pending">
      <formula>NOT(ISERROR(SEARCH("Pending",#REF!)))</formula>
    </cfRule>
    <cfRule type="containsText" dxfId="1590" priority="2792" operator="containsText" text="Done">
      <formula>NOT(ISERROR(SEARCH("Done",#REF!)))</formula>
    </cfRule>
    <cfRule type="containsText" dxfId="1589" priority="2791" operator="containsText" text="NA">
      <formula>NOT(ISERROR(SEARCH("NA",#REF!)))</formula>
    </cfRule>
    <cfRule type="containsText" dxfId="1588" priority="2790" operator="containsText" text="NA">
      <formula>NOT(ISERROR(SEARCH("NA",#REF!)))</formula>
    </cfRule>
    <cfRule type="containsText" dxfId="1587" priority="2789" operator="containsText" text="Pending">
      <formula>NOT(ISERROR(SEARCH("Pending",#REF!)))</formula>
    </cfRule>
    <cfRule type="containsText" dxfId="1586" priority="2788" operator="containsText" text="Done">
      <formula>NOT(ISERROR(SEARCH("Done",#REF!)))</formula>
    </cfRule>
    <cfRule type="containsText" dxfId="1585" priority="2787" operator="containsText" text="NA">
      <formula>NOT(ISERROR(SEARCH("NA",#REF!)))</formula>
    </cfRule>
    <cfRule type="containsText" dxfId="1584" priority="2786" operator="containsText" text="NA">
      <formula>NOT(ISERROR(SEARCH("NA",#REF!)))</formula>
    </cfRule>
    <cfRule type="containsText" dxfId="1583" priority="2785" operator="containsText" text="Pending">
      <formula>NOT(ISERROR(SEARCH("Pending",#REF!)))</formula>
    </cfRule>
    <cfRule type="containsText" dxfId="1582" priority="2784" operator="containsText" text="Done">
      <formula>NOT(ISERROR(SEARCH("Done",#REF!)))</formula>
    </cfRule>
    <cfRule type="containsText" dxfId="1581" priority="2783" operator="containsText" text="NA">
      <formula>NOT(ISERROR(SEARCH("NA",#REF!)))</formula>
    </cfRule>
    <cfRule type="containsText" dxfId="1580" priority="2782" operator="containsText" text="Pending">
      <formula>NOT(ISERROR(SEARCH("Pending",#REF!)))</formula>
    </cfRule>
    <cfRule type="containsText" dxfId="1579" priority="2781" operator="containsText" text="Done">
      <formula>NOT(ISERROR(SEARCH("Done",#REF!)))</formula>
    </cfRule>
    <cfRule type="containsText" dxfId="1578" priority="2780" operator="containsText" text="NA">
      <formula>NOT(ISERROR(SEARCH("NA",#REF!)))</formula>
    </cfRule>
    <cfRule type="containsText" dxfId="1577" priority="2779" operator="containsText" text="Done">
      <formula>NOT(ISERROR(SEARCH("Done",AF30)))</formula>
    </cfRule>
    <cfRule type="containsText" dxfId="1576" priority="2778" operator="containsText" text="NA">
      <formula>NOT(ISERROR(SEARCH("NA",AF30)))</formula>
    </cfRule>
    <cfRule type="containsText" dxfId="1575" priority="2777" operator="containsText" text="NA">
      <formula>NOT(ISERROR(SEARCH("NA",#REF!)))</formula>
    </cfRule>
    <cfRule type="containsText" dxfId="1574" priority="2776" operator="containsText" text="NA">
      <formula>NOT(ISERROR(SEARCH("NA",#REF!)))</formula>
    </cfRule>
    <cfRule type="containsText" dxfId="1573" priority="2775" operator="containsText" text="Pending">
      <formula>NOT(ISERROR(SEARCH("Pending",#REF!)))</formula>
    </cfRule>
    <cfRule type="containsText" dxfId="1572" priority="4360" operator="containsText" text="NA">
      <formula>NOT(ISERROR(SEARCH("NA",#REF!)))</formula>
    </cfRule>
    <cfRule type="containsText" dxfId="1571" priority="2774" operator="containsText" text="Done">
      <formula>NOT(ISERROR(SEARCH("Done",#REF!)))</formula>
    </cfRule>
    <cfRule type="containsText" dxfId="1570" priority="2773" operator="containsText" text="NA">
      <formula>NOT(ISERROR(SEARCH("NA",#REF!)))</formula>
    </cfRule>
    <cfRule type="containsText" dxfId="1569" priority="2772" operator="containsText" text="Pending">
      <formula>NOT(ISERROR(SEARCH("Pending",#REF!)))</formula>
    </cfRule>
    <cfRule type="containsText" dxfId="1568" priority="2771" operator="containsText" text="Done">
      <formula>NOT(ISERROR(SEARCH("Done",#REF!)))</formula>
    </cfRule>
    <cfRule type="containsText" dxfId="1567" priority="2770" operator="containsText" text="NA">
      <formula>NOT(ISERROR(SEARCH("NA",#REF!)))</formula>
    </cfRule>
    <cfRule type="containsText" dxfId="1566" priority="2769" operator="containsText" text="NA">
      <formula>NOT(ISERROR(SEARCH("NA",#REF!)))</formula>
    </cfRule>
    <cfRule type="containsText" dxfId="1565" priority="2768" operator="containsText" text="Pending">
      <formula>NOT(ISERROR(SEARCH("Pending",#REF!)))</formula>
    </cfRule>
    <cfRule type="containsText" dxfId="1564" priority="2767" operator="containsText" text="Done">
      <formula>NOT(ISERROR(SEARCH("Done",#REF!)))</formula>
    </cfRule>
    <cfRule type="containsText" dxfId="1563" priority="2766" operator="containsText" text="NA">
      <formula>NOT(ISERROR(SEARCH("NA",#REF!)))</formula>
    </cfRule>
    <cfRule type="containsText" dxfId="1562" priority="2765" operator="containsText" text="NA">
      <formula>NOT(ISERROR(SEARCH("NA",#REF!)))</formula>
    </cfRule>
    <cfRule type="containsText" dxfId="1561" priority="2764" operator="containsText" text="Pending">
      <formula>NOT(ISERROR(SEARCH("Pending",#REF!)))</formula>
    </cfRule>
    <cfRule type="containsText" dxfId="1560" priority="2763" operator="containsText" text="Done">
      <formula>NOT(ISERROR(SEARCH("Done",#REF!)))</formula>
    </cfRule>
    <cfRule type="containsText" dxfId="1559" priority="4359" operator="containsText" text="Pending">
      <formula>NOT(ISERROR(SEARCH("Pending",#REF!)))</formula>
    </cfRule>
    <cfRule type="containsText" dxfId="1558" priority="4358" operator="containsText" text="Done">
      <formula>NOT(ISERROR(SEARCH("Done",#REF!)))</formula>
    </cfRule>
    <cfRule type="containsText" dxfId="1557" priority="4357" operator="containsText" text="NA">
      <formula>NOT(ISERROR(SEARCH("NA",#REF!)))</formula>
    </cfRule>
    <cfRule type="containsText" dxfId="1556" priority="4356" operator="containsText" text="NA">
      <formula>NOT(ISERROR(SEARCH("NA",#REF!)))</formula>
    </cfRule>
    <cfRule type="containsText" dxfId="1555" priority="4355" operator="containsText" text="Pending">
      <formula>NOT(ISERROR(SEARCH("Pending",#REF!)))</formula>
    </cfRule>
    <cfRule type="containsText" dxfId="1554" priority="4354" operator="containsText" text="Done">
      <formula>NOT(ISERROR(SEARCH("Done",#REF!)))</formula>
    </cfRule>
    <cfRule type="containsText" dxfId="1553" priority="4353" operator="containsText" text="NA">
      <formula>NOT(ISERROR(SEARCH("NA",#REF!)))</formula>
    </cfRule>
    <cfRule type="containsText" dxfId="1552" priority="4352" operator="containsText" text="Pending">
      <formula>NOT(ISERROR(SEARCH("Pending",#REF!)))</formula>
    </cfRule>
    <cfRule type="containsText" dxfId="1551" priority="4351" operator="containsText" text="Done">
      <formula>NOT(ISERROR(SEARCH("Done",#REF!)))</formula>
    </cfRule>
    <cfRule type="containsText" dxfId="1550" priority="4350" operator="containsText" text="NA">
      <formula>NOT(ISERROR(SEARCH("NA",#REF!)))</formula>
    </cfRule>
    <cfRule type="containsText" dxfId="1549" priority="4349" operator="containsText" text="NA">
      <formula>NOT(ISERROR(SEARCH("NA",#REF!)))</formula>
    </cfRule>
    <cfRule type="containsText" dxfId="1548" priority="4348" operator="containsText" text="Pending">
      <formula>NOT(ISERROR(SEARCH("Pending",#REF!)))</formula>
    </cfRule>
  </conditionalFormatting>
  <conditionalFormatting sqref="AF30:AF32">
    <cfRule type="containsText" dxfId="1547" priority="123366" operator="containsText" text="Pending">
      <formula>NOT(ISERROR(SEARCH("Pending",#REF!)))</formula>
    </cfRule>
    <cfRule type="containsText" dxfId="1546" priority="124334" operator="containsText" text="NA">
      <formula>NOT(ISERROR(SEARCH("NA",#REF!)))</formula>
    </cfRule>
    <cfRule type="containsText" dxfId="1545" priority="124333" operator="containsText" text="Pending">
      <formula>NOT(ISERROR(SEARCH("Pending",#REF!)))</formula>
    </cfRule>
    <cfRule type="containsText" dxfId="1544" priority="124332" operator="containsText" text="Done">
      <formula>NOT(ISERROR(SEARCH("Done",#REF!)))</formula>
    </cfRule>
    <cfRule type="containsText" dxfId="1543" priority="124331" operator="containsText" text="NA">
      <formula>NOT(ISERROR(SEARCH("NA",#REF!)))</formula>
    </cfRule>
    <cfRule type="containsText" dxfId="1542" priority="123367" operator="containsText" text="NA">
      <formula>NOT(ISERROR(SEARCH("NA",#REF!)))</formula>
    </cfRule>
  </conditionalFormatting>
  <conditionalFormatting sqref="AF31:AF32">
    <cfRule type="containsText" dxfId="1541" priority="75817" operator="containsText" text="NA">
      <formula>NOT(ISERROR(SEARCH("NA",#REF!)))</formula>
    </cfRule>
    <cfRule type="containsText" dxfId="1540" priority="75816" operator="containsText" text="Done">
      <formula>NOT(ISERROR(SEARCH("Done",AF31)))</formula>
    </cfRule>
    <cfRule type="containsText" dxfId="1539" priority="75815" operator="containsText" text="Pending">
      <formula>NOT(ISERROR(SEARCH("Pending",AF31)))</formula>
    </cfRule>
    <cfRule type="containsText" dxfId="1538" priority="75814" operator="containsText" text="NA">
      <formula>NOT(ISERROR(SEARCH("NA",AF31)))</formula>
    </cfRule>
    <cfRule type="containsText" dxfId="1537" priority="75813" operator="containsText" text="NA">
      <formula>NOT(ISERROR(SEARCH("NA",#REF!)))</formula>
    </cfRule>
    <cfRule type="containsText" dxfId="1536" priority="75812" operator="containsText" text="Pending">
      <formula>NOT(ISERROR(SEARCH("Pending",#REF!)))</formula>
    </cfRule>
    <cfRule type="containsText" dxfId="1535" priority="75811" operator="containsText" text="Done">
      <formula>NOT(ISERROR(SEARCH("Done",#REF!)))</formula>
    </cfRule>
    <cfRule type="containsText" dxfId="1534" priority="75810" operator="containsText" text="NA">
      <formula>NOT(ISERROR(SEARCH("NA",#REF!)))</formula>
    </cfRule>
    <cfRule type="containsText" dxfId="1533" priority="75809" operator="containsText" text="Done">
      <formula>NOT(ISERROR(SEARCH("Done",AF31)))</formula>
    </cfRule>
    <cfRule type="containsText" dxfId="1532" priority="75808" operator="containsText" text="Pending">
      <formula>NOT(ISERROR(SEARCH("Pending",AF31)))</formula>
    </cfRule>
    <cfRule type="containsText" dxfId="1531" priority="75807" operator="containsText" text="NA">
      <formula>NOT(ISERROR(SEARCH("NA",AF31)))</formula>
    </cfRule>
    <cfRule type="containsText" dxfId="1530" priority="75806" operator="containsText" text="NA">
      <formula>NOT(ISERROR(SEARCH("NA",#REF!)))</formula>
    </cfRule>
    <cfRule type="containsText" dxfId="1529" priority="75805" operator="containsText" text="Pending">
      <formula>NOT(ISERROR(SEARCH("Pending",#REF!)))</formula>
    </cfRule>
    <cfRule type="containsText" dxfId="1528" priority="75820" operator="containsText" text="NA">
      <formula>NOT(ISERROR(SEARCH("NA",#REF!)))</formula>
    </cfRule>
    <cfRule type="containsText" dxfId="1527" priority="75819" operator="containsText" text="Pending">
      <formula>NOT(ISERROR(SEARCH("Pending",#REF!)))</formula>
    </cfRule>
    <cfRule type="containsText" dxfId="1526" priority="75818" operator="containsText" text="Done">
      <formula>NOT(ISERROR(SEARCH("Done",#REF!)))</formula>
    </cfRule>
    <cfRule type="containsText" dxfId="1525" priority="75763" operator="containsText" text="Pending">
      <formula>NOT(ISERROR(SEARCH("Pending",AF31)))</formula>
    </cfRule>
    <cfRule type="containsText" dxfId="1524" priority="75750" operator="containsText" text="NA">
      <formula>NOT(ISERROR(SEARCH("NA",#REF!)))</formula>
    </cfRule>
    <cfRule type="containsText" dxfId="1523" priority="75749" operator="containsText" text="Pending">
      <formula>NOT(ISERROR(SEARCH("Pending",#REF!)))</formula>
    </cfRule>
    <cfRule type="containsText" dxfId="1522" priority="75748" operator="containsText" text="Done">
      <formula>NOT(ISERROR(SEARCH("Done",#REF!)))</formula>
    </cfRule>
    <cfRule type="containsText" dxfId="1521" priority="75762" operator="containsText" text="NA">
      <formula>NOT(ISERROR(SEARCH("NA",AF31)))</formula>
    </cfRule>
    <cfRule type="containsText" dxfId="1520" priority="75747" operator="containsText" text="NA">
      <formula>NOT(ISERROR(SEARCH("NA",#REF!)))</formula>
    </cfRule>
    <cfRule type="containsText" dxfId="1519" priority="75781" operator="containsText" text="NA">
      <formula>NOT(ISERROR(SEARCH("NA",#REF!)))</formula>
    </cfRule>
    <cfRule type="containsText" dxfId="1518" priority="75780" operator="containsText" text="Pending">
      <formula>NOT(ISERROR(SEARCH("Pending",#REF!)))</formula>
    </cfRule>
    <cfRule type="containsText" dxfId="1517" priority="75779" operator="containsText" text="Done">
      <formula>NOT(ISERROR(SEARCH("Done",#REF!)))</formula>
    </cfRule>
    <cfRule type="containsText" dxfId="1516" priority="75778" operator="containsText" text="NA">
      <formula>NOT(ISERROR(SEARCH("NA",#REF!)))</formula>
    </cfRule>
    <cfRule type="containsText" dxfId="1515" priority="75777" operator="containsText" text="Done">
      <formula>NOT(ISERROR(SEARCH("Done",AF31)))</formula>
    </cfRule>
    <cfRule type="containsText" dxfId="1514" priority="75776" operator="containsText" text="Pending">
      <formula>NOT(ISERROR(SEARCH("Pending",AF31)))</formula>
    </cfRule>
    <cfRule type="containsText" dxfId="1513" priority="75775" operator="containsText" text="NA">
      <formula>NOT(ISERROR(SEARCH("NA",AF31)))</formula>
    </cfRule>
    <cfRule type="containsText" dxfId="1512" priority="75746" operator="containsText" text="NA">
      <formula>NOT(ISERROR(SEARCH("NA",#REF!)))</formula>
    </cfRule>
    <cfRule type="containsText" dxfId="1511" priority="75745" operator="containsText" text="Pending">
      <formula>NOT(ISERROR(SEARCH("Pending",#REF!)))</formula>
    </cfRule>
    <cfRule type="containsText" dxfId="1510" priority="75744" operator="containsText" text="Done">
      <formula>NOT(ISERROR(SEARCH("Done",#REF!)))</formula>
    </cfRule>
    <cfRule type="containsText" dxfId="1509" priority="75743" operator="containsText" text="NA">
      <formula>NOT(ISERROR(SEARCH("NA",#REF!)))</formula>
    </cfRule>
    <cfRule type="containsText" dxfId="1508" priority="75742" operator="containsText" text="NA">
      <formula>NOT(ISERROR(SEARCH("NA",#REF!)))</formula>
    </cfRule>
    <cfRule type="containsText" dxfId="1507" priority="75741" operator="containsText" text="Pending">
      <formula>NOT(ISERROR(SEARCH("Pending",#REF!)))</formula>
    </cfRule>
    <cfRule type="containsText" dxfId="1506" priority="75740" operator="containsText" text="Done">
      <formula>NOT(ISERROR(SEARCH("Done",#REF!)))</formula>
    </cfRule>
    <cfRule type="containsText" dxfId="1505" priority="75739" operator="containsText" text="NA">
      <formula>NOT(ISERROR(SEARCH("NA",#REF!)))</formula>
    </cfRule>
    <cfRule type="containsText" dxfId="1504" priority="75774" operator="containsText" text="NA">
      <formula>NOT(ISERROR(SEARCH("NA",#REF!)))</formula>
    </cfRule>
    <cfRule type="containsText" dxfId="1503" priority="75804" operator="containsText" text="Done">
      <formula>NOT(ISERROR(SEARCH("Done",#REF!)))</formula>
    </cfRule>
    <cfRule type="containsText" dxfId="1502" priority="75803" operator="containsText" text="NA">
      <formula>NOT(ISERROR(SEARCH("NA",#REF!)))</formula>
    </cfRule>
    <cfRule type="containsText" dxfId="1501" priority="75802" operator="containsText" text="NA">
      <formula>NOT(ISERROR(SEARCH("NA",#REF!)))</formula>
    </cfRule>
    <cfRule type="containsText" dxfId="1500" priority="75801" operator="containsText" text="Pending">
      <formula>NOT(ISERROR(SEARCH("Pending",#REF!)))</formula>
    </cfRule>
    <cfRule type="containsText" dxfId="1499" priority="75738" operator="containsText" text="NA">
      <formula>NOT(ISERROR(SEARCH("NA",#REF!)))</formula>
    </cfRule>
    <cfRule type="containsText" dxfId="1498" priority="75737" operator="containsText" text="Pending">
      <formula>NOT(ISERROR(SEARCH("Pending",#REF!)))</formula>
    </cfRule>
    <cfRule type="containsText" dxfId="1497" priority="75736" operator="containsText" text="Done">
      <formula>NOT(ISERROR(SEARCH("Done",#REF!)))</formula>
    </cfRule>
    <cfRule type="containsText" dxfId="1496" priority="75773" operator="containsText" text="Pending">
      <formula>NOT(ISERROR(SEARCH("Pending",#REF!)))</formula>
    </cfRule>
    <cfRule type="containsText" dxfId="1495" priority="75772" operator="containsText" text="Done">
      <formula>NOT(ISERROR(SEARCH("Done",#REF!)))</formula>
    </cfRule>
    <cfRule type="containsText" dxfId="1494" priority="75735" operator="containsText" text="NA">
      <formula>NOT(ISERROR(SEARCH("NA",#REF!)))</formula>
    </cfRule>
    <cfRule type="containsText" dxfId="1493" priority="75734" operator="containsText" text="NA">
      <formula>NOT(ISERROR(SEARCH("NA",#REF!)))</formula>
    </cfRule>
    <cfRule type="containsText" dxfId="1492" priority="75733" operator="containsText" text="Pending">
      <formula>NOT(ISERROR(SEARCH("Pending",#REF!)))</formula>
    </cfRule>
    <cfRule type="containsText" dxfId="1491" priority="75771" operator="containsText" text="NA">
      <formula>NOT(ISERROR(SEARCH("NA",#REF!)))</formula>
    </cfRule>
    <cfRule type="containsText" dxfId="1490" priority="75770" operator="containsText" text="Done">
      <formula>NOT(ISERROR(SEARCH("Done",AF31)))</formula>
    </cfRule>
    <cfRule type="containsText" dxfId="1489" priority="75732" operator="containsText" text="Done">
      <formula>NOT(ISERROR(SEARCH("Done",#REF!)))</formula>
    </cfRule>
    <cfRule type="containsText" dxfId="1488" priority="75731" operator="containsText" text="NA">
      <formula>NOT(ISERROR(SEARCH("NA",#REF!)))</formula>
    </cfRule>
    <cfRule type="containsText" dxfId="1487" priority="75730" operator="containsText" text="Done">
      <formula>NOT(ISERROR(SEARCH("Done",AF31)))</formula>
    </cfRule>
    <cfRule type="containsText" dxfId="1486" priority="75729" operator="containsText" text="Pending">
      <formula>NOT(ISERROR(SEARCH("Pending",AF31)))</formula>
    </cfRule>
    <cfRule type="containsText" dxfId="1485" priority="75728" operator="containsText" text="NA">
      <formula>NOT(ISERROR(SEARCH("NA",AF31)))</formula>
    </cfRule>
    <cfRule type="containsText" dxfId="1484" priority="75833" operator="containsText" text="NA">
      <formula>NOT(ISERROR(SEARCH("NA",#REF!)))</formula>
    </cfRule>
    <cfRule type="containsText" dxfId="1483" priority="75761" operator="containsText" text="NA">
      <formula>NOT(ISERROR(SEARCH("NA",#REF!)))</formula>
    </cfRule>
    <cfRule type="containsText" dxfId="1482" priority="75760" operator="containsText" text="Pending">
      <formula>NOT(ISERROR(SEARCH("Pending",#REF!)))</formula>
    </cfRule>
    <cfRule type="containsText" dxfId="1481" priority="75769" operator="containsText" text="NA">
      <formula>NOT(ISERROR(SEARCH("NA",AF31)))</formula>
    </cfRule>
    <cfRule type="containsText" dxfId="1480" priority="75759" operator="containsText" text="Done">
      <formula>NOT(ISERROR(SEARCH("Done",#REF!)))</formula>
    </cfRule>
    <cfRule type="containsText" dxfId="1479" priority="75758" operator="containsText" text="NA">
      <formula>NOT(ISERROR(SEARCH("NA",#REF!)))</formula>
    </cfRule>
    <cfRule type="containsText" dxfId="1478" priority="75757" operator="containsText" text="Done">
      <formula>NOT(ISERROR(SEARCH("Done",AF31)))</formula>
    </cfRule>
    <cfRule type="containsText" dxfId="1477" priority="75768" operator="containsText" text="NA">
      <formula>NOT(ISERROR(SEARCH("NA",#REF!)))</formula>
    </cfRule>
    <cfRule type="containsText" dxfId="1476" priority="75756" operator="containsText" text="Pending">
      <formula>NOT(ISERROR(SEARCH("Pending",AF31)))</formula>
    </cfRule>
    <cfRule type="containsText" dxfId="1475" priority="75755" operator="containsText" text="NA">
      <formula>NOT(ISERROR(SEARCH("NA",AF31)))</formula>
    </cfRule>
    <cfRule type="containsText" dxfId="1474" priority="75754" operator="containsText" text="NA">
      <formula>NOT(ISERROR(SEARCH("NA",#REF!)))</formula>
    </cfRule>
    <cfRule type="containsText" dxfId="1473" priority="75767" operator="containsText" text="Pending">
      <formula>NOT(ISERROR(SEARCH("Pending",#REF!)))</formula>
    </cfRule>
    <cfRule type="containsText" dxfId="1472" priority="75800" operator="containsText" text="Done">
      <formula>NOT(ISERROR(SEARCH("Done",#REF!)))</formula>
    </cfRule>
    <cfRule type="containsText" dxfId="1471" priority="75799" operator="containsText" text="NA">
      <formula>NOT(ISERROR(SEARCH("NA",#REF!)))</formula>
    </cfRule>
    <cfRule type="containsText" dxfId="1470" priority="75798" operator="containsText" text="NA">
      <formula>NOT(ISERROR(SEARCH("NA",#REF!)))</formula>
    </cfRule>
    <cfRule type="containsText" dxfId="1469" priority="75797" operator="containsText" text="Pending">
      <formula>NOT(ISERROR(SEARCH("Pending",#REF!)))</formula>
    </cfRule>
    <cfRule type="containsText" dxfId="1468" priority="75796" operator="containsText" text="Done">
      <formula>NOT(ISERROR(SEARCH("Done",#REF!)))</formula>
    </cfRule>
    <cfRule type="containsText" dxfId="1467" priority="75795" operator="containsText" text="NA">
      <formula>NOT(ISERROR(SEARCH("NA",#REF!)))</formula>
    </cfRule>
    <cfRule type="containsText" dxfId="1466" priority="75794" operator="containsText" text="Done">
      <formula>NOT(ISERROR(SEARCH("Done",AF31)))</formula>
    </cfRule>
    <cfRule type="containsText" dxfId="1465" priority="75793" operator="containsText" text="Pending">
      <formula>NOT(ISERROR(SEARCH("Pending",AF31)))</formula>
    </cfRule>
    <cfRule type="containsText" dxfId="1464" priority="75792" operator="containsText" text="NA">
      <formula>NOT(ISERROR(SEARCH("NA",AF31)))</formula>
    </cfRule>
    <cfRule type="containsText" dxfId="1463" priority="75791" operator="containsText" text="NA">
      <formula>NOT(ISERROR(SEARCH("NA",#REF!)))</formula>
    </cfRule>
    <cfRule type="containsText" dxfId="1462" priority="75790" operator="containsText" text="Pending">
      <formula>NOT(ISERROR(SEARCH("Pending",#REF!)))</formula>
    </cfRule>
    <cfRule type="containsText" dxfId="1461" priority="75789" operator="containsText" text="Done">
      <formula>NOT(ISERROR(SEARCH("Done",#REF!)))</formula>
    </cfRule>
    <cfRule type="containsText" dxfId="1460" priority="75788" operator="containsText" text="NA">
      <formula>NOT(ISERROR(SEARCH("NA",#REF!)))</formula>
    </cfRule>
    <cfRule type="containsText" dxfId="1459" priority="75787" operator="containsText" text="Done">
      <formula>NOT(ISERROR(SEARCH("Done",AF31)))</formula>
    </cfRule>
    <cfRule type="containsText" dxfId="1458" priority="75753" operator="containsText" text="Pending">
      <formula>NOT(ISERROR(SEARCH("Pending",#REF!)))</formula>
    </cfRule>
    <cfRule type="containsText" dxfId="1457" priority="75752" operator="containsText" text="Done">
      <formula>NOT(ISERROR(SEARCH("Done",#REF!)))</formula>
    </cfRule>
    <cfRule type="containsText" dxfId="1456" priority="75751" operator="containsText" text="NA">
      <formula>NOT(ISERROR(SEARCH("NA",#REF!)))</formula>
    </cfRule>
    <cfRule type="containsText" dxfId="1455" priority="75832" operator="containsText" text="Pending">
      <formula>NOT(ISERROR(SEARCH("Pending",#REF!)))</formula>
    </cfRule>
    <cfRule type="containsText" dxfId="1454" priority="75831" operator="containsText" text="Done">
      <formula>NOT(ISERROR(SEARCH("Done",#REF!)))</formula>
    </cfRule>
    <cfRule type="containsText" dxfId="1453" priority="75830" operator="containsText" text="NA">
      <formula>NOT(ISERROR(SEARCH("NA",#REF!)))</formula>
    </cfRule>
    <cfRule type="containsText" dxfId="1452" priority="75766" operator="containsText" text="Done">
      <formula>NOT(ISERROR(SEARCH("Done",#REF!)))</formula>
    </cfRule>
    <cfRule type="containsText" dxfId="1451" priority="75829" operator="containsText" text="NA">
      <formula>NOT(ISERROR(SEARCH("NA",#REF!)))</formula>
    </cfRule>
    <cfRule type="containsText" dxfId="1450" priority="75828" operator="containsText" text="Pending">
      <formula>NOT(ISERROR(SEARCH("Pending",#REF!)))</formula>
    </cfRule>
    <cfRule type="containsText" dxfId="1449" priority="75827" operator="containsText" text="Done">
      <formula>NOT(ISERROR(SEARCH("Done",#REF!)))</formula>
    </cfRule>
    <cfRule type="containsText" dxfId="1448" priority="75826" operator="containsText" text="NA">
      <formula>NOT(ISERROR(SEARCH("NA",#REF!)))</formula>
    </cfRule>
    <cfRule type="containsText" dxfId="1447" priority="75825" operator="containsText" text="NA">
      <formula>NOT(ISERROR(SEARCH("NA",#REF!)))</formula>
    </cfRule>
    <cfRule type="containsText" dxfId="1446" priority="75824" operator="containsText" text="Pending">
      <formula>NOT(ISERROR(SEARCH("Pending",#REF!)))</formula>
    </cfRule>
    <cfRule type="containsText" dxfId="1445" priority="75765" operator="containsText" text="NA">
      <formula>NOT(ISERROR(SEARCH("NA",#REF!)))</formula>
    </cfRule>
    <cfRule type="containsText" dxfId="1444" priority="75823" operator="containsText" text="Done">
      <formula>NOT(ISERROR(SEARCH("Done",#REF!)))</formula>
    </cfRule>
    <cfRule type="containsText" dxfId="1443" priority="75822" operator="containsText" text="NA">
      <formula>NOT(ISERROR(SEARCH("NA",#REF!)))</formula>
    </cfRule>
    <cfRule type="containsText" dxfId="1442" priority="75786" operator="containsText" text="NA">
      <formula>NOT(ISERROR(SEARCH("NA",AF31)))</formula>
    </cfRule>
    <cfRule type="containsText" dxfId="1441" priority="75785" operator="containsText" text="NA">
      <formula>NOT(ISERROR(SEARCH("NA",#REF!)))</formula>
    </cfRule>
    <cfRule type="containsText" dxfId="1440" priority="75784" operator="containsText" text="Pending">
      <formula>NOT(ISERROR(SEARCH("Pending",#REF!)))</formula>
    </cfRule>
    <cfRule type="containsText" dxfId="1439" priority="75783" operator="containsText" text="Done">
      <formula>NOT(ISERROR(SEARCH("Done",#REF!)))</formula>
    </cfRule>
    <cfRule type="containsText" dxfId="1438" priority="75782" operator="containsText" text="NA">
      <formula>NOT(ISERROR(SEARCH("NA",#REF!)))</formula>
    </cfRule>
    <cfRule type="containsText" dxfId="1437" priority="75821" operator="containsText" text="Pending">
      <formula>NOT(ISERROR(SEARCH("Pending",#REF!)))</formula>
    </cfRule>
    <cfRule type="containsText" dxfId="1436" priority="75764" operator="containsText" text="Done">
      <formula>NOT(ISERROR(SEARCH("Done",AF31)))</formula>
    </cfRule>
  </conditionalFormatting>
  <conditionalFormatting sqref="AF48">
    <cfRule type="containsText" dxfId="1435" priority="140095" operator="containsText" text="Pending">
      <formula>NOT(ISERROR(SEARCH("Pending",#REF!)))</formula>
    </cfRule>
    <cfRule type="containsText" dxfId="1434" priority="140182" operator="containsText" text="NA">
      <formula>NOT(ISERROR(SEARCH("NA",#REF!)))</formula>
    </cfRule>
    <cfRule type="containsText" dxfId="1433" priority="140181" operator="containsText" text="NA">
      <formula>NOT(ISERROR(SEARCH("NA",#REF!)))</formula>
    </cfRule>
    <cfRule type="containsText" dxfId="1432" priority="140180" operator="containsText" text="NA">
      <formula>NOT(ISERROR(SEARCH("NA",#REF!)))</formula>
    </cfRule>
    <cfRule type="containsText" dxfId="1431" priority="140094" operator="containsText" text="Pending">
      <formula>NOT(ISERROR(SEARCH("Pending",#REF!)))</formula>
    </cfRule>
  </conditionalFormatting>
  <conditionalFormatting sqref="AF49">
    <cfRule type="containsText" dxfId="1430" priority="140191" operator="containsText" text="NA">
      <formula>NOT(ISERROR(SEARCH("NA",#REF!)))</formula>
    </cfRule>
    <cfRule type="containsText" dxfId="1429" priority="140192" operator="containsText" text="NA">
      <formula>NOT(ISERROR(SEARCH("NA",#REF!)))</formula>
    </cfRule>
    <cfRule type="containsText" dxfId="1428" priority="140193" operator="containsText" text="NA">
      <formula>NOT(ISERROR(SEARCH("NA",#REF!)))</formula>
    </cfRule>
    <cfRule type="containsText" dxfId="1427" priority="140106" operator="containsText" text="Pending">
      <formula>NOT(ISERROR(SEARCH("Pending",#REF!)))</formula>
    </cfRule>
    <cfRule type="containsText" dxfId="1426" priority="140105" operator="containsText" text="Pending">
      <formula>NOT(ISERROR(SEARCH("Pending",#REF!)))</formula>
    </cfRule>
  </conditionalFormatting>
  <conditionalFormatting sqref="AF50:AF53">
    <cfRule type="containsText" dxfId="1425" priority="140243" operator="containsText" text="NA">
      <formula>NOT(ISERROR(SEARCH("NA",#REF!)))</formula>
    </cfRule>
    <cfRule type="containsText" dxfId="1424" priority="140156" operator="containsText" text="Pending">
      <formula>NOT(ISERROR(SEARCH("Pending",#REF!)))</formula>
    </cfRule>
    <cfRule type="containsText" dxfId="1423" priority="140155" operator="containsText" text="Pending">
      <formula>NOT(ISERROR(SEARCH("Pending",#REF!)))</formula>
    </cfRule>
    <cfRule type="containsText" dxfId="1422" priority="140154" operator="containsText" text="Pending">
      <formula>NOT(ISERROR(SEARCH("Pending",#REF!)))</formula>
    </cfRule>
    <cfRule type="containsText" dxfId="1421" priority="140241" operator="containsText" text="NA">
      <formula>NOT(ISERROR(SEARCH("NA",#REF!)))</formula>
    </cfRule>
    <cfRule type="containsText" dxfId="1420" priority="140242" operator="containsText" text="NA">
      <formula>NOT(ISERROR(SEARCH("NA",#REF!)))</formula>
    </cfRule>
    <cfRule type="containsText" dxfId="1419" priority="140240" operator="containsText" text="NA">
      <formula>NOT(ISERROR(SEARCH("NA",#REF!)))</formula>
    </cfRule>
    <cfRule type="containsText" dxfId="1418" priority="120471" operator="containsText" text="Done">
      <formula>NOT(ISERROR(SEARCH("Done",#REF!)))</formula>
    </cfRule>
    <cfRule type="containsText" dxfId="1417" priority="120470" operator="containsText" text="NA">
      <formula>NOT(ISERROR(SEARCH("NA",AC114)))</formula>
    </cfRule>
    <cfRule type="containsText" dxfId="1416" priority="120469" operator="containsText" text="Pending">
      <formula>NOT(ISERROR(SEARCH("Pending",AC114)))</formula>
    </cfRule>
    <cfRule type="containsText" dxfId="1415" priority="120475" operator="containsText" text="NA">
      <formula>NOT(ISERROR(SEARCH("NA",#REF!)))</formula>
    </cfRule>
    <cfRule type="containsText" dxfId="1414" priority="120474" operator="containsText" text="Pending">
      <formula>NOT(ISERROR(SEARCH("Pending",#REF!)))</formula>
    </cfRule>
    <cfRule type="containsText" dxfId="1413" priority="120468" operator="containsText" text="Done">
      <formula>NOT(ISERROR(SEARCH("Done",AC114)))</formula>
    </cfRule>
    <cfRule type="containsText" dxfId="1412" priority="120473" operator="containsText" text="Pending">
      <formula>NOT(ISERROR(SEARCH("Pending",#REF!)))</formula>
    </cfRule>
    <cfRule type="containsText" dxfId="1411" priority="120476" operator="containsText" text="NA">
      <formula>NOT(ISERROR(SEARCH("NA",#REF!)))</formula>
    </cfRule>
  </conditionalFormatting>
  <conditionalFormatting sqref="AF77:AF78">
    <cfRule type="containsText" dxfId="1410" priority="75662" operator="containsText" text="Pending">
      <formula>NOT(ISERROR(SEARCH("Pending",#REF!)))</formula>
    </cfRule>
    <cfRule type="containsText" dxfId="1409" priority="75668" operator="containsText" text="Done">
      <formula>NOT(ISERROR(SEARCH("Done",#REF!)))</formula>
    </cfRule>
    <cfRule type="containsText" dxfId="1408" priority="75659" operator="containsText" text="NA">
      <formula>NOT(ISERROR(SEARCH("NA",#REF!)))</formula>
    </cfRule>
    <cfRule type="containsText" dxfId="1407" priority="75672" operator="containsText" text="NA">
      <formula>NOT(ISERROR(SEARCH("NA",#REF!)))</formula>
    </cfRule>
    <cfRule type="containsText" dxfId="1406" priority="75671" operator="containsText" text="NA">
      <formula>NOT(ISERROR(SEARCH("NA",#REF!)))</formula>
    </cfRule>
    <cfRule type="containsText" dxfId="1405" priority="75664" operator="containsText" text="Pending">
      <formula>NOT(ISERROR(SEARCH("Pending",#REF!)))</formula>
    </cfRule>
    <cfRule type="containsText" dxfId="1404" priority="75670" operator="containsText" text="Pending">
      <formula>NOT(ISERROR(SEARCH("Pending",#REF!)))</formula>
    </cfRule>
    <cfRule type="containsText" dxfId="1403" priority="75677" operator="containsText" text="NA">
      <formula>NOT(ISERROR(SEARCH("NA",#REF!)))</formula>
    </cfRule>
    <cfRule type="containsText" dxfId="1402" priority="75669" operator="containsText" text="Pending">
      <formula>NOT(ISERROR(SEARCH("Pending",#REF!)))</formula>
    </cfRule>
    <cfRule type="containsText" dxfId="1401" priority="75661" operator="containsText" text="Done">
      <formula>NOT(ISERROR(SEARCH("Done",#REF!)))</formula>
    </cfRule>
    <cfRule type="containsText" dxfId="1400" priority="75673" operator="containsText" text="Done">
      <formula>NOT(ISERROR(SEARCH("Done",#REF!)))</formula>
    </cfRule>
    <cfRule type="containsText" dxfId="1399" priority="75674" operator="containsText" text="Pending">
      <formula>NOT(ISERROR(SEARCH("Pending",#REF!)))</formula>
    </cfRule>
    <cfRule type="containsText" dxfId="1398" priority="75675" operator="containsText" text="Pending">
      <formula>NOT(ISERROR(SEARCH("Pending",#REF!)))</formula>
    </cfRule>
    <cfRule type="containsText" dxfId="1397" priority="75665" operator="containsText" text="NA">
      <formula>NOT(ISERROR(SEARCH("NA",#REF!)))</formula>
    </cfRule>
    <cfRule type="containsText" dxfId="1396" priority="75667" operator="containsText" text="NA">
      <formula>NOT(ISERROR(SEARCH("NA",#REF!)))</formula>
    </cfRule>
    <cfRule type="containsText" dxfId="1395" priority="75666" operator="containsText" text="NA">
      <formula>NOT(ISERROR(SEARCH("NA",#REF!)))</formula>
    </cfRule>
    <cfRule type="containsText" dxfId="1394" priority="75660" operator="containsText" text="Done">
      <formula>NOT(ISERROR(SEARCH("Done",#REF!)))</formula>
    </cfRule>
    <cfRule type="containsText" dxfId="1393" priority="75663" operator="containsText" text="Pending">
      <formula>NOT(ISERROR(SEARCH("Pending",#REF!)))</formula>
    </cfRule>
    <cfRule type="containsText" dxfId="1392" priority="75676" operator="containsText" text="NA">
      <formula>NOT(ISERROR(SEARCH("NA",#REF!)))</formula>
    </cfRule>
  </conditionalFormatting>
  <conditionalFormatting sqref="AF77:AF81">
    <cfRule type="containsText" dxfId="1391" priority="3597" operator="containsText" text="Pending">
      <formula>NOT(ISERROR(SEARCH("Pending",#REF!)))</formula>
    </cfRule>
  </conditionalFormatting>
  <conditionalFormatting sqref="AF79:AF81">
    <cfRule type="containsText" dxfId="1390" priority="3596" operator="containsText" text="Done">
      <formula>NOT(ISERROR(SEARCH("Done",#REF!)))</formula>
    </cfRule>
    <cfRule type="containsText" dxfId="1389" priority="188" operator="containsText" text="NA">
      <formula>NOT(ISERROR(SEARCH("NA",#REF!)))</formula>
    </cfRule>
    <cfRule type="containsText" dxfId="1388" priority="187" operator="containsText" text="Pending">
      <formula>NOT(ISERROR(SEARCH("Pending",#REF!)))</formula>
    </cfRule>
    <cfRule type="containsText" dxfId="1387" priority="186" operator="containsText" text="Done">
      <formula>NOT(ISERROR(SEARCH("Done",#REF!)))</formula>
    </cfRule>
    <cfRule type="containsText" dxfId="1386" priority="185" operator="containsText" text="Done">
      <formula>NOT(ISERROR(SEARCH("Done",AF79)))</formula>
    </cfRule>
    <cfRule type="containsText" dxfId="1385" priority="184" operator="containsText" text="NA">
      <formula>NOT(ISERROR(SEARCH("NA",AF79)))</formula>
    </cfRule>
    <cfRule type="containsText" dxfId="1384" priority="189" operator="containsText" text="NA">
      <formula>NOT(ISERROR(SEARCH("NA",AF79)))</formula>
    </cfRule>
    <cfRule type="containsText" dxfId="1383" priority="190" operator="containsText" text="Done">
      <formula>NOT(ISERROR(SEARCH("Done",AF79)))</formula>
    </cfRule>
    <cfRule type="containsText" dxfId="1382" priority="191" operator="containsText" text="Done">
      <formula>NOT(ISERROR(SEARCH("Done",#REF!)))</formula>
    </cfRule>
    <cfRule type="containsText" dxfId="1381" priority="192" operator="containsText" text="Pending">
      <formula>NOT(ISERROR(SEARCH("Pending",#REF!)))</formula>
    </cfRule>
    <cfRule type="containsText" dxfId="1380" priority="3595" operator="containsText" text="Done">
      <formula>NOT(ISERROR(SEARCH("Done",AF79)))</formula>
    </cfRule>
    <cfRule type="containsText" dxfId="1379" priority="194" operator="containsText" text="NA">
      <formula>NOT(ISERROR(SEARCH("NA",AF79)))</formula>
    </cfRule>
    <cfRule type="containsText" dxfId="1378" priority="195" operator="containsText" text="Done">
      <formula>NOT(ISERROR(SEARCH("Done",AF79)))</formula>
    </cfRule>
    <cfRule type="containsText" dxfId="1377" priority="196" operator="containsText" text="Done">
      <formula>NOT(ISERROR(SEARCH("Done",#REF!)))</formula>
    </cfRule>
    <cfRule type="containsText" dxfId="1376" priority="197" operator="containsText" text="Pending">
      <formula>NOT(ISERROR(SEARCH("Pending",#REF!)))</formula>
    </cfRule>
    <cfRule type="containsText" dxfId="1375" priority="198" operator="containsText" text="NA">
      <formula>NOT(ISERROR(SEARCH("NA",#REF!)))</formula>
    </cfRule>
    <cfRule type="containsText" dxfId="1374" priority="3598" operator="containsText" text="NA">
      <formula>NOT(ISERROR(SEARCH("NA",#REF!)))</formula>
    </cfRule>
    <cfRule type="containsText" dxfId="1373" priority="3594" operator="containsText" text="NA">
      <formula>NOT(ISERROR(SEARCH("NA",AF79)))</formula>
    </cfRule>
    <cfRule type="containsText" dxfId="1372" priority="193" operator="containsText" text="NA">
      <formula>NOT(ISERROR(SEARCH("NA",#REF!)))</formula>
    </cfRule>
  </conditionalFormatting>
  <conditionalFormatting sqref="AF82">
    <cfRule type="containsText" dxfId="1371" priority="173" operator="containsText" text="NA">
      <formula>NOT(ISERROR(SEARCH("NA",#REF!)))</formula>
    </cfRule>
    <cfRule type="containsText" dxfId="1370" priority="174" operator="containsText" text="NA">
      <formula>NOT(ISERROR(SEARCH("NA",AF82)))</formula>
    </cfRule>
    <cfRule type="containsText" dxfId="1369" priority="175" operator="containsText" text="Done">
      <formula>NOT(ISERROR(SEARCH("Done",AF82)))</formula>
    </cfRule>
    <cfRule type="containsText" dxfId="1368" priority="176" operator="containsText" text="Done">
      <formula>NOT(ISERROR(SEARCH("Done",#REF!)))</formula>
    </cfRule>
    <cfRule type="containsText" dxfId="1367" priority="177" operator="containsText" text="Pending">
      <formula>NOT(ISERROR(SEARCH("Pending",#REF!)))</formula>
    </cfRule>
    <cfRule type="containsText" dxfId="1366" priority="178" operator="containsText" text="NA">
      <formula>NOT(ISERROR(SEARCH("NA",#REF!)))</formula>
    </cfRule>
    <cfRule type="containsText" dxfId="1365" priority="179" operator="containsText" text="NA">
      <formula>NOT(ISERROR(SEARCH("NA",AF82)))</formula>
    </cfRule>
    <cfRule type="containsText" dxfId="1364" priority="180" operator="containsText" text="Done">
      <formula>NOT(ISERROR(SEARCH("Done",AF82)))</formula>
    </cfRule>
    <cfRule type="containsText" dxfId="1363" priority="181" operator="containsText" text="Done">
      <formula>NOT(ISERROR(SEARCH("Done",#REF!)))</formula>
    </cfRule>
    <cfRule type="containsText" dxfId="1362" priority="182" operator="containsText" text="Pending">
      <formula>NOT(ISERROR(SEARCH("Pending",#REF!)))</formula>
    </cfRule>
    <cfRule type="containsText" dxfId="1361" priority="183" operator="containsText" text="NA">
      <formula>NOT(ISERROR(SEARCH("NA",#REF!)))</formula>
    </cfRule>
    <cfRule type="containsText" dxfId="1360" priority="214" operator="containsText" text="Done">
      <formula>NOT(ISERROR(SEARCH("Done",#REF!)))</formula>
    </cfRule>
    <cfRule type="containsText" dxfId="1359" priority="215" operator="containsText" text="Pending">
      <formula>NOT(ISERROR(SEARCH("Pending",#REF!)))</formula>
    </cfRule>
    <cfRule type="containsText" dxfId="1358" priority="216" operator="containsText" text="Pending">
      <formula>NOT(ISERROR(SEARCH("Pending",#REF!)))</formula>
    </cfRule>
    <cfRule type="containsText" dxfId="1357" priority="217" operator="containsText" text="NA">
      <formula>NOT(ISERROR(SEARCH("NA",#REF!)))</formula>
    </cfRule>
    <cfRule type="containsText" dxfId="1356" priority="218" operator="containsText" text="NA">
      <formula>NOT(ISERROR(SEARCH("NA",#REF!)))</formula>
    </cfRule>
    <cfRule type="containsText" dxfId="1355" priority="201" operator="containsText" text="Done">
      <formula>NOT(ISERROR(SEARCH("Done",#REF!)))</formula>
    </cfRule>
    <cfRule type="containsText" dxfId="1354" priority="213" operator="containsText" text="NA">
      <formula>NOT(ISERROR(SEARCH("NA",#REF!)))</formula>
    </cfRule>
    <cfRule type="containsText" dxfId="1353" priority="202" operator="containsText" text="Done">
      <formula>NOT(ISERROR(SEARCH("Done",#REF!)))</formula>
    </cfRule>
    <cfRule type="containsText" dxfId="1352" priority="203" operator="containsText" text="Pending">
      <formula>NOT(ISERROR(SEARCH("Pending",#REF!)))</formula>
    </cfRule>
    <cfRule type="containsText" dxfId="1351" priority="169" operator="containsText" text="NA">
      <formula>NOT(ISERROR(SEARCH("NA",AF82)))</formula>
    </cfRule>
    <cfRule type="containsText" dxfId="1350" priority="199" operator="containsText" text="Pending">
      <formula>NOT(ISERROR(SEARCH("Pending",#REF!)))</formula>
    </cfRule>
    <cfRule type="containsText" dxfId="1349" priority="200" operator="containsText" text="NA">
      <formula>NOT(ISERROR(SEARCH("NA",#REF!)))</formula>
    </cfRule>
    <cfRule type="containsText" dxfId="1348" priority="170" operator="containsText" text="Done">
      <formula>NOT(ISERROR(SEARCH("Done",AF82)))</formula>
    </cfRule>
    <cfRule type="containsText" dxfId="1347" priority="204" operator="containsText" text="Pending">
      <formula>NOT(ISERROR(SEARCH("Pending",#REF!)))</formula>
    </cfRule>
    <cfRule type="containsText" dxfId="1346" priority="205" operator="containsText" text="Pending">
      <formula>NOT(ISERROR(SEARCH("Pending",#REF!)))</formula>
    </cfRule>
    <cfRule type="containsText" dxfId="1345" priority="206" operator="containsText" text="NA">
      <formula>NOT(ISERROR(SEARCH("NA",#REF!)))</formula>
    </cfRule>
    <cfRule type="containsText" dxfId="1344" priority="207" operator="containsText" text="NA">
      <formula>NOT(ISERROR(SEARCH("NA",#REF!)))</formula>
    </cfRule>
    <cfRule type="containsText" dxfId="1343" priority="208" operator="containsText" text="NA">
      <formula>NOT(ISERROR(SEARCH("NA",#REF!)))</formula>
    </cfRule>
    <cfRule type="containsText" dxfId="1342" priority="171" operator="containsText" text="Done">
      <formula>NOT(ISERROR(SEARCH("Done",#REF!)))</formula>
    </cfRule>
    <cfRule type="containsText" dxfId="1341" priority="172" operator="containsText" text="Pending">
      <formula>NOT(ISERROR(SEARCH("Pending",#REF!)))</formula>
    </cfRule>
    <cfRule type="containsText" dxfId="1340" priority="209" operator="containsText" text="Done">
      <formula>NOT(ISERROR(SEARCH("Done",#REF!)))</formula>
    </cfRule>
    <cfRule type="containsText" dxfId="1339" priority="210" operator="containsText" text="Pending">
      <formula>NOT(ISERROR(SEARCH("Pending",#REF!)))</formula>
    </cfRule>
    <cfRule type="containsText" dxfId="1338" priority="211" operator="containsText" text="Pending">
      <formula>NOT(ISERROR(SEARCH("Pending",#REF!)))</formula>
    </cfRule>
    <cfRule type="containsText" dxfId="1337" priority="212" operator="containsText" text="NA">
      <formula>NOT(ISERROR(SEARCH("NA",#REF!)))</formula>
    </cfRule>
  </conditionalFormatting>
  <conditionalFormatting sqref="AF82:AF83">
    <cfRule type="containsText" dxfId="1336" priority="3589" operator="containsText" text="NA">
      <formula>NOT(ISERROR(SEARCH("NA",AF82)))</formula>
    </cfRule>
    <cfRule type="containsText" dxfId="1335" priority="3590" operator="containsText" text="Done">
      <formula>NOT(ISERROR(SEARCH("Done",AF82)))</formula>
    </cfRule>
    <cfRule type="containsText" dxfId="1334" priority="3591" operator="containsText" text="Done">
      <formula>NOT(ISERROR(SEARCH("Done",#REF!)))</formula>
    </cfRule>
    <cfRule type="containsText" dxfId="1333" priority="3592" operator="containsText" text="Pending">
      <formula>NOT(ISERROR(SEARCH("Pending",#REF!)))</formula>
    </cfRule>
    <cfRule type="containsText" dxfId="1332" priority="3593" operator="containsText" text="NA">
      <formula>NOT(ISERROR(SEARCH("NA",#REF!)))</formula>
    </cfRule>
  </conditionalFormatting>
  <conditionalFormatting sqref="AF88:AF89">
    <cfRule type="containsText" dxfId="1331" priority="77326" operator="containsText" text="NA">
      <formula>NOT(ISERROR(SEARCH("NA",#REF!)))</formula>
    </cfRule>
    <cfRule type="containsText" dxfId="1330" priority="77325" operator="containsText" text="Pending">
      <formula>NOT(ISERROR(SEARCH("Pending",#REF!)))</formula>
    </cfRule>
    <cfRule type="containsText" dxfId="1329" priority="77324" operator="containsText" text="Done">
      <formula>NOT(ISERROR(SEARCH("Done",#REF!)))</formula>
    </cfRule>
    <cfRule type="containsText" dxfId="1328" priority="77323" operator="containsText" text="Done">
      <formula>NOT(ISERROR(SEARCH("Done",AF88)))</formula>
    </cfRule>
    <cfRule type="containsText" dxfId="1327" priority="77322" operator="containsText" text="NA">
      <formula>NOT(ISERROR(SEARCH("NA",AF88)))</formula>
    </cfRule>
  </conditionalFormatting>
  <conditionalFormatting sqref="AF89">
    <cfRule type="containsText" dxfId="1326" priority="4244" operator="containsText" text="NA">
      <formula>NOT(ISERROR(SEARCH("NA",AF89)))</formula>
    </cfRule>
    <cfRule type="containsText" dxfId="1325" priority="4245" operator="containsText" text="Done">
      <formula>NOT(ISERROR(SEARCH("Done",AF89)))</formula>
    </cfRule>
    <cfRule type="containsText" dxfId="1324" priority="4246" operator="containsText" text="Done">
      <formula>NOT(ISERROR(SEARCH("Done",#REF!)))</formula>
    </cfRule>
    <cfRule type="containsText" dxfId="1323" priority="4247" operator="containsText" text="Pending">
      <formula>NOT(ISERROR(SEARCH("Pending",#REF!)))</formula>
    </cfRule>
    <cfRule type="containsText" dxfId="1322" priority="4248" operator="containsText" text="NA">
      <formula>NOT(ISERROR(SEARCH("NA",#REF!)))</formula>
    </cfRule>
  </conditionalFormatting>
  <conditionalFormatting sqref="AF48:AG53">
    <cfRule type="containsText" dxfId="1321" priority="140093" operator="containsText" text="Pending">
      <formula>NOT(ISERROR(SEARCH("Pending",#REF!)))</formula>
    </cfRule>
    <cfRule type="containsText" dxfId="1320" priority="140006" operator="containsText" text="Done">
      <formula>NOT(ISERROR(SEARCH("Done",#REF!)))</formula>
    </cfRule>
  </conditionalFormatting>
  <conditionalFormatting sqref="AF49:AG49 AE49:AE53 Z49:AB53 W51:X53 R53:Y53">
    <cfRule type="containsText" dxfId="1319" priority="127358" operator="containsText" text="NA">
      <formula>NOT(ISERROR(SEARCH("NA",O113)))</formula>
    </cfRule>
    <cfRule type="containsText" dxfId="1318" priority="127357" operator="containsText" text="Pending">
      <formula>NOT(ISERROR(SEARCH("Pending",O113)))</formula>
    </cfRule>
    <cfRule type="containsText" dxfId="1317" priority="127356" operator="containsText" text="Done">
      <formula>NOT(ISERROR(SEARCH("Done",O113)))</formula>
    </cfRule>
  </conditionalFormatting>
  <conditionalFormatting sqref="AF88:AI89">
    <cfRule type="containsText" dxfId="1316" priority="77385" operator="containsText" text="NA">
      <formula>NOT(ISERROR(SEARCH("NA",#REF!)))</formula>
    </cfRule>
    <cfRule type="containsText" dxfId="1315" priority="77384" operator="containsText" text="Pending">
      <formula>NOT(ISERROR(SEARCH("Pending",#REF!)))</formula>
    </cfRule>
  </conditionalFormatting>
  <conditionalFormatting sqref="AG21">
    <cfRule type="containsText" dxfId="1314" priority="136071" operator="containsText" text="NA">
      <formula>NOT(ISERROR(SEARCH("NA",#REF!)))</formula>
    </cfRule>
  </conditionalFormatting>
  <conditionalFormatting sqref="AG21:AG22">
    <cfRule type="containsText" dxfId="1313" priority="135853" operator="containsText" text="Pending">
      <formula>NOT(ISERROR(SEARCH("Pending",#REF!)))</formula>
    </cfRule>
  </conditionalFormatting>
  <conditionalFormatting sqref="AG22">
    <cfRule type="containsText" dxfId="1312" priority="136103" operator="containsText" text="NA">
      <formula>NOT(ISERROR(SEARCH("NA",#REF!)))</formula>
    </cfRule>
  </conditionalFormatting>
  <conditionalFormatting sqref="AG29:AG32">
    <cfRule type="containsText" dxfId="1311" priority="2716" operator="containsText" text="NA">
      <formula>NOT(ISERROR(SEARCH("NA",#REF!)))</formula>
    </cfRule>
    <cfRule type="containsText" dxfId="1310" priority="2715" operator="containsText" text="Pending">
      <formula>NOT(ISERROR(SEARCH("Pending",#REF!)))</formula>
    </cfRule>
    <cfRule type="containsText" dxfId="1309" priority="2714" operator="containsText" text="Done">
      <formula>NOT(ISERROR(SEARCH("Done",#REF!)))</formula>
    </cfRule>
    <cfRule type="containsText" dxfId="1308" priority="2713" operator="containsText" text="NA">
      <formula>NOT(ISERROR(SEARCH("NA",#REF!)))</formula>
    </cfRule>
    <cfRule type="containsText" dxfId="1307" priority="2712" operator="containsText" text="NA">
      <formula>NOT(ISERROR(SEARCH("NA",#REF!)))</formula>
    </cfRule>
    <cfRule type="containsText" dxfId="1306" priority="2711" operator="containsText" text="Pending">
      <formula>NOT(ISERROR(SEARCH("Pending",#REF!)))</formula>
    </cfRule>
    <cfRule type="containsText" dxfId="1305" priority="2710" operator="containsText" text="NA">
      <formula>NOT(ISERROR(SEARCH("NA",#REF!)))</formula>
    </cfRule>
    <cfRule type="containsText" dxfId="1304" priority="2709" operator="containsText" text="Pending">
      <formula>NOT(ISERROR(SEARCH("Pending",#REF!)))</formula>
    </cfRule>
    <cfRule type="containsText" dxfId="1303" priority="2708" operator="containsText" text="Done">
      <formula>NOT(ISERROR(SEARCH("Done",#REF!)))</formula>
    </cfRule>
    <cfRule type="containsText" dxfId="1302" priority="2707" operator="containsText" text="NA">
      <formula>NOT(ISERROR(SEARCH("NA",#REF!)))</formula>
    </cfRule>
    <cfRule type="containsText" dxfId="1301" priority="2706" operator="containsText" text="Done">
      <formula>NOT(ISERROR(SEARCH("Done",AG29)))</formula>
    </cfRule>
    <cfRule type="containsText" dxfId="1300" priority="2705" operator="containsText" text="Pending">
      <formula>NOT(ISERROR(SEARCH("Pending",AG29)))</formula>
    </cfRule>
    <cfRule type="containsText" dxfId="1299" priority="2704" operator="containsText" text="NA">
      <formula>NOT(ISERROR(SEARCH("NA",AG29)))</formula>
    </cfRule>
    <cfRule type="containsText" dxfId="1298" priority="2703" operator="containsText" text="Done">
      <formula>NOT(ISERROR(SEARCH("Done",#REF!)))</formula>
    </cfRule>
    <cfRule type="containsText" dxfId="1297" priority="2702" operator="containsText" text="NA">
      <formula>NOT(ISERROR(SEARCH("NA",#REF!)))</formula>
    </cfRule>
    <cfRule type="containsText" dxfId="1296" priority="2701" operator="containsText" text="Pending">
      <formula>NOT(ISERROR(SEARCH("Pending",#REF!)))</formula>
    </cfRule>
    <cfRule type="containsText" dxfId="1295" priority="2700" operator="containsText" text="Done">
      <formula>NOT(ISERROR(SEARCH("Done",#REF!)))</formula>
    </cfRule>
    <cfRule type="containsText" dxfId="1294" priority="2699" operator="containsText" text="NA">
      <formula>NOT(ISERROR(SEARCH("NA",#REF!)))</formula>
    </cfRule>
    <cfRule type="containsText" dxfId="1293" priority="2698" operator="containsText" text="NA">
      <formula>NOT(ISERROR(SEARCH("NA",#REF!)))</formula>
    </cfRule>
    <cfRule type="containsText" dxfId="1292" priority="2697" operator="containsText" text="Pending">
      <formula>NOT(ISERROR(SEARCH("Pending",#REF!)))</formula>
    </cfRule>
    <cfRule type="containsText" dxfId="1291" priority="2696" operator="containsText" text="Done">
      <formula>NOT(ISERROR(SEARCH("Done",#REF!)))</formula>
    </cfRule>
    <cfRule type="containsText" dxfId="1290" priority="2695" operator="containsText" text="NA">
      <formula>NOT(ISERROR(SEARCH("NA",#REF!)))</formula>
    </cfRule>
    <cfRule type="containsText" dxfId="1289" priority="2694" operator="containsText" text="Pending">
      <formula>NOT(ISERROR(SEARCH("Pending",#REF!)))</formula>
    </cfRule>
    <cfRule type="containsText" dxfId="1288" priority="2693" operator="containsText" text="Done">
      <formula>NOT(ISERROR(SEARCH("Done",#REF!)))</formula>
    </cfRule>
    <cfRule type="containsText" dxfId="1287" priority="2692" operator="containsText" text="NA">
      <formula>NOT(ISERROR(SEARCH("NA",#REF!)))</formula>
    </cfRule>
    <cfRule type="containsText" dxfId="1286" priority="2691" operator="containsText" text="NA">
      <formula>NOT(ISERROR(SEARCH("NA",#REF!)))</formula>
    </cfRule>
    <cfRule type="containsText" dxfId="1285" priority="2690" operator="containsText" text="Pending">
      <formula>NOT(ISERROR(SEARCH("Pending",#REF!)))</formula>
    </cfRule>
    <cfRule type="containsText" dxfId="1284" priority="2689" operator="containsText" text="Done">
      <formula>NOT(ISERROR(SEARCH("Done",#REF!)))</formula>
    </cfRule>
    <cfRule type="containsText" dxfId="1283" priority="2688" operator="containsText" text="NA">
      <formula>NOT(ISERROR(SEARCH("NA",#REF!)))</formula>
    </cfRule>
    <cfRule type="containsText" dxfId="1282" priority="2687" operator="containsText" text="NA">
      <formula>NOT(ISERROR(SEARCH("NA",#REF!)))</formula>
    </cfRule>
    <cfRule type="containsText" dxfId="1281" priority="2686" operator="containsText" text="Pending">
      <formula>NOT(ISERROR(SEARCH("Pending",#REF!)))</formula>
    </cfRule>
    <cfRule type="containsText" dxfId="1280" priority="2685" operator="containsText" text="Done">
      <formula>NOT(ISERROR(SEARCH("Done",#REF!)))</formula>
    </cfRule>
    <cfRule type="containsText" dxfId="1279" priority="2684" operator="containsText" text="NA">
      <formula>NOT(ISERROR(SEARCH("NA",#REF!)))</formula>
    </cfRule>
    <cfRule type="containsText" dxfId="1278" priority="2683" operator="containsText" text="NA">
      <formula>NOT(ISERROR(SEARCH("NA",#REF!)))</formula>
    </cfRule>
    <cfRule type="containsText" dxfId="1277" priority="2682" operator="containsText" text="Pending">
      <formula>NOT(ISERROR(SEARCH("Pending",#REF!)))</formula>
    </cfRule>
    <cfRule type="containsText" dxfId="1276" priority="2681" operator="containsText" text="Done">
      <formula>NOT(ISERROR(SEARCH("Done",#REF!)))</formula>
    </cfRule>
    <cfRule type="containsText" dxfId="1275" priority="2680" operator="containsText" text="NA">
      <formula>NOT(ISERROR(SEARCH("NA",#REF!)))</formula>
    </cfRule>
    <cfRule type="containsText" dxfId="1274" priority="2679" operator="containsText" text="Pending">
      <formula>NOT(ISERROR(SEARCH("Pending",#REF!)))</formula>
    </cfRule>
    <cfRule type="containsText" dxfId="1273" priority="2678" operator="containsText" text="Done">
      <formula>NOT(ISERROR(SEARCH("Done",#REF!)))</formula>
    </cfRule>
    <cfRule type="containsText" dxfId="1272" priority="2677" operator="containsText" text="NA">
      <formula>NOT(ISERROR(SEARCH("NA",#REF!)))</formula>
    </cfRule>
    <cfRule type="containsText" dxfId="1271" priority="2676" operator="containsText" text="NA">
      <formula>NOT(ISERROR(SEARCH("NA",#REF!)))</formula>
    </cfRule>
    <cfRule type="containsText" dxfId="1270" priority="2675" operator="containsText" text="Pending">
      <formula>NOT(ISERROR(SEARCH("Pending",#REF!)))</formula>
    </cfRule>
    <cfRule type="containsText" dxfId="1269" priority="2674" operator="containsText" text="Done">
      <formula>NOT(ISERROR(SEARCH("Done",#REF!)))</formula>
    </cfRule>
    <cfRule type="containsText" dxfId="1268" priority="2673" operator="containsText" text="NA">
      <formula>NOT(ISERROR(SEARCH("NA",#REF!)))</formula>
    </cfRule>
    <cfRule type="containsText" dxfId="1267" priority="2672" operator="containsText" text="NA">
      <formula>NOT(ISERROR(SEARCH("NA",#REF!)))</formula>
    </cfRule>
    <cfRule type="containsText" dxfId="1266" priority="2671" operator="containsText" text="Pending">
      <formula>NOT(ISERROR(SEARCH("Pending",#REF!)))</formula>
    </cfRule>
    <cfRule type="containsText" dxfId="1265" priority="2670" operator="containsText" text="Done">
      <formula>NOT(ISERROR(SEARCH("Done",#REF!)))</formula>
    </cfRule>
    <cfRule type="containsText" dxfId="1264" priority="2669" operator="containsText" text="NA">
      <formula>NOT(ISERROR(SEARCH("NA",#REF!)))</formula>
    </cfRule>
    <cfRule type="containsText" dxfId="1263" priority="2668" operator="containsText" text="NA">
      <formula>NOT(ISERROR(SEARCH("NA",#REF!)))</formula>
    </cfRule>
    <cfRule type="containsText" dxfId="1262" priority="2667" operator="containsText" text="Pending">
      <formula>NOT(ISERROR(SEARCH("Pending",#REF!)))</formula>
    </cfRule>
    <cfRule type="containsText" dxfId="1261" priority="2666" operator="containsText" text="Done">
      <formula>NOT(ISERROR(SEARCH("Done",#REF!)))</formula>
    </cfRule>
    <cfRule type="containsText" dxfId="1260" priority="2665" operator="containsText" text="NA">
      <formula>NOT(ISERROR(SEARCH("NA",#REF!)))</formula>
    </cfRule>
    <cfRule type="containsText" dxfId="1259" priority="2664" operator="containsText" text="Pending">
      <formula>NOT(ISERROR(SEARCH("Pending",#REF!)))</formula>
    </cfRule>
    <cfRule type="containsText" dxfId="1258" priority="2663" operator="containsText" text="Done">
      <formula>NOT(ISERROR(SEARCH("Done",#REF!)))</formula>
    </cfRule>
    <cfRule type="containsText" dxfId="1257" priority="2662" operator="containsText" text="NA">
      <formula>NOT(ISERROR(SEARCH("NA",#REF!)))</formula>
    </cfRule>
    <cfRule type="containsText" dxfId="1256" priority="2661" operator="containsText" text="Done">
      <formula>NOT(ISERROR(SEARCH("Done",AG29)))</formula>
    </cfRule>
    <cfRule type="containsText" dxfId="1255" priority="2660" operator="containsText" text="NA">
      <formula>NOT(ISERROR(SEARCH("NA",AG29)))</formula>
    </cfRule>
    <cfRule type="containsText" dxfId="1254" priority="2659" operator="containsText" text="NA">
      <formula>NOT(ISERROR(SEARCH("NA",#REF!)))</formula>
    </cfRule>
    <cfRule type="containsText" dxfId="1253" priority="2658" operator="containsText" text="NA">
      <formula>NOT(ISERROR(SEARCH("NA",#REF!)))</formula>
    </cfRule>
    <cfRule type="containsText" dxfId="1252" priority="2657" operator="containsText" text="Pending">
      <formula>NOT(ISERROR(SEARCH("Pending",#REF!)))</formula>
    </cfRule>
    <cfRule type="containsText" dxfId="1251" priority="2656" operator="containsText" text="Done">
      <formula>NOT(ISERROR(SEARCH("Done",#REF!)))</formula>
    </cfRule>
    <cfRule type="containsText" dxfId="1250" priority="2655" operator="containsText" text="NA">
      <formula>NOT(ISERROR(SEARCH("NA",#REF!)))</formula>
    </cfRule>
    <cfRule type="containsText" dxfId="1249" priority="2654" operator="containsText" text="Pending">
      <formula>NOT(ISERROR(SEARCH("Pending",#REF!)))</formula>
    </cfRule>
    <cfRule type="containsText" dxfId="1248" priority="2653" operator="containsText" text="Done">
      <formula>NOT(ISERROR(SEARCH("Done",#REF!)))</formula>
    </cfRule>
    <cfRule type="containsText" dxfId="1247" priority="2652" operator="containsText" text="NA">
      <formula>NOT(ISERROR(SEARCH("NA",#REF!)))</formula>
    </cfRule>
    <cfRule type="containsText" dxfId="1246" priority="2651" operator="containsText" text="NA">
      <formula>NOT(ISERROR(SEARCH("NA",#REF!)))</formula>
    </cfRule>
    <cfRule type="containsText" dxfId="1245" priority="2650" operator="containsText" text="Pending">
      <formula>NOT(ISERROR(SEARCH("Pending",#REF!)))</formula>
    </cfRule>
    <cfRule type="containsText" dxfId="1244" priority="2649" operator="containsText" text="Done">
      <formula>NOT(ISERROR(SEARCH("Done",#REF!)))</formula>
    </cfRule>
    <cfRule type="containsText" dxfId="1243" priority="2648" operator="containsText" text="NA">
      <formula>NOT(ISERROR(SEARCH("NA",#REF!)))</formula>
    </cfRule>
    <cfRule type="containsText" dxfId="1242" priority="2647" operator="containsText" text="NA">
      <formula>NOT(ISERROR(SEARCH("NA",#REF!)))</formula>
    </cfRule>
    <cfRule type="containsText" dxfId="1241" priority="2646" operator="containsText" text="Pending">
      <formula>NOT(ISERROR(SEARCH("Pending",#REF!)))</formula>
    </cfRule>
    <cfRule type="containsText" dxfId="1240" priority="2645" operator="containsText" text="Done">
      <formula>NOT(ISERROR(SEARCH("Done",#REF!)))</formula>
    </cfRule>
    <cfRule type="containsText" dxfId="1239" priority="2644" operator="containsText" text="NA">
      <formula>NOT(ISERROR(SEARCH("NA",#REF!)))</formula>
    </cfRule>
    <cfRule type="containsText" dxfId="1238" priority="2643" operator="containsText" text="Pending">
      <formula>NOT(ISERROR(SEARCH("Pending",#REF!)))</formula>
    </cfRule>
    <cfRule type="containsText" dxfId="1237" priority="2642" operator="containsText" text="Done">
      <formula>NOT(ISERROR(SEARCH("Done",#REF!)))</formula>
    </cfRule>
    <cfRule type="containsText" dxfId="1236" priority="2641" operator="containsText" text="NA">
      <formula>NOT(ISERROR(SEARCH("NA",#REF!)))</formula>
    </cfRule>
    <cfRule type="containsText" dxfId="1235" priority="2640" operator="containsText" text="NA">
      <formula>NOT(ISERROR(SEARCH("NA",#REF!)))</formula>
    </cfRule>
    <cfRule type="containsText" dxfId="1234" priority="2639" operator="containsText" text="Pending">
      <formula>NOT(ISERROR(SEARCH("Pending",#REF!)))</formula>
    </cfRule>
    <cfRule type="containsText" dxfId="1233" priority="2638" operator="containsText" text="Done">
      <formula>NOT(ISERROR(SEARCH("Done",#REF!)))</formula>
    </cfRule>
    <cfRule type="containsText" dxfId="1232" priority="2637" operator="containsText" text="NA">
      <formula>NOT(ISERROR(SEARCH("NA",#REF!)))</formula>
    </cfRule>
    <cfRule type="containsText" dxfId="1231" priority="2636" operator="containsText" text="NA">
      <formula>NOT(ISERROR(SEARCH("NA",#REF!)))</formula>
    </cfRule>
    <cfRule type="containsText" dxfId="1230" priority="2635" operator="containsText" text="Pending">
      <formula>NOT(ISERROR(SEARCH("Pending",#REF!)))</formula>
    </cfRule>
    <cfRule type="containsText" dxfId="1229" priority="2634" operator="containsText" text="Done">
      <formula>NOT(ISERROR(SEARCH("Done",#REF!)))</formula>
    </cfRule>
    <cfRule type="containsText" dxfId="1228" priority="2633" operator="containsText" text="NA">
      <formula>NOT(ISERROR(SEARCH("NA",#REF!)))</formula>
    </cfRule>
    <cfRule type="containsText" dxfId="1227" priority="2632" operator="containsText" text="Pending">
      <formula>NOT(ISERROR(SEARCH("Pending",#REF!)))</formula>
    </cfRule>
    <cfRule type="containsText" dxfId="1226" priority="2631" operator="containsText" text="Done">
      <formula>NOT(ISERROR(SEARCH("Done",#REF!)))</formula>
    </cfRule>
    <cfRule type="containsText" dxfId="1225" priority="2630" operator="containsText" text="NA">
      <formula>NOT(ISERROR(SEARCH("NA",#REF!)))</formula>
    </cfRule>
    <cfRule type="containsText" dxfId="1224" priority="2629" operator="containsText" text="NA">
      <formula>NOT(ISERROR(SEARCH("NA",#REF!)))</formula>
    </cfRule>
    <cfRule type="containsText" dxfId="1223" priority="2628" operator="containsText" text="Pending">
      <formula>NOT(ISERROR(SEARCH("Pending",#REF!)))</formula>
    </cfRule>
    <cfRule type="containsText" dxfId="1222" priority="2627" operator="containsText" text="Done">
      <formula>NOT(ISERROR(SEARCH("Done",#REF!)))</formula>
    </cfRule>
    <cfRule type="containsText" dxfId="1221" priority="2626" operator="containsText" text="NA">
      <formula>NOT(ISERROR(SEARCH("NA",#REF!)))</formula>
    </cfRule>
    <cfRule type="containsText" dxfId="1220" priority="2625" operator="containsText" text="NA">
      <formula>NOT(ISERROR(SEARCH("NA",#REF!)))</formula>
    </cfRule>
    <cfRule type="containsText" dxfId="1219" priority="2624" operator="containsText" text="Pending">
      <formula>NOT(ISERROR(SEARCH("Pending",#REF!)))</formula>
    </cfRule>
    <cfRule type="containsText" dxfId="1218" priority="2623" operator="containsText" text="Done">
      <formula>NOT(ISERROR(SEARCH("Done",#REF!)))</formula>
    </cfRule>
    <cfRule type="containsText" dxfId="1217" priority="2622" operator="containsText" text="NA">
      <formula>NOT(ISERROR(SEARCH("NA",#REF!)))</formula>
    </cfRule>
    <cfRule type="containsText" dxfId="1216" priority="2621" operator="containsText" text="NA">
      <formula>NOT(ISERROR(SEARCH("NA",#REF!)))</formula>
    </cfRule>
    <cfRule type="containsText" dxfId="1215" priority="2620" operator="containsText" text="Pending">
      <formula>NOT(ISERROR(SEARCH("Pending",#REF!)))</formula>
    </cfRule>
    <cfRule type="containsText" dxfId="1214" priority="2619" operator="containsText" text="Done">
      <formula>NOT(ISERROR(SEARCH("Done",#REF!)))</formula>
    </cfRule>
    <cfRule type="containsText" dxfId="1213" priority="2618" operator="containsText" text="NA">
      <formula>NOT(ISERROR(SEARCH("NA",#REF!)))</formula>
    </cfRule>
    <cfRule type="containsText" dxfId="1212" priority="2617" operator="containsText" text="NA">
      <formula>NOT(ISERROR(SEARCH("NA",#REF!)))</formula>
    </cfRule>
    <cfRule type="containsText" dxfId="1211" priority="2616" operator="containsText" text="Pending">
      <formula>NOT(ISERROR(SEARCH("Pending",#REF!)))</formula>
    </cfRule>
    <cfRule type="containsText" dxfId="1210" priority="2615" operator="containsText" text="Done">
      <formula>NOT(ISERROR(SEARCH("Done",#REF!)))</formula>
    </cfRule>
    <cfRule type="containsText" dxfId="1209" priority="2614" operator="containsText" text="NA">
      <formula>NOT(ISERROR(SEARCH("NA",#REF!)))</formula>
    </cfRule>
    <cfRule type="containsText" dxfId="1208" priority="2613" operator="containsText" text="NA">
      <formula>NOT(ISERROR(SEARCH("NA",#REF!)))</formula>
    </cfRule>
    <cfRule type="containsText" dxfId="1207" priority="2612" operator="containsText" text="Pending">
      <formula>NOT(ISERROR(SEARCH("Pending",#REF!)))</formula>
    </cfRule>
    <cfRule type="containsText" dxfId="1206" priority="2611" operator="containsText" text="Done">
      <formula>NOT(ISERROR(SEARCH("Done",#REF!)))</formula>
    </cfRule>
    <cfRule type="containsText" dxfId="1205" priority="2610" operator="containsText" text="NA">
      <formula>NOT(ISERROR(SEARCH("NA",#REF!)))</formula>
    </cfRule>
    <cfRule type="containsText" dxfId="1204" priority="2609" operator="containsText" text="Pending">
      <formula>NOT(ISERROR(SEARCH("Pending",#REF!)))</formula>
    </cfRule>
    <cfRule type="containsText" dxfId="1203" priority="2608" operator="containsText" text="Done">
      <formula>NOT(ISERROR(SEARCH("Done",#REF!)))</formula>
    </cfRule>
    <cfRule type="containsText" dxfId="1202" priority="2607" operator="containsText" text="NA">
      <formula>NOT(ISERROR(SEARCH("NA",#REF!)))</formula>
    </cfRule>
    <cfRule type="containsText" dxfId="1201" priority="2606" operator="containsText" text="NA">
      <formula>NOT(ISERROR(SEARCH("NA",#REF!)))</formula>
    </cfRule>
    <cfRule type="containsText" dxfId="1200" priority="2605" operator="containsText" text="Pending">
      <formula>NOT(ISERROR(SEARCH("Pending",#REF!)))</formula>
    </cfRule>
    <cfRule type="containsText" dxfId="1199" priority="2604" operator="containsText" text="Done">
      <formula>NOT(ISERROR(SEARCH("Done",#REF!)))</formula>
    </cfRule>
    <cfRule type="containsText" dxfId="1198" priority="2603" operator="containsText" text="NA">
      <formula>NOT(ISERROR(SEARCH("NA",#REF!)))</formula>
    </cfRule>
    <cfRule type="containsText" dxfId="1197" priority="2602" operator="containsText" text="NA">
      <formula>NOT(ISERROR(SEARCH("NA",#REF!)))</formula>
    </cfRule>
    <cfRule type="containsText" dxfId="1196" priority="2601" operator="containsText" text="Pending">
      <formula>NOT(ISERROR(SEARCH("Pending",#REF!)))</formula>
    </cfRule>
    <cfRule type="containsText" dxfId="1195" priority="2600" operator="containsText" text="Done">
      <formula>NOT(ISERROR(SEARCH("Done",#REF!)))</formula>
    </cfRule>
    <cfRule type="containsText" dxfId="1194" priority="2599" operator="containsText" text="NA">
      <formula>NOT(ISERROR(SEARCH("NA",#REF!)))</formula>
    </cfRule>
    <cfRule type="containsText" dxfId="1193" priority="76296" operator="containsText" text="Pending">
      <formula>NOT(ISERROR(SEARCH("Pending",#REF!)))</formula>
    </cfRule>
    <cfRule type="containsText" dxfId="1192" priority="76297" operator="containsText" text="NA">
      <formula>NOT(ISERROR(SEARCH("NA",#REF!)))</formula>
    </cfRule>
    <cfRule type="containsText" dxfId="1191" priority="76298" operator="containsText" text="Done">
      <formula>NOT(ISERROR(SEARCH("Done",#REF!)))</formula>
    </cfRule>
    <cfRule type="containsText" dxfId="1190" priority="76285" operator="containsText" text="Done">
      <formula>NOT(ISERROR(SEARCH("Done",AG29)))</formula>
    </cfRule>
    <cfRule type="containsText" dxfId="1189" priority="76286" operator="containsText" text="NA">
      <formula>NOT(ISERROR(SEARCH("NA",#REF!)))</formula>
    </cfRule>
    <cfRule type="containsText" dxfId="1188" priority="76287" operator="containsText" text="Done">
      <formula>NOT(ISERROR(SEARCH("Done",#REF!)))</formula>
    </cfRule>
    <cfRule type="containsText" dxfId="1187" priority="76299" operator="containsText" text="Pending">
      <formula>NOT(ISERROR(SEARCH("Pending",#REF!)))</formula>
    </cfRule>
    <cfRule type="containsText" dxfId="1186" priority="76308" operator="containsText" text="Done">
      <formula>NOT(ISERROR(SEARCH("Done",#REF!)))</formula>
    </cfRule>
    <cfRule type="containsText" dxfId="1185" priority="76300" operator="containsText" text="NA">
      <formula>NOT(ISERROR(SEARCH("NA",#REF!)))</formula>
    </cfRule>
    <cfRule type="containsText" dxfId="1184" priority="76301" operator="containsText" text="NA">
      <formula>NOT(ISERROR(SEARCH("NA",#REF!)))</formula>
    </cfRule>
    <cfRule type="containsText" dxfId="1183" priority="76302" operator="containsText" text="Done">
      <formula>NOT(ISERROR(SEARCH("Done",#REF!)))</formula>
    </cfRule>
    <cfRule type="containsText" dxfId="1182" priority="76303" operator="containsText" text="Pending">
      <formula>NOT(ISERROR(SEARCH("Pending",#REF!)))</formula>
    </cfRule>
    <cfRule type="containsText" dxfId="1181" priority="76304" operator="containsText" text="NA">
      <formula>NOT(ISERROR(SEARCH("NA",#REF!)))</formula>
    </cfRule>
    <cfRule type="containsText" dxfId="1180" priority="76305" operator="containsText" text="NA">
      <formula>NOT(ISERROR(SEARCH("NA",AG29)))</formula>
    </cfRule>
    <cfRule type="containsText" dxfId="1179" priority="76306" operator="containsText" text="Done">
      <formula>NOT(ISERROR(SEARCH("Done",AG29)))</formula>
    </cfRule>
    <cfRule type="containsText" dxfId="1178" priority="76307" operator="containsText" text="NA">
      <formula>NOT(ISERROR(SEARCH("NA",#REF!)))</formula>
    </cfRule>
    <cfRule type="containsText" dxfId="1177" priority="76288" operator="containsText" text="Pending">
      <formula>NOT(ISERROR(SEARCH("Pending",#REF!)))</formula>
    </cfRule>
    <cfRule type="containsText" dxfId="1176" priority="76289" operator="containsText" text="NA">
      <formula>NOT(ISERROR(SEARCH("NA",#REF!)))</formula>
    </cfRule>
    <cfRule type="containsText" dxfId="1175" priority="76290" operator="containsText" text="NA">
      <formula>NOT(ISERROR(SEARCH("NA",#REF!)))</formula>
    </cfRule>
    <cfRule type="containsText" dxfId="1174" priority="76291" operator="containsText" text="Done">
      <formula>NOT(ISERROR(SEARCH("Done",#REF!)))</formula>
    </cfRule>
    <cfRule type="containsText" dxfId="1173" priority="76292" operator="containsText" text="Pending">
      <formula>NOT(ISERROR(SEARCH("Pending",#REF!)))</formula>
    </cfRule>
    <cfRule type="containsText" dxfId="1172" priority="76293" operator="containsText" text="NA">
      <formula>NOT(ISERROR(SEARCH("NA",#REF!)))</formula>
    </cfRule>
    <cfRule type="containsText" dxfId="1171" priority="76294" operator="containsText" text="NA">
      <formula>NOT(ISERROR(SEARCH("NA",#REF!)))</formula>
    </cfRule>
    <cfRule type="containsText" dxfId="1170" priority="159274" operator="containsText" text="Done">
      <formula>NOT(ISERROR(SEARCH("Done",#REF!)))</formula>
    </cfRule>
    <cfRule type="containsText" dxfId="1169" priority="159275" operator="containsText" text="Pending">
      <formula>NOT(ISERROR(SEARCH("Pending",#REF!)))</formula>
    </cfRule>
    <cfRule type="containsText" dxfId="1168" priority="159276" operator="containsText" text="NA">
      <formula>NOT(ISERROR(SEARCH("NA",#REF!)))</formula>
    </cfRule>
    <cfRule type="containsText" dxfId="1167" priority="159277" operator="containsText" text="NA">
      <formula>NOT(ISERROR(SEARCH("NA",AD54)))</formula>
    </cfRule>
    <cfRule type="containsText" dxfId="1166" priority="159278" operator="containsText" text="Done">
      <formula>NOT(ISERROR(SEARCH("Done",AD52)))</formula>
    </cfRule>
    <cfRule type="containsText" dxfId="1165" priority="159279" operator="containsText" text="Pending">
      <formula>NOT(ISERROR(SEARCH("Pending",AD52)))</formula>
    </cfRule>
    <cfRule type="containsText" dxfId="1164" priority="76157" operator="containsText" text="Done">
      <formula>NOT(ISERROR(SEARCH("Done",#REF!)))</formula>
    </cfRule>
    <cfRule type="containsText" dxfId="1163" priority="109582" operator="containsText" text="NA">
      <formula>NOT(ISERROR(SEARCH("NA",#REF!)))</formula>
    </cfRule>
    <cfRule type="containsText" dxfId="1162" priority="109583" operator="containsText" text="Done">
      <formula>NOT(ISERROR(SEARCH("Done",#REF!)))</formula>
    </cfRule>
    <cfRule type="containsText" dxfId="1161" priority="109584" operator="containsText" text="Pending">
      <formula>NOT(ISERROR(SEARCH("Pending",#REF!)))</formula>
    </cfRule>
    <cfRule type="containsText" dxfId="1160" priority="109585" operator="containsText" text="NA">
      <formula>NOT(ISERROR(SEARCH("NA",#REF!)))</formula>
    </cfRule>
    <cfRule type="containsText" dxfId="1159" priority="109586" operator="containsText" text="Done">
      <formula>NOT(ISERROR(SEARCH("Done",#REF!)))</formula>
    </cfRule>
    <cfRule type="containsText" dxfId="1158" priority="109587" operator="containsText" text="Pending">
      <formula>NOT(ISERROR(SEARCH("Pending",#REF!)))</formula>
    </cfRule>
    <cfRule type="containsText" dxfId="1157" priority="109588" operator="containsText" text="NA">
      <formula>NOT(ISERROR(SEARCH("NA",#REF!)))</formula>
    </cfRule>
    <cfRule type="containsText" dxfId="1156" priority="109589" operator="containsText" text="NA">
      <formula>NOT(ISERROR(SEARCH("NA",#REF!)))</formula>
    </cfRule>
    <cfRule type="containsText" dxfId="1155" priority="109590" operator="containsText" text="Done">
      <formula>NOT(ISERROR(SEARCH("Done",#REF!)))</formula>
    </cfRule>
    <cfRule type="containsText" dxfId="1154" priority="109591" operator="containsText" text="Pending">
      <formula>NOT(ISERROR(SEARCH("Pending",#REF!)))</formula>
    </cfRule>
    <cfRule type="containsText" dxfId="1153" priority="109592" operator="containsText" text="NA">
      <formula>NOT(ISERROR(SEARCH("NA",#REF!)))</formula>
    </cfRule>
    <cfRule type="containsText" dxfId="1152" priority="109593" operator="containsText" text="NA">
      <formula>NOT(ISERROR(SEARCH("NA",AG29)))</formula>
    </cfRule>
    <cfRule type="containsText" dxfId="1151" priority="109594" operator="containsText" text="Done">
      <formula>NOT(ISERROR(SEARCH("Done",AG29)))</formula>
    </cfRule>
    <cfRule type="containsText" dxfId="1150" priority="109595" operator="containsText" text="NA">
      <formula>NOT(ISERROR(SEARCH("NA",#REF!)))</formula>
    </cfRule>
    <cfRule type="containsText" dxfId="1149" priority="109596" operator="containsText" text="Done">
      <formula>NOT(ISERROR(SEARCH("Done",#REF!)))</formula>
    </cfRule>
    <cfRule type="containsText" dxfId="1148" priority="109597" operator="containsText" text="Pending">
      <formula>NOT(ISERROR(SEARCH("Pending",#REF!)))</formula>
    </cfRule>
    <cfRule type="containsText" dxfId="1147" priority="109598" operator="containsText" text="NA">
      <formula>NOT(ISERROR(SEARCH("NA",#REF!)))</formula>
    </cfRule>
    <cfRule type="containsText" dxfId="1146" priority="109599" operator="containsText" text="NA">
      <formula>NOT(ISERROR(SEARCH("NA",AG29)))</formula>
    </cfRule>
    <cfRule type="containsText" dxfId="1145" priority="109600" operator="containsText" text="Pending">
      <formula>NOT(ISERROR(SEARCH("Pending",AG29)))</formula>
    </cfRule>
    <cfRule type="containsText" dxfId="1144" priority="109601" operator="containsText" text="Done">
      <formula>NOT(ISERROR(SEARCH("Done",AG29)))</formula>
    </cfRule>
    <cfRule type="containsText" dxfId="1143" priority="109602" operator="containsText" text="NA">
      <formula>NOT(ISERROR(SEARCH("NA",#REF!)))</formula>
    </cfRule>
    <cfRule type="containsText" dxfId="1142" priority="109603" operator="containsText" text="Done">
      <formula>NOT(ISERROR(SEARCH("Done",#REF!)))</formula>
    </cfRule>
    <cfRule type="containsText" dxfId="1141" priority="109604" operator="containsText" text="Pending">
      <formula>NOT(ISERROR(SEARCH("Pending",#REF!)))</formula>
    </cfRule>
    <cfRule type="containsText" dxfId="1140" priority="109605" operator="containsText" text="NA">
      <formula>NOT(ISERROR(SEARCH("NA",#REF!)))</formula>
    </cfRule>
    <cfRule type="containsText" dxfId="1139" priority="109606" operator="containsText" text="NA">
      <formula>NOT(ISERROR(SEARCH("NA",AG29)))</formula>
    </cfRule>
    <cfRule type="containsText" dxfId="1138" priority="109607" operator="containsText" text="Done">
      <formula>NOT(ISERROR(SEARCH("Done",AG29)))</formula>
    </cfRule>
    <cfRule type="containsText" dxfId="1137" priority="109608" operator="containsText" text="NA">
      <formula>NOT(ISERROR(SEARCH("NA",#REF!)))</formula>
    </cfRule>
    <cfRule type="containsText" dxfId="1136" priority="109609" operator="containsText" text="Done">
      <formula>NOT(ISERROR(SEARCH("Done",#REF!)))</formula>
    </cfRule>
    <cfRule type="containsText" dxfId="1135" priority="109610" operator="containsText" text="Pending">
      <formula>NOT(ISERROR(SEARCH("Pending",#REF!)))</formula>
    </cfRule>
    <cfRule type="containsText" dxfId="1134" priority="109611" operator="containsText" text="NA">
      <formula>NOT(ISERROR(SEARCH("NA",#REF!)))</formula>
    </cfRule>
    <cfRule type="containsText" dxfId="1133" priority="76337" operator="containsText" text="NA">
      <formula>NOT(ISERROR(SEARCH("NA",#REF!)))</formula>
    </cfRule>
    <cfRule type="containsText" dxfId="1132" priority="76336" operator="containsText" text="Pending">
      <formula>NOT(ISERROR(SEARCH("Pending",#REF!)))</formula>
    </cfRule>
    <cfRule type="containsText" dxfId="1131" priority="76335" operator="containsText" text="Done">
      <formula>NOT(ISERROR(SEARCH("Done",#REF!)))</formula>
    </cfRule>
    <cfRule type="containsText" dxfId="1130" priority="76334" operator="containsText" text="NA">
      <formula>NOT(ISERROR(SEARCH("NA",#REF!)))</formula>
    </cfRule>
    <cfRule type="containsText" dxfId="1129" priority="76333" operator="containsText" text="NA">
      <formula>NOT(ISERROR(SEARCH("NA",#REF!)))</formula>
    </cfRule>
    <cfRule type="containsText" dxfId="1128" priority="76332" operator="containsText" text="Pending">
      <formula>NOT(ISERROR(SEARCH("Pending",#REF!)))</formula>
    </cfRule>
    <cfRule type="containsText" dxfId="1127" priority="76331" operator="containsText" text="Done">
      <formula>NOT(ISERROR(SEARCH("Done",#REF!)))</formula>
    </cfRule>
    <cfRule type="containsText" dxfId="1126" priority="76330" operator="containsText" text="NA">
      <formula>NOT(ISERROR(SEARCH("NA",#REF!)))</formula>
    </cfRule>
    <cfRule type="containsText" dxfId="1125" priority="76329" operator="containsText" text="NA">
      <formula>NOT(ISERROR(SEARCH("NA",#REF!)))</formula>
    </cfRule>
    <cfRule type="containsText" dxfId="1124" priority="76328" operator="containsText" text="Pending">
      <formula>NOT(ISERROR(SEARCH("Pending",#REF!)))</formula>
    </cfRule>
    <cfRule type="containsText" dxfId="1123" priority="76327" operator="containsText" text="Done">
      <formula>NOT(ISERROR(SEARCH("Done",#REF!)))</formula>
    </cfRule>
    <cfRule type="containsText" dxfId="1122" priority="76326" operator="containsText" text="NA">
      <formula>NOT(ISERROR(SEARCH("NA",#REF!)))</formula>
    </cfRule>
    <cfRule type="containsText" dxfId="1121" priority="76325" operator="containsText" text="Pending">
      <formula>NOT(ISERROR(SEARCH("Pending",#REF!)))</formula>
    </cfRule>
    <cfRule type="containsText" dxfId="1120" priority="76324" operator="containsText" text="Done">
      <formula>NOT(ISERROR(SEARCH("Done",#REF!)))</formula>
    </cfRule>
    <cfRule type="containsText" dxfId="1119" priority="76323" operator="containsText" text="NA">
      <formula>NOT(ISERROR(SEARCH("NA",#REF!)))</formula>
    </cfRule>
    <cfRule type="containsText" dxfId="1118" priority="76322" operator="containsText" text="Pending">
      <formula>NOT(ISERROR(SEARCH("Pending",#REF!)))</formula>
    </cfRule>
    <cfRule type="containsText" dxfId="1117" priority="76321" operator="containsText" text="Done">
      <formula>NOT(ISERROR(SEARCH("Done",#REF!)))</formula>
    </cfRule>
    <cfRule type="containsText" dxfId="1116" priority="76320" operator="containsText" text="NA">
      <formula>NOT(ISERROR(SEARCH("NA",#REF!)))</formula>
    </cfRule>
    <cfRule type="containsText" dxfId="1115" priority="76319" operator="containsText" text="Done">
      <formula>NOT(ISERROR(SEARCH("Done",AG29)))</formula>
    </cfRule>
    <cfRule type="containsText" dxfId="1114" priority="76318" operator="containsText" text="NA">
      <formula>NOT(ISERROR(SEARCH("NA",AG29)))</formula>
    </cfRule>
    <cfRule type="containsText" dxfId="1113" priority="76317" operator="containsText" text="NA">
      <formula>NOT(ISERROR(SEARCH("NA",#REF!)))</formula>
    </cfRule>
    <cfRule type="containsText" dxfId="1112" priority="76316" operator="containsText" text="Pending">
      <formula>NOT(ISERROR(SEARCH("Pending",#REF!)))</formula>
    </cfRule>
    <cfRule type="containsText" dxfId="1111" priority="76315" operator="containsText" text="Done">
      <formula>NOT(ISERROR(SEARCH("Done",#REF!)))</formula>
    </cfRule>
    <cfRule type="containsText" dxfId="1110" priority="76314" operator="containsText" text="NA">
      <formula>NOT(ISERROR(SEARCH("NA",#REF!)))</formula>
    </cfRule>
    <cfRule type="containsText" dxfId="1109" priority="76313" operator="containsText" text="Done">
      <formula>NOT(ISERROR(SEARCH("Done",AG29)))</formula>
    </cfRule>
    <cfRule type="containsText" dxfId="1108" priority="76150" operator="containsText" text="Done">
      <formula>NOT(ISERROR(SEARCH("Done",#REF!)))</formula>
    </cfRule>
    <cfRule type="containsText" dxfId="1107" priority="76312" operator="containsText" text="Pending">
      <formula>NOT(ISERROR(SEARCH("Pending",AG29)))</formula>
    </cfRule>
    <cfRule type="containsText" dxfId="1106" priority="76311" operator="containsText" text="NA">
      <formula>NOT(ISERROR(SEARCH("NA",AG29)))</formula>
    </cfRule>
    <cfRule type="containsText" dxfId="1105" priority="76310" operator="containsText" text="NA">
      <formula>NOT(ISERROR(SEARCH("NA",#REF!)))</formula>
    </cfRule>
    <cfRule type="containsText" dxfId="1104" priority="76309" operator="containsText" text="Pending">
      <formula>NOT(ISERROR(SEARCH("Pending",#REF!)))</formula>
    </cfRule>
    <cfRule type="containsText" dxfId="1103" priority="76088" operator="containsText" text="NA">
      <formula>NOT(ISERROR(SEARCH("NA",#REF!)))</formula>
    </cfRule>
    <cfRule type="containsText" dxfId="1102" priority="76089" operator="containsText" text="Done">
      <formula>NOT(ISERROR(SEARCH("Done",#REF!)))</formula>
    </cfRule>
    <cfRule type="containsText" dxfId="1101" priority="76090" operator="containsText" text="Pending">
      <formula>NOT(ISERROR(SEARCH("Pending",#REF!)))</formula>
    </cfRule>
    <cfRule type="containsText" dxfId="1100" priority="76091" operator="containsText" text="NA">
      <formula>NOT(ISERROR(SEARCH("NA",#REF!)))</formula>
    </cfRule>
    <cfRule type="containsText" dxfId="1099" priority="76092" operator="containsText" text="NA">
      <formula>NOT(ISERROR(SEARCH("NA",#REF!)))</formula>
    </cfRule>
    <cfRule type="containsText" dxfId="1098" priority="76093" operator="containsText" text="Done">
      <formula>NOT(ISERROR(SEARCH("Done",#REF!)))</formula>
    </cfRule>
    <cfRule type="containsText" dxfId="1097" priority="76094" operator="containsText" text="Pending">
      <formula>NOT(ISERROR(SEARCH("Pending",#REF!)))</formula>
    </cfRule>
    <cfRule type="containsText" dxfId="1096" priority="76095" operator="containsText" text="NA">
      <formula>NOT(ISERROR(SEARCH("NA",#REF!)))</formula>
    </cfRule>
    <cfRule type="containsText" dxfId="1095" priority="76096" operator="containsText" text="Done">
      <formula>NOT(ISERROR(SEARCH("Done",#REF!)))</formula>
    </cfRule>
    <cfRule type="containsText" dxfId="1094" priority="76097" operator="containsText" text="Pending">
      <formula>NOT(ISERROR(SEARCH("Pending",#REF!)))</formula>
    </cfRule>
    <cfRule type="containsText" dxfId="1093" priority="76098" operator="containsText" text="NA">
      <formula>NOT(ISERROR(SEARCH("NA",#REF!)))</formula>
    </cfRule>
    <cfRule type="containsText" dxfId="1092" priority="76099" operator="containsText" text="NA">
      <formula>NOT(ISERROR(SEARCH("NA",#REF!)))</formula>
    </cfRule>
    <cfRule type="containsText" dxfId="1091" priority="76100" operator="containsText" text="Done">
      <formula>NOT(ISERROR(SEARCH("Done",#REF!)))</formula>
    </cfRule>
    <cfRule type="containsText" dxfId="1090" priority="76101" operator="containsText" text="Pending">
      <formula>NOT(ISERROR(SEARCH("Pending",#REF!)))</formula>
    </cfRule>
    <cfRule type="containsText" dxfId="1089" priority="76102" operator="containsText" text="NA">
      <formula>NOT(ISERROR(SEARCH("NA",#REF!)))</formula>
    </cfRule>
    <cfRule type="containsText" dxfId="1088" priority="76103" operator="containsText" text="NA">
      <formula>NOT(ISERROR(SEARCH("NA",#REF!)))</formula>
    </cfRule>
    <cfRule type="containsText" dxfId="1087" priority="76104" operator="containsText" text="Done">
      <formula>NOT(ISERROR(SEARCH("Done",#REF!)))</formula>
    </cfRule>
    <cfRule type="containsText" dxfId="1086" priority="76105" operator="containsText" text="Pending">
      <formula>NOT(ISERROR(SEARCH("Pending",#REF!)))</formula>
    </cfRule>
    <cfRule type="containsText" dxfId="1085" priority="76106" operator="containsText" text="NA">
      <formula>NOT(ISERROR(SEARCH("NA",#REF!)))</formula>
    </cfRule>
    <cfRule type="containsText" dxfId="1084" priority="76107" operator="containsText" text="NA">
      <formula>NOT(ISERROR(SEARCH("NA",#REF!)))</formula>
    </cfRule>
    <cfRule type="containsText" dxfId="1083" priority="76108" operator="containsText" text="Done">
      <formula>NOT(ISERROR(SEARCH("Done",#REF!)))</formula>
    </cfRule>
    <cfRule type="containsText" dxfId="1082" priority="76109" operator="containsText" text="Pending">
      <formula>NOT(ISERROR(SEARCH("Pending",#REF!)))</formula>
    </cfRule>
    <cfRule type="containsText" dxfId="1081" priority="76110" operator="containsText" text="NA">
      <formula>NOT(ISERROR(SEARCH("NA",#REF!)))</formula>
    </cfRule>
    <cfRule type="containsText" dxfId="1080" priority="76111" operator="containsText" text="NA">
      <formula>NOT(ISERROR(SEARCH("NA",#REF!)))</formula>
    </cfRule>
    <cfRule type="containsText" dxfId="1079" priority="76112" operator="containsText" text="Done">
      <formula>NOT(ISERROR(SEARCH("Done",#REF!)))</formula>
    </cfRule>
    <cfRule type="containsText" dxfId="1078" priority="76113" operator="containsText" text="Pending">
      <formula>NOT(ISERROR(SEARCH("Pending",#REF!)))</formula>
    </cfRule>
    <cfRule type="containsText" dxfId="1077" priority="76114" operator="containsText" text="NA">
      <formula>NOT(ISERROR(SEARCH("NA",#REF!)))</formula>
    </cfRule>
    <cfRule type="containsText" dxfId="1076" priority="76115" operator="containsText" text="Done">
      <formula>NOT(ISERROR(SEARCH("Done",#REF!)))</formula>
    </cfRule>
    <cfRule type="containsText" dxfId="1075" priority="76116" operator="containsText" text="Pending">
      <formula>NOT(ISERROR(SEARCH("Pending",#REF!)))</formula>
    </cfRule>
    <cfRule type="containsText" dxfId="1074" priority="76117" operator="containsText" text="NA">
      <formula>NOT(ISERROR(SEARCH("NA",#REF!)))</formula>
    </cfRule>
    <cfRule type="containsText" dxfId="1073" priority="76118" operator="containsText" text="NA">
      <formula>NOT(ISERROR(SEARCH("NA",#REF!)))</formula>
    </cfRule>
    <cfRule type="containsText" dxfId="1072" priority="76119" operator="containsText" text="Done">
      <formula>NOT(ISERROR(SEARCH("Done",#REF!)))</formula>
    </cfRule>
    <cfRule type="containsText" dxfId="1071" priority="76120" operator="containsText" text="Pending">
      <formula>NOT(ISERROR(SEARCH("Pending",#REF!)))</formula>
    </cfRule>
    <cfRule type="containsText" dxfId="1070" priority="76121" operator="containsText" text="NA">
      <formula>NOT(ISERROR(SEARCH("NA",#REF!)))</formula>
    </cfRule>
    <cfRule type="containsText" dxfId="1069" priority="76122" operator="containsText" text="NA">
      <formula>NOT(ISERROR(SEARCH("NA",AG29)))</formula>
    </cfRule>
    <cfRule type="containsText" dxfId="1068" priority="76123" operator="containsText" text="Pending">
      <formula>NOT(ISERROR(SEARCH("Pending",AG29)))</formula>
    </cfRule>
    <cfRule type="containsText" dxfId="1067" priority="76124" operator="containsText" text="Done">
      <formula>NOT(ISERROR(SEARCH("Done",AG29)))</formula>
    </cfRule>
    <cfRule type="containsText" dxfId="1066" priority="76125" operator="containsText" text="NA">
      <formula>NOT(ISERROR(SEARCH("NA",#REF!)))</formula>
    </cfRule>
    <cfRule type="containsText" dxfId="1065" priority="76126" operator="containsText" text="Done">
      <formula>NOT(ISERROR(SEARCH("Done",#REF!)))</formula>
    </cfRule>
    <cfRule type="containsText" dxfId="1064" priority="76127" operator="containsText" text="Pending">
      <formula>NOT(ISERROR(SEARCH("Pending",#REF!)))</formula>
    </cfRule>
    <cfRule type="containsText" dxfId="1063" priority="76128" operator="containsText" text="NA">
      <formula>NOT(ISERROR(SEARCH("NA",#REF!)))</formula>
    </cfRule>
    <cfRule type="containsText" dxfId="1062" priority="76129" operator="containsText" text="Done">
      <formula>NOT(ISERROR(SEARCH("Done",#REF!)))</formula>
    </cfRule>
    <cfRule type="containsText" dxfId="1061" priority="76130" operator="containsText" text="Pending">
      <formula>NOT(ISERROR(SEARCH("Pending",#REF!)))</formula>
    </cfRule>
    <cfRule type="containsText" dxfId="1060" priority="76131" operator="containsText" text="NA">
      <formula>NOT(ISERROR(SEARCH("NA",#REF!)))</formula>
    </cfRule>
    <cfRule type="containsText" dxfId="1059" priority="76132" operator="containsText" text="NA">
      <formula>NOT(ISERROR(SEARCH("NA",#REF!)))</formula>
    </cfRule>
    <cfRule type="containsText" dxfId="1058" priority="76133" operator="containsText" text="Done">
      <formula>NOT(ISERROR(SEARCH("Done",#REF!)))</formula>
    </cfRule>
    <cfRule type="containsText" dxfId="1057" priority="76134" operator="containsText" text="Pending">
      <formula>NOT(ISERROR(SEARCH("Pending",#REF!)))</formula>
    </cfRule>
    <cfRule type="containsText" dxfId="1056" priority="76135" operator="containsText" text="NA">
      <formula>NOT(ISERROR(SEARCH("NA",#REF!)))</formula>
    </cfRule>
    <cfRule type="containsText" dxfId="1055" priority="76136" operator="containsText" text="NA">
      <formula>NOT(ISERROR(SEARCH("NA",AG29)))</formula>
    </cfRule>
    <cfRule type="containsText" dxfId="1054" priority="76137" operator="containsText" text="Done">
      <formula>NOT(ISERROR(SEARCH("Done",AG29)))</formula>
    </cfRule>
    <cfRule type="containsText" dxfId="1053" priority="76138" operator="containsText" text="NA">
      <formula>NOT(ISERROR(SEARCH("NA",#REF!)))</formula>
    </cfRule>
    <cfRule type="containsText" dxfId="1052" priority="76139" operator="containsText" text="Done">
      <formula>NOT(ISERROR(SEARCH("Done",#REF!)))</formula>
    </cfRule>
    <cfRule type="containsText" dxfId="1051" priority="76140" operator="containsText" text="Pending">
      <formula>NOT(ISERROR(SEARCH("Pending",#REF!)))</formula>
    </cfRule>
    <cfRule type="containsText" dxfId="1050" priority="76141" operator="containsText" text="NA">
      <formula>NOT(ISERROR(SEARCH("NA",#REF!)))</formula>
    </cfRule>
    <cfRule type="containsText" dxfId="1049" priority="76142" operator="containsText" text="NA">
      <formula>NOT(ISERROR(SEARCH("NA",AG29)))</formula>
    </cfRule>
    <cfRule type="containsText" dxfId="1048" priority="76143" operator="containsText" text="Pending">
      <formula>NOT(ISERROR(SEARCH("Pending",AG29)))</formula>
    </cfRule>
    <cfRule type="containsText" dxfId="1047" priority="76144" operator="containsText" text="Done">
      <formula>NOT(ISERROR(SEARCH("Done",AG29)))</formula>
    </cfRule>
    <cfRule type="containsText" dxfId="1046" priority="76145" operator="containsText" text="NA">
      <formula>NOT(ISERROR(SEARCH("NA",#REF!)))</formula>
    </cfRule>
    <cfRule type="containsText" dxfId="1045" priority="76146" operator="containsText" text="Done">
      <formula>NOT(ISERROR(SEARCH("Done",#REF!)))</formula>
    </cfRule>
    <cfRule type="containsText" dxfId="1044" priority="76147" operator="containsText" text="Pending">
      <formula>NOT(ISERROR(SEARCH("Pending",#REF!)))</formula>
    </cfRule>
    <cfRule type="containsText" dxfId="1043" priority="76148" operator="containsText" text="NA">
      <formula>NOT(ISERROR(SEARCH("NA",#REF!)))</formula>
    </cfRule>
    <cfRule type="containsText" dxfId="1042" priority="76149" operator="containsText" text="NA">
      <formula>NOT(ISERROR(SEARCH("NA",#REF!)))</formula>
    </cfRule>
    <cfRule type="containsText" dxfId="1041" priority="76151" operator="containsText" text="Pending">
      <formula>NOT(ISERROR(SEARCH("Pending",#REF!)))</formula>
    </cfRule>
    <cfRule type="containsText" dxfId="1040" priority="76152" operator="containsText" text="NA">
      <formula>NOT(ISERROR(SEARCH("NA",#REF!)))</formula>
    </cfRule>
    <cfRule type="containsText" dxfId="1039" priority="76153" operator="containsText" text="NA">
      <formula>NOT(ISERROR(SEARCH("NA",AG29)))</formula>
    </cfRule>
    <cfRule type="containsText" dxfId="1038" priority="76154" operator="containsText" text="Pending">
      <formula>NOT(ISERROR(SEARCH("Pending",AG29)))</formula>
    </cfRule>
    <cfRule type="containsText" dxfId="1037" priority="76155" operator="containsText" text="Done">
      <formula>NOT(ISERROR(SEARCH("Done",AG29)))</formula>
    </cfRule>
    <cfRule type="containsText" dxfId="1036" priority="76156" operator="containsText" text="NA">
      <formula>NOT(ISERROR(SEARCH("NA",#REF!)))</formula>
    </cfRule>
    <cfRule type="containsText" dxfId="1035" priority="76158" operator="containsText" text="Pending">
      <formula>NOT(ISERROR(SEARCH("Pending",#REF!)))</formula>
    </cfRule>
    <cfRule type="containsText" dxfId="1034" priority="76159" operator="containsText" text="NA">
      <formula>NOT(ISERROR(SEARCH("NA",#REF!)))</formula>
    </cfRule>
    <cfRule type="containsText" dxfId="1033" priority="76160" operator="containsText" text="NA">
      <formula>NOT(ISERROR(SEARCH("NA",#REF!)))</formula>
    </cfRule>
    <cfRule type="containsText" dxfId="1032" priority="76161" operator="containsText" text="Done">
      <formula>NOT(ISERROR(SEARCH("Done",#REF!)))</formula>
    </cfRule>
    <cfRule type="containsText" dxfId="1031" priority="76162" operator="containsText" text="Pending">
      <formula>NOT(ISERROR(SEARCH("Pending",#REF!)))</formula>
    </cfRule>
    <cfRule type="containsText" dxfId="1030" priority="76163" operator="containsText" text="NA">
      <formula>NOT(ISERROR(SEARCH("NA",#REF!)))</formula>
    </cfRule>
    <cfRule type="containsText" dxfId="1029" priority="76164" operator="containsText" text="NA">
      <formula>NOT(ISERROR(SEARCH("NA",#REF!)))</formula>
    </cfRule>
    <cfRule type="containsText" dxfId="1028" priority="76165" operator="containsText" text="Done">
      <formula>NOT(ISERROR(SEARCH("Done",#REF!)))</formula>
    </cfRule>
    <cfRule type="containsText" dxfId="1027" priority="76166" operator="containsText" text="Pending">
      <formula>NOT(ISERROR(SEARCH("Pending",#REF!)))</formula>
    </cfRule>
    <cfRule type="containsText" dxfId="1026" priority="76167" operator="containsText" text="NA">
      <formula>NOT(ISERROR(SEARCH("NA",#REF!)))</formula>
    </cfRule>
    <cfRule type="containsText" dxfId="1025" priority="76168" operator="containsText" text="NA">
      <formula>NOT(ISERROR(SEARCH("NA",#REF!)))</formula>
    </cfRule>
    <cfRule type="containsText" dxfId="1024" priority="76169" operator="containsText" text="Done">
      <formula>NOT(ISERROR(SEARCH("Done",#REF!)))</formula>
    </cfRule>
    <cfRule type="containsText" dxfId="1023" priority="76170" operator="containsText" text="Pending">
      <formula>NOT(ISERROR(SEARCH("Pending",#REF!)))</formula>
    </cfRule>
    <cfRule type="containsText" dxfId="1022" priority="76171" operator="containsText" text="NA">
      <formula>NOT(ISERROR(SEARCH("NA",#REF!)))</formula>
    </cfRule>
    <cfRule type="containsText" dxfId="1021" priority="76172" operator="containsText" text="NA">
      <formula>NOT(ISERROR(SEARCH("NA",#REF!)))</formula>
    </cfRule>
    <cfRule type="containsText" dxfId="1020" priority="76173" operator="containsText" text="Done">
      <formula>NOT(ISERROR(SEARCH("Done",#REF!)))</formula>
    </cfRule>
    <cfRule type="containsText" dxfId="1019" priority="76174" operator="containsText" text="Pending">
      <formula>NOT(ISERROR(SEARCH("Pending",#REF!)))</formula>
    </cfRule>
    <cfRule type="containsText" dxfId="1018" priority="76175" operator="containsText" text="NA">
      <formula>NOT(ISERROR(SEARCH("NA",#REF!)))</formula>
    </cfRule>
    <cfRule type="containsText" dxfId="1017" priority="76176" operator="containsText" text="NA">
      <formula>NOT(ISERROR(SEARCH("NA",#REF!)))</formula>
    </cfRule>
    <cfRule type="containsText" dxfId="1016" priority="76177" operator="containsText" text="Done">
      <formula>NOT(ISERROR(SEARCH("Done",#REF!)))</formula>
    </cfRule>
    <cfRule type="containsText" dxfId="1015" priority="76178" operator="containsText" text="Pending">
      <formula>NOT(ISERROR(SEARCH("Pending",#REF!)))</formula>
    </cfRule>
    <cfRule type="containsText" dxfId="1014" priority="76179" operator="containsText" text="NA">
      <formula>NOT(ISERROR(SEARCH("NA",#REF!)))</formula>
    </cfRule>
    <cfRule type="containsText" dxfId="1013" priority="76180" operator="containsText" text="NA">
      <formula>NOT(ISERROR(SEARCH("NA",AG29)))</formula>
    </cfRule>
    <cfRule type="containsText" dxfId="1012" priority="76181" operator="containsText" text="Pending">
      <formula>NOT(ISERROR(SEARCH("Pending",AG29)))</formula>
    </cfRule>
    <cfRule type="containsText" dxfId="1011" priority="76182" operator="containsText" text="Done">
      <formula>NOT(ISERROR(SEARCH("Done",AG29)))</formula>
    </cfRule>
    <cfRule type="containsText" dxfId="1010" priority="76183" operator="containsText" text="NA">
      <formula>NOT(ISERROR(SEARCH("NA",#REF!)))</formula>
    </cfRule>
    <cfRule type="containsText" dxfId="1009" priority="76184" operator="containsText" text="Done">
      <formula>NOT(ISERROR(SEARCH("Done",#REF!)))</formula>
    </cfRule>
    <cfRule type="containsText" dxfId="1008" priority="76185" operator="containsText" text="Pending">
      <formula>NOT(ISERROR(SEARCH("Pending",#REF!)))</formula>
    </cfRule>
    <cfRule type="containsText" dxfId="1007" priority="76186" operator="containsText" text="NA">
      <formula>NOT(ISERROR(SEARCH("NA",#REF!)))</formula>
    </cfRule>
    <cfRule type="containsText" dxfId="1006" priority="76187" operator="containsText" text="NA">
      <formula>NOT(ISERROR(SEARCH("NA",AG29)))</formula>
    </cfRule>
    <cfRule type="containsText" dxfId="1005" priority="76188" operator="containsText" text="Pending">
      <formula>NOT(ISERROR(SEARCH("Pending",AG29)))</formula>
    </cfRule>
    <cfRule type="containsText" dxfId="1004" priority="76189" operator="containsText" text="Done">
      <formula>NOT(ISERROR(SEARCH("Done",AG29)))</formula>
    </cfRule>
    <cfRule type="containsText" dxfId="1003" priority="76190" operator="containsText" text="NA">
      <formula>NOT(ISERROR(SEARCH("NA",#REF!)))</formula>
    </cfRule>
    <cfRule type="containsText" dxfId="1002" priority="76191" operator="containsText" text="Done">
      <formula>NOT(ISERROR(SEARCH("Done",#REF!)))</formula>
    </cfRule>
    <cfRule type="containsText" dxfId="1001" priority="76192" operator="containsText" text="Pending">
      <formula>NOT(ISERROR(SEARCH("Pending",#REF!)))</formula>
    </cfRule>
    <cfRule type="containsText" dxfId="1000" priority="76193" operator="containsText" text="NA">
      <formula>NOT(ISERROR(SEARCH("NA",#REF!)))</formula>
    </cfRule>
    <cfRule type="containsText" dxfId="999" priority="76194" operator="containsText" text="NA">
      <formula>NOT(ISERROR(SEARCH("NA",#REF!)))</formula>
    </cfRule>
    <cfRule type="containsText" dxfId="998" priority="76195" operator="containsText" text="Done">
      <formula>NOT(ISERROR(SEARCH("Done",#REF!)))</formula>
    </cfRule>
    <cfRule type="containsText" dxfId="997" priority="76196" operator="containsText" text="Pending">
      <formula>NOT(ISERROR(SEARCH("Pending",#REF!)))</formula>
    </cfRule>
    <cfRule type="containsText" dxfId="996" priority="76197" operator="containsText" text="NA">
      <formula>NOT(ISERROR(SEARCH("NA",#REF!)))</formula>
    </cfRule>
    <cfRule type="containsText" dxfId="995" priority="76198" operator="containsText" text="NA">
      <formula>NOT(ISERROR(SEARCH("NA",#REF!)))</formula>
    </cfRule>
    <cfRule type="containsText" dxfId="994" priority="76199" operator="containsText" text="Done">
      <formula>NOT(ISERROR(SEARCH("Done",#REF!)))</formula>
    </cfRule>
    <cfRule type="containsText" dxfId="993" priority="76200" operator="containsText" text="Pending">
      <formula>NOT(ISERROR(SEARCH("Pending",#REF!)))</formula>
    </cfRule>
    <cfRule type="containsText" dxfId="992" priority="76201" operator="containsText" text="NA">
      <formula>NOT(ISERROR(SEARCH("NA",#REF!)))</formula>
    </cfRule>
    <cfRule type="containsText" dxfId="991" priority="76202" operator="containsText" text="NA">
      <formula>NOT(ISERROR(SEARCH("NA",#REF!)))</formula>
    </cfRule>
    <cfRule type="containsText" dxfId="990" priority="76203" operator="containsText" text="Done">
      <formula>NOT(ISERROR(SEARCH("Done",#REF!)))</formula>
    </cfRule>
    <cfRule type="containsText" dxfId="989" priority="76204" operator="containsText" text="Pending">
      <formula>NOT(ISERROR(SEARCH("Pending",#REF!)))</formula>
    </cfRule>
    <cfRule type="containsText" dxfId="988" priority="76205" operator="containsText" text="NA">
      <formula>NOT(ISERROR(SEARCH("NA",#REF!)))</formula>
    </cfRule>
    <cfRule type="containsText" dxfId="987" priority="76206" operator="containsText" text="NA">
      <formula>NOT(ISERROR(SEARCH("NA",AG29)))</formula>
    </cfRule>
    <cfRule type="containsText" dxfId="986" priority="76207" operator="containsText" text="Pending">
      <formula>NOT(ISERROR(SEARCH("Pending",AG29)))</formula>
    </cfRule>
    <cfRule type="containsText" dxfId="985" priority="76208" operator="containsText" text="Done">
      <formula>NOT(ISERROR(SEARCH("Done",AG29)))</formula>
    </cfRule>
    <cfRule type="containsText" dxfId="984" priority="76209" operator="containsText" text="NA">
      <formula>NOT(ISERROR(SEARCH("NA",#REF!)))</formula>
    </cfRule>
    <cfRule type="containsText" dxfId="983" priority="76210" operator="containsText" text="Done">
      <formula>NOT(ISERROR(SEARCH("Done",#REF!)))</formula>
    </cfRule>
    <cfRule type="containsText" dxfId="982" priority="76211" operator="containsText" text="Pending">
      <formula>NOT(ISERROR(SEARCH("Pending",#REF!)))</formula>
    </cfRule>
    <cfRule type="containsText" dxfId="981" priority="76212" operator="containsText" text="NA">
      <formula>NOT(ISERROR(SEARCH("NA",#REF!)))</formula>
    </cfRule>
    <cfRule type="containsText" dxfId="980" priority="76213" operator="containsText" text="NA">
      <formula>NOT(ISERROR(SEARCH("NA",AG29)))</formula>
    </cfRule>
    <cfRule type="containsText" dxfId="979" priority="76214" operator="containsText" text="Pending">
      <formula>NOT(ISERROR(SEARCH("Pending",AG29)))</formula>
    </cfRule>
    <cfRule type="containsText" dxfId="978" priority="76215" operator="containsText" text="Done">
      <formula>NOT(ISERROR(SEARCH("Done",AG29)))</formula>
    </cfRule>
    <cfRule type="containsText" dxfId="977" priority="76216" operator="containsText" text="NA">
      <formula>NOT(ISERROR(SEARCH("NA",#REF!)))</formula>
    </cfRule>
    <cfRule type="containsText" dxfId="976" priority="76217" operator="containsText" text="Done">
      <formula>NOT(ISERROR(SEARCH("Done",#REF!)))</formula>
    </cfRule>
    <cfRule type="containsText" dxfId="975" priority="76218" operator="containsText" text="Pending">
      <formula>NOT(ISERROR(SEARCH("Pending",#REF!)))</formula>
    </cfRule>
    <cfRule type="containsText" dxfId="974" priority="76219" operator="containsText" text="NA">
      <formula>NOT(ISERROR(SEARCH("NA",#REF!)))</formula>
    </cfRule>
    <cfRule type="containsText" dxfId="973" priority="76220" operator="containsText" text="NA">
      <formula>NOT(ISERROR(SEARCH("NA",#REF!)))</formula>
    </cfRule>
    <cfRule type="containsText" dxfId="972" priority="76221" operator="containsText" text="Done">
      <formula>NOT(ISERROR(SEARCH("Done",#REF!)))</formula>
    </cfRule>
    <cfRule type="containsText" dxfId="971" priority="76222" operator="containsText" text="Pending">
      <formula>NOT(ISERROR(SEARCH("Pending",#REF!)))</formula>
    </cfRule>
    <cfRule type="containsText" dxfId="970" priority="76223" operator="containsText" text="NA">
      <formula>NOT(ISERROR(SEARCH("NA",#REF!)))</formula>
    </cfRule>
    <cfRule type="containsText" dxfId="969" priority="76224" operator="containsText" text="NA">
      <formula>NOT(ISERROR(SEARCH("NA",#REF!)))</formula>
    </cfRule>
    <cfRule type="containsText" dxfId="968" priority="76225" operator="containsText" text="Done">
      <formula>NOT(ISERROR(SEARCH("Done",#REF!)))</formula>
    </cfRule>
    <cfRule type="containsText" dxfId="967" priority="76226" operator="containsText" text="Pending">
      <formula>NOT(ISERROR(SEARCH("Pending",#REF!)))</formula>
    </cfRule>
    <cfRule type="containsText" dxfId="966" priority="76227" operator="containsText" text="NA">
      <formula>NOT(ISERROR(SEARCH("NA",#REF!)))</formula>
    </cfRule>
    <cfRule type="containsText" dxfId="965" priority="76228" operator="containsText" text="NA">
      <formula>NOT(ISERROR(SEARCH("NA",#REF!)))</formula>
    </cfRule>
    <cfRule type="containsText" dxfId="964" priority="76229" operator="containsText" text="Done">
      <formula>NOT(ISERROR(SEARCH("Done",#REF!)))</formula>
    </cfRule>
    <cfRule type="containsText" dxfId="963" priority="76230" operator="containsText" text="Pending">
      <formula>NOT(ISERROR(SEARCH("Pending",#REF!)))</formula>
    </cfRule>
    <cfRule type="containsText" dxfId="962" priority="76231" operator="containsText" text="NA">
      <formula>NOT(ISERROR(SEARCH("NA",#REF!)))</formula>
    </cfRule>
    <cfRule type="containsText" dxfId="961" priority="76232" operator="containsText" text="NA">
      <formula>NOT(ISERROR(SEARCH("NA",AG29)))</formula>
    </cfRule>
    <cfRule type="containsText" dxfId="960" priority="76233" operator="containsText" text="Done">
      <formula>NOT(ISERROR(SEARCH("Done",AG29)))</formula>
    </cfRule>
    <cfRule type="containsText" dxfId="959" priority="76234" operator="containsText" text="NA">
      <formula>NOT(ISERROR(SEARCH("NA",#REF!)))</formula>
    </cfRule>
    <cfRule type="containsText" dxfId="958" priority="76235" operator="containsText" text="Done">
      <formula>NOT(ISERROR(SEARCH("Done",#REF!)))</formula>
    </cfRule>
    <cfRule type="containsText" dxfId="957" priority="76236" operator="containsText" text="Pending">
      <formula>NOT(ISERROR(SEARCH("Pending",#REF!)))</formula>
    </cfRule>
    <cfRule type="containsText" dxfId="956" priority="76237" operator="containsText" text="NA">
      <formula>NOT(ISERROR(SEARCH("NA",#REF!)))</formula>
    </cfRule>
    <cfRule type="containsText" dxfId="955" priority="76238" operator="containsText" text="NA">
      <formula>NOT(ISERROR(SEARCH("NA",AG29)))</formula>
    </cfRule>
    <cfRule type="containsText" dxfId="954" priority="76239" operator="containsText" text="Pending">
      <formula>NOT(ISERROR(SEARCH("Pending",AG29)))</formula>
    </cfRule>
    <cfRule type="containsText" dxfId="953" priority="76240" operator="containsText" text="Done">
      <formula>NOT(ISERROR(SEARCH("Done",AG29)))</formula>
    </cfRule>
    <cfRule type="containsText" dxfId="952" priority="76241" operator="containsText" text="NA">
      <formula>NOT(ISERROR(SEARCH("NA",#REF!)))</formula>
    </cfRule>
    <cfRule type="containsText" dxfId="951" priority="76242" operator="containsText" text="Done">
      <formula>NOT(ISERROR(SEARCH("Done",#REF!)))</formula>
    </cfRule>
    <cfRule type="containsText" dxfId="950" priority="76243" operator="containsText" text="Pending">
      <formula>NOT(ISERROR(SEARCH("Pending",#REF!)))</formula>
    </cfRule>
    <cfRule type="containsText" dxfId="949" priority="76244" operator="containsText" text="NA">
      <formula>NOT(ISERROR(SEARCH("NA",#REF!)))</formula>
    </cfRule>
    <cfRule type="containsText" dxfId="948" priority="76245" operator="containsText" text="NA">
      <formula>NOT(ISERROR(SEARCH("NA",#REF!)))</formula>
    </cfRule>
    <cfRule type="containsText" dxfId="947" priority="76246" operator="containsText" text="Done">
      <formula>NOT(ISERROR(SEARCH("Done",#REF!)))</formula>
    </cfRule>
    <cfRule type="containsText" dxfId="946" priority="76247" operator="containsText" text="Pending">
      <formula>NOT(ISERROR(SEARCH("Pending",#REF!)))</formula>
    </cfRule>
    <cfRule type="containsText" dxfId="945" priority="76248" operator="containsText" text="NA">
      <formula>NOT(ISERROR(SEARCH("NA",#REF!)))</formula>
    </cfRule>
    <cfRule type="containsText" dxfId="944" priority="76249" operator="containsText" text="NA">
      <formula>NOT(ISERROR(SEARCH("NA",#REF!)))</formula>
    </cfRule>
    <cfRule type="containsText" dxfId="943" priority="76250" operator="containsText" text="Done">
      <formula>NOT(ISERROR(SEARCH("Done",#REF!)))</formula>
    </cfRule>
    <cfRule type="containsText" dxfId="942" priority="76251" operator="containsText" text="Pending">
      <formula>NOT(ISERROR(SEARCH("Pending",#REF!)))</formula>
    </cfRule>
    <cfRule type="containsText" dxfId="941" priority="76252" operator="containsText" text="NA">
      <formula>NOT(ISERROR(SEARCH("NA",#REF!)))</formula>
    </cfRule>
    <cfRule type="containsText" dxfId="940" priority="76253" operator="containsText" text="Done">
      <formula>NOT(ISERROR(SEARCH("Done",#REF!)))</formula>
    </cfRule>
    <cfRule type="containsText" dxfId="939" priority="76254" operator="containsText" text="Pending">
      <formula>NOT(ISERROR(SEARCH("Pending",#REF!)))</formula>
    </cfRule>
    <cfRule type="containsText" dxfId="938" priority="76255" operator="containsText" text="NA">
      <formula>NOT(ISERROR(SEARCH("NA",#REF!)))</formula>
    </cfRule>
    <cfRule type="containsText" dxfId="937" priority="76256" operator="containsText" text="NA">
      <formula>NOT(ISERROR(SEARCH("NA",#REF!)))</formula>
    </cfRule>
    <cfRule type="containsText" dxfId="936" priority="76257" operator="containsText" text="Done">
      <formula>NOT(ISERROR(SEARCH("Done",#REF!)))</formula>
    </cfRule>
    <cfRule type="containsText" dxfId="935" priority="76258" operator="containsText" text="Pending">
      <formula>NOT(ISERROR(SEARCH("Pending",#REF!)))</formula>
    </cfRule>
    <cfRule type="containsText" dxfId="934" priority="76259" operator="containsText" text="NA">
      <formula>NOT(ISERROR(SEARCH("NA",#REF!)))</formula>
    </cfRule>
    <cfRule type="containsText" dxfId="933" priority="76260" operator="containsText" text="NA">
      <formula>NOT(ISERROR(SEARCH("NA",AG29)))</formula>
    </cfRule>
    <cfRule type="containsText" dxfId="932" priority="76261" operator="containsText" text="Done">
      <formula>NOT(ISERROR(SEARCH("Done",AG29)))</formula>
    </cfRule>
    <cfRule type="containsText" dxfId="931" priority="76262" operator="containsText" text="NA">
      <formula>NOT(ISERROR(SEARCH("NA",#REF!)))</formula>
    </cfRule>
    <cfRule type="containsText" dxfId="930" priority="76263" operator="containsText" text="Done">
      <formula>NOT(ISERROR(SEARCH("Done",#REF!)))</formula>
    </cfRule>
    <cfRule type="containsText" dxfId="929" priority="76264" operator="containsText" text="Pending">
      <formula>NOT(ISERROR(SEARCH("Pending",#REF!)))</formula>
    </cfRule>
    <cfRule type="containsText" dxfId="928" priority="76265" operator="containsText" text="NA">
      <formula>NOT(ISERROR(SEARCH("NA",#REF!)))</formula>
    </cfRule>
    <cfRule type="containsText" dxfId="927" priority="76266" operator="containsText" text="NA">
      <formula>NOT(ISERROR(SEARCH("NA",AG29)))</formula>
    </cfRule>
    <cfRule type="containsText" dxfId="926" priority="76267" operator="containsText" text="Pending">
      <formula>NOT(ISERROR(SEARCH("Pending",AG29)))</formula>
    </cfRule>
    <cfRule type="containsText" dxfId="925" priority="76268" operator="containsText" text="Done">
      <formula>NOT(ISERROR(SEARCH("Done",AG29)))</formula>
    </cfRule>
    <cfRule type="containsText" dxfId="924" priority="76269" operator="containsText" text="NA">
      <formula>NOT(ISERROR(SEARCH("NA",#REF!)))</formula>
    </cfRule>
    <cfRule type="containsText" dxfId="923" priority="76270" operator="containsText" text="Done">
      <formula>NOT(ISERROR(SEARCH("Done",#REF!)))</formula>
    </cfRule>
    <cfRule type="containsText" dxfId="922" priority="76271" operator="containsText" text="Pending">
      <formula>NOT(ISERROR(SEARCH("Pending",#REF!)))</formula>
    </cfRule>
    <cfRule type="containsText" dxfId="921" priority="76272" operator="containsText" text="NA">
      <formula>NOT(ISERROR(SEARCH("NA",#REF!)))</formula>
    </cfRule>
    <cfRule type="containsText" dxfId="920" priority="76273" operator="containsText" text="NA">
      <formula>NOT(ISERROR(SEARCH("NA",#REF!)))</formula>
    </cfRule>
    <cfRule type="containsText" dxfId="919" priority="76274" operator="containsText" text="Done">
      <formula>NOT(ISERROR(SEARCH("Done",#REF!)))</formula>
    </cfRule>
    <cfRule type="containsText" dxfId="918" priority="76275" operator="containsText" text="Pending">
      <formula>NOT(ISERROR(SEARCH("Pending",#REF!)))</formula>
    </cfRule>
    <cfRule type="containsText" dxfId="917" priority="76276" operator="containsText" text="NA">
      <formula>NOT(ISERROR(SEARCH("NA",#REF!)))</formula>
    </cfRule>
    <cfRule type="containsText" dxfId="916" priority="76277" operator="containsText" text="NA">
      <formula>NOT(ISERROR(SEARCH("NA",AG29)))</formula>
    </cfRule>
    <cfRule type="containsText" dxfId="915" priority="76278" operator="containsText" text="Done">
      <formula>NOT(ISERROR(SEARCH("Done",AG29)))</formula>
    </cfRule>
    <cfRule type="containsText" dxfId="914" priority="76279" operator="containsText" text="NA">
      <formula>NOT(ISERROR(SEARCH("NA",#REF!)))</formula>
    </cfRule>
    <cfRule type="containsText" dxfId="913" priority="76280" operator="containsText" text="Done">
      <formula>NOT(ISERROR(SEARCH("Done",#REF!)))</formula>
    </cfRule>
    <cfRule type="containsText" dxfId="912" priority="76281" operator="containsText" text="Pending">
      <formula>NOT(ISERROR(SEARCH("Pending",#REF!)))</formula>
    </cfRule>
    <cfRule type="containsText" dxfId="911" priority="76282" operator="containsText" text="NA">
      <formula>NOT(ISERROR(SEARCH("NA",#REF!)))</formula>
    </cfRule>
    <cfRule type="containsText" dxfId="910" priority="76283" operator="containsText" text="NA">
      <formula>NOT(ISERROR(SEARCH("NA",AG29)))</formula>
    </cfRule>
    <cfRule type="containsText" dxfId="909" priority="159280" operator="containsText" text="NA">
      <formula>NOT(ISERROR(SEARCH("NA",AD52)))</formula>
    </cfRule>
    <cfRule type="containsText" dxfId="908" priority="76284" operator="containsText" text="Pending">
      <formula>NOT(ISERROR(SEARCH("Pending",AG29)))</formula>
    </cfRule>
    <cfRule type="containsText" dxfId="907" priority="76295" operator="containsText" text="Done">
      <formula>NOT(ISERROR(SEARCH("Done",#REF!)))</formula>
    </cfRule>
  </conditionalFormatting>
  <conditionalFormatting sqref="AG30:AG32">
    <cfRule type="containsText" dxfId="906" priority="148876" operator="containsText" text="Pending">
      <formula>NOT(ISERROR(SEARCH("Pending",#REF!)))</formula>
    </cfRule>
    <cfRule type="containsText" dxfId="905" priority="148878" operator="containsText" text="NA">
      <formula>NOT(ISERROR(SEARCH("NA",AD92)))</formula>
    </cfRule>
    <cfRule type="containsText" dxfId="904" priority="148877" operator="containsText" text="NA">
      <formula>NOT(ISERROR(SEARCH("NA",#REF!)))</formula>
    </cfRule>
    <cfRule type="containsText" dxfId="903" priority="148881" operator="containsText" text="NA">
      <formula>NOT(ISERROR(SEARCH("NA",AD91)))</formula>
    </cfRule>
    <cfRule type="containsText" dxfId="902" priority="148880" operator="containsText" text="Pending">
      <formula>NOT(ISERROR(SEARCH("Pending",AD91)))</formula>
    </cfRule>
    <cfRule type="containsText" dxfId="901" priority="148879" operator="containsText" text="Done">
      <formula>NOT(ISERROR(SEARCH("Done",AD91)))</formula>
    </cfRule>
  </conditionalFormatting>
  <conditionalFormatting sqref="AG39">
    <cfRule type="containsText" dxfId="900" priority="124548" operator="containsText" text="Pending">
      <formula>NOT(ISERROR(SEARCH("Pending",#REF!)))</formula>
    </cfRule>
    <cfRule type="containsText" dxfId="899" priority="124547" operator="containsText" text="Done">
      <formula>NOT(ISERROR(SEARCH("Done",#REF!)))</formula>
    </cfRule>
    <cfRule type="containsText" dxfId="898" priority="124541" operator="containsText" text="NA">
      <formula>NOT(ISERROR(SEARCH("NA",#REF!)))</formula>
    </cfRule>
    <cfRule type="containsText" dxfId="897" priority="124543" operator="containsText" text="Pending">
      <formula>NOT(ISERROR(SEARCH("Pending",#REF!)))</formula>
    </cfRule>
    <cfRule type="containsText" dxfId="896" priority="124544" operator="containsText" text="Done">
      <formula>NOT(ISERROR(SEARCH("Done",#REF!)))</formula>
    </cfRule>
    <cfRule type="containsText" dxfId="895" priority="124552" operator="containsText" text="NA">
      <formula>NOT(ISERROR(SEARCH("NA",#REF!)))</formula>
    </cfRule>
    <cfRule type="containsText" dxfId="894" priority="124551" operator="containsText" text="Pending">
      <formula>NOT(ISERROR(SEARCH("Pending",#REF!)))</formula>
    </cfRule>
    <cfRule type="containsText" dxfId="893" priority="124545" operator="containsText" text="Pending">
      <formula>NOT(ISERROR(SEARCH("Pending",#REF!)))</formula>
    </cfRule>
    <cfRule type="containsText" dxfId="892" priority="124550" operator="containsText" text="Done">
      <formula>NOT(ISERROR(SEARCH("Done",#REF!)))</formula>
    </cfRule>
    <cfRule type="containsText" dxfId="891" priority="124534" operator="containsText" text="Done">
      <formula>NOT(ISERROR(SEARCH("Done",#REF!)))</formula>
    </cfRule>
    <cfRule type="containsText" dxfId="890" priority="124533" operator="containsText" text="NA">
      <formula>NOT(ISERROR(SEARCH("NA",#REF!)))</formula>
    </cfRule>
    <cfRule type="containsText" dxfId="889" priority="124532" operator="containsText" text="Pending">
      <formula>NOT(ISERROR(SEARCH("Pending",#REF!)))</formula>
    </cfRule>
    <cfRule type="containsText" dxfId="888" priority="124546" operator="containsText" text="NA">
      <formula>NOT(ISERROR(SEARCH("NA",#REF!)))</formula>
    </cfRule>
    <cfRule type="containsText" dxfId="887" priority="124531" operator="containsText" text="Done">
      <formula>NOT(ISERROR(SEARCH("Done",#REF!)))</formula>
    </cfRule>
    <cfRule type="containsText" dxfId="886" priority="124542" operator="containsText" text="Done">
      <formula>NOT(ISERROR(SEARCH("Done",#REF!)))</formula>
    </cfRule>
    <cfRule type="containsText" dxfId="885" priority="124549" operator="containsText" text="NA">
      <formula>NOT(ISERROR(SEARCH("NA",#REF!)))</formula>
    </cfRule>
    <cfRule type="containsText" dxfId="884" priority="124540" operator="containsText" text="Pending">
      <formula>NOT(ISERROR(SEARCH("Pending",#REF!)))</formula>
    </cfRule>
    <cfRule type="containsText" dxfId="883" priority="124539" operator="containsText" text="Done">
      <formula>NOT(ISERROR(SEARCH("Done",#REF!)))</formula>
    </cfRule>
    <cfRule type="containsText" dxfId="882" priority="124538" operator="containsText" text="NA">
      <formula>NOT(ISERROR(SEARCH("NA",#REF!)))</formula>
    </cfRule>
    <cfRule type="containsText" dxfId="881" priority="124537" operator="containsText" text="Pending">
      <formula>NOT(ISERROR(SEARCH("Pending",#REF!)))</formula>
    </cfRule>
    <cfRule type="containsText" dxfId="880" priority="124536" operator="containsText" text="Done">
      <formula>NOT(ISERROR(SEARCH("Done",#REF!)))</formula>
    </cfRule>
    <cfRule type="containsText" dxfId="879" priority="124535" operator="containsText" text="Pending">
      <formula>NOT(ISERROR(SEARCH("Pending",#REF!)))</formula>
    </cfRule>
  </conditionalFormatting>
  <conditionalFormatting sqref="AG48:AG52">
    <cfRule type="containsText" dxfId="878" priority="140160" operator="containsText" text="Pending">
      <formula>NOT(ISERROR(SEARCH("Pending",#REF!)))</formula>
    </cfRule>
    <cfRule type="containsText" dxfId="877" priority="140159" operator="containsText" text="Pending">
      <formula>NOT(ISERROR(SEARCH("Pending",#REF!)))</formula>
    </cfRule>
    <cfRule type="containsText" dxfId="876" priority="140158" operator="containsText" text="Pending">
      <formula>NOT(ISERROR(SEARCH("Pending",#REF!)))</formula>
    </cfRule>
    <cfRule type="containsText" dxfId="875" priority="140247" operator="containsText" text="NA">
      <formula>NOT(ISERROR(SEARCH("NA",#REF!)))</formula>
    </cfRule>
    <cfRule type="containsText" dxfId="874" priority="140246" operator="containsText" text="NA">
      <formula>NOT(ISERROR(SEARCH("NA",#REF!)))</formula>
    </cfRule>
    <cfRule type="containsText" dxfId="873" priority="140245" operator="containsText" text="NA">
      <formula>NOT(ISERROR(SEARCH("NA",#REF!)))</formula>
    </cfRule>
    <cfRule type="containsText" dxfId="872" priority="140244" operator="containsText" text="NA">
      <formula>NOT(ISERROR(SEARCH("NA",#REF!)))</formula>
    </cfRule>
  </conditionalFormatting>
  <conditionalFormatting sqref="AG48:AG53">
    <cfRule type="containsText" dxfId="871" priority="140248" operator="containsText" text="NA">
      <formula>NOT(ISERROR(SEARCH("NA",#REF!)))</formula>
    </cfRule>
    <cfRule type="containsText" dxfId="870" priority="120466" operator="containsText" text="Pending">
      <formula>NOT(ISERROR(SEARCH("Pending",AD112)))</formula>
    </cfRule>
    <cfRule type="containsText" dxfId="869" priority="120465" operator="containsText" text="Done">
      <formula>NOT(ISERROR(SEARCH("Done",AD112)))</formula>
    </cfRule>
    <cfRule type="containsText" dxfId="868" priority="120467" operator="containsText" text="NA">
      <formula>NOT(ISERROR(SEARCH("NA",AD112)))</formula>
    </cfRule>
    <cfRule type="containsText" dxfId="867" priority="140163" operator="containsText" text="Pending">
      <formula>NOT(ISERROR(SEARCH("Pending",#REF!)))</formula>
    </cfRule>
    <cfRule type="containsText" dxfId="866" priority="140162" operator="containsText" text="Pending">
      <formula>NOT(ISERROR(SEARCH("Pending",#REF!)))</formula>
    </cfRule>
    <cfRule type="containsText" dxfId="865" priority="140164" operator="containsText" text="Pending">
      <formula>NOT(ISERROR(SEARCH("Pending",#REF!)))</formula>
    </cfRule>
    <cfRule type="containsText" dxfId="864" priority="140251" operator="containsText" text="NA">
      <formula>NOT(ISERROR(SEARCH("NA",#REF!)))</formula>
    </cfRule>
    <cfRule type="containsText" dxfId="863" priority="140250" operator="containsText" text="NA">
      <formula>NOT(ISERROR(SEARCH("NA",#REF!)))</formula>
    </cfRule>
    <cfRule type="containsText" dxfId="862" priority="140249" operator="containsText" text="NA">
      <formula>NOT(ISERROR(SEARCH("NA",#REF!)))</formula>
    </cfRule>
  </conditionalFormatting>
  <conditionalFormatting sqref="AG49:AG52">
    <cfRule type="containsText" dxfId="861" priority="2011" operator="containsText" text="Done">
      <formula>NOT(ISERROR(SEARCH("Done",AD112)))</formula>
    </cfRule>
    <cfRule type="containsText" dxfId="860" priority="2012" operator="containsText" text="Pending">
      <formula>NOT(ISERROR(SEARCH("Pending",AD112)))</formula>
    </cfRule>
    <cfRule type="containsText" dxfId="859" priority="2013" operator="containsText" text="NA">
      <formula>NOT(ISERROR(SEARCH("NA",AD112)))</formula>
    </cfRule>
  </conditionalFormatting>
  <conditionalFormatting sqref="AG58 P58:Q58 S58:V58 X58:AD58">
    <cfRule type="containsText" dxfId="858" priority="119787" operator="containsText" text="NA">
      <formula>NOT(ISERROR(SEARCH("NA",#REF!)))</formula>
    </cfRule>
    <cfRule type="containsText" dxfId="857" priority="119786" operator="containsText" text="Pending">
      <formula>NOT(ISERROR(SEARCH("Pending",#REF!)))</formula>
    </cfRule>
  </conditionalFormatting>
  <conditionalFormatting sqref="AG58">
    <cfRule type="containsText" dxfId="856" priority="119780" operator="containsText" text="Done">
      <formula>NOT(ISERROR(SEARCH("Done",#REF!)))</formula>
    </cfRule>
    <cfRule type="containsText" dxfId="855" priority="119781" operator="containsText" text="Pending">
      <formula>NOT(ISERROR(SEARCH("Pending",#REF!)))</formula>
    </cfRule>
    <cfRule type="containsText" dxfId="854" priority="119782" operator="containsText" text="NA">
      <formula>NOT(ISERROR(SEARCH("NA",#REF!)))</formula>
    </cfRule>
  </conditionalFormatting>
  <conditionalFormatting sqref="AG76:AG78">
    <cfRule type="containsText" dxfId="853" priority="135" operator="containsText" text="Pending">
      <formula>NOT(ISERROR(SEARCH("Pending",#REF!)))</formula>
    </cfRule>
    <cfRule type="containsText" dxfId="852" priority="136" operator="containsText" text="NA">
      <formula>NOT(ISERROR(SEARCH("NA",#REF!)))</formula>
    </cfRule>
    <cfRule type="containsText" dxfId="851" priority="141" operator="containsText" text="Pending">
      <formula>NOT(ISERROR(SEARCH("Pending",#REF!)))</formula>
    </cfRule>
    <cfRule type="containsText" dxfId="850" priority="142" operator="containsText" text="NA">
      <formula>NOT(ISERROR(SEARCH("NA",#REF!)))</formula>
    </cfRule>
    <cfRule type="containsText" dxfId="849" priority="134" operator="containsText" text="Pending">
      <formula>NOT(ISERROR(SEARCH("Pending",#REF!)))</formula>
    </cfRule>
    <cfRule type="containsText" dxfId="848" priority="133" operator="containsText" text="Pending">
      <formula>NOT(ISERROR(SEARCH("Pending",#REF!)))</formula>
    </cfRule>
    <cfRule type="containsText" dxfId="847" priority="145" operator="containsText" text="Pending">
      <formula>NOT(ISERROR(SEARCH("Pending",#REF!)))</formula>
    </cfRule>
    <cfRule type="containsText" dxfId="846" priority="144" operator="containsText" text="Done">
      <formula>NOT(ISERROR(SEARCH("Done",#REF!)))</formula>
    </cfRule>
    <cfRule type="containsText" dxfId="845" priority="146" operator="containsText" text="Pending">
      <formula>NOT(ISERROR(SEARCH("Pending",#REF!)))</formula>
    </cfRule>
    <cfRule type="containsText" dxfId="844" priority="147" operator="containsText" text="NA">
      <formula>NOT(ISERROR(SEARCH("NA",#REF!)))</formula>
    </cfRule>
    <cfRule type="containsText" dxfId="843" priority="148" operator="containsText" text="NA">
      <formula>NOT(ISERROR(SEARCH("NA",#REF!)))</formula>
    </cfRule>
    <cfRule type="containsText" dxfId="842" priority="132" operator="containsText" text="Done">
      <formula>NOT(ISERROR(SEARCH("Done",#REF!)))</formula>
    </cfRule>
    <cfRule type="containsText" dxfId="841" priority="131" operator="containsText" text="Done">
      <formula>NOT(ISERROR(SEARCH("Done",#REF!)))</formula>
    </cfRule>
    <cfRule type="containsText" dxfId="840" priority="143" operator="containsText" text="NA">
      <formula>NOT(ISERROR(SEARCH("NA",#REF!)))</formula>
    </cfRule>
    <cfRule type="containsText" dxfId="839" priority="130" operator="containsText" text="NA">
      <formula>NOT(ISERROR(SEARCH("NA",#REF!)))</formula>
    </cfRule>
    <cfRule type="containsText" dxfId="838" priority="137" operator="containsText" text="NA">
      <formula>NOT(ISERROR(SEARCH("NA",#REF!)))</formula>
    </cfRule>
    <cfRule type="containsText" dxfId="837" priority="138" operator="containsText" text="NA">
      <formula>NOT(ISERROR(SEARCH("NA",#REF!)))</formula>
    </cfRule>
    <cfRule type="containsText" dxfId="836" priority="139" operator="containsText" text="Done">
      <formula>NOT(ISERROR(SEARCH("Done",#REF!)))</formula>
    </cfRule>
    <cfRule type="containsText" dxfId="835" priority="140" operator="containsText" text="Pending">
      <formula>NOT(ISERROR(SEARCH("Pending",#REF!)))</formula>
    </cfRule>
    <cfRule type="containsText" dxfId="834" priority="129" operator="containsText" text="Pending">
      <formula>NOT(ISERROR(SEARCH("Pending",#REF!)))</formula>
    </cfRule>
  </conditionalFormatting>
  <conditionalFormatting sqref="AG76:AG83">
    <cfRule type="containsText" dxfId="833" priority="3977" operator="containsText" text="NA">
      <formula>NOT(ISERROR(SEARCH("NA",#REF!)))</formula>
    </cfRule>
    <cfRule type="containsText" dxfId="832" priority="3976" operator="containsText" text="Pending">
      <formula>NOT(ISERROR(SEARCH("Pending",#REF!)))</formula>
    </cfRule>
    <cfRule type="containsText" dxfId="831" priority="3985" operator="containsText" text="NA">
      <formula>NOT(ISERROR(SEARCH("NA",#REF!)))</formula>
    </cfRule>
    <cfRule type="containsText" dxfId="830" priority="3995" operator="containsText" text="NA">
      <formula>NOT(ISERROR(SEARCH("NA",#REF!)))</formula>
    </cfRule>
    <cfRule type="containsText" dxfId="829" priority="3994" operator="containsText" text="NA">
      <formula>NOT(ISERROR(SEARCH("NA",#REF!)))</formula>
    </cfRule>
    <cfRule type="containsText" dxfId="828" priority="3993" operator="containsText" text="Pending">
      <formula>NOT(ISERROR(SEARCH("Pending",#REF!)))</formula>
    </cfRule>
    <cfRule type="containsText" dxfId="827" priority="3992" operator="containsText" text="Pending">
      <formula>NOT(ISERROR(SEARCH("Pending",#REF!)))</formula>
    </cfRule>
    <cfRule type="containsText" dxfId="826" priority="3991" operator="containsText" text="Done">
      <formula>NOT(ISERROR(SEARCH("Done",#REF!)))</formula>
    </cfRule>
    <cfRule type="containsText" dxfId="825" priority="3990" operator="containsText" text="NA">
      <formula>NOT(ISERROR(SEARCH("NA",#REF!)))</formula>
    </cfRule>
    <cfRule type="containsText" dxfId="824" priority="3989" operator="containsText" text="NA">
      <formula>NOT(ISERROR(SEARCH("NA",#REF!)))</formula>
    </cfRule>
    <cfRule type="containsText" dxfId="823" priority="3988" operator="containsText" text="Pending">
      <formula>NOT(ISERROR(SEARCH("Pending",#REF!)))</formula>
    </cfRule>
    <cfRule type="containsText" dxfId="822" priority="3987" operator="containsText" text="Pending">
      <formula>NOT(ISERROR(SEARCH("Pending",#REF!)))</formula>
    </cfRule>
    <cfRule type="containsText" dxfId="821" priority="3986" operator="containsText" text="Done">
      <formula>NOT(ISERROR(SEARCH("Done",#REF!)))</formula>
    </cfRule>
    <cfRule type="containsText" dxfId="820" priority="3984" operator="containsText" text="NA">
      <formula>NOT(ISERROR(SEARCH("NA",#REF!)))</formula>
    </cfRule>
    <cfRule type="containsText" dxfId="819" priority="3983" operator="containsText" text="NA">
      <formula>NOT(ISERROR(SEARCH("NA",#REF!)))</formula>
    </cfRule>
    <cfRule type="containsText" dxfId="818" priority="3982" operator="containsText" text="Pending">
      <formula>NOT(ISERROR(SEARCH("Pending",#REF!)))</formula>
    </cfRule>
    <cfRule type="containsText" dxfId="817" priority="3981" operator="containsText" text="Pending">
      <formula>NOT(ISERROR(SEARCH("Pending",#REF!)))</formula>
    </cfRule>
    <cfRule type="containsText" dxfId="816" priority="3980" operator="containsText" text="Pending">
      <formula>NOT(ISERROR(SEARCH("Pending",#REF!)))</formula>
    </cfRule>
    <cfRule type="containsText" dxfId="815" priority="3979" operator="containsText" text="Done">
      <formula>NOT(ISERROR(SEARCH("Done",#REF!)))</formula>
    </cfRule>
    <cfRule type="containsText" dxfId="814" priority="3978" operator="containsText" text="Done">
      <formula>NOT(ISERROR(SEARCH("Done",#REF!)))</formula>
    </cfRule>
  </conditionalFormatting>
  <conditionalFormatting sqref="AG79:AG81">
    <cfRule type="containsText" dxfId="813" priority="151" operator="containsText" text="Done">
      <formula>NOT(ISERROR(SEARCH("Done",#REF!)))</formula>
    </cfRule>
    <cfRule type="containsText" dxfId="812" priority="164" operator="containsText" text="NA">
      <formula>NOT(ISERROR(SEARCH("NA",AG79)))</formula>
    </cfRule>
    <cfRule type="containsText" dxfId="811" priority="3564" operator="containsText" text="NA">
      <formula>NOT(ISERROR(SEARCH("NA",AG79)))</formula>
    </cfRule>
    <cfRule type="containsText" dxfId="810" priority="149" operator="containsText" text="NA">
      <formula>NOT(ISERROR(SEARCH("NA",AG79)))</formula>
    </cfRule>
    <cfRule type="containsText" dxfId="809" priority="3565" operator="containsText" text="Done">
      <formula>NOT(ISERROR(SEARCH("Done",AG79)))</formula>
    </cfRule>
    <cfRule type="containsText" dxfId="808" priority="3568" operator="containsText" text="NA">
      <formula>NOT(ISERROR(SEARCH("NA",#REF!)))</formula>
    </cfRule>
    <cfRule type="containsText" dxfId="807" priority="150" operator="containsText" text="Done">
      <formula>NOT(ISERROR(SEARCH("Done",AG79)))</formula>
    </cfRule>
    <cfRule type="containsText" dxfId="806" priority="3566" operator="containsText" text="Done">
      <formula>NOT(ISERROR(SEARCH("Done",#REF!)))</formula>
    </cfRule>
    <cfRule type="containsText" dxfId="805" priority="168" operator="containsText" text="NA">
      <formula>NOT(ISERROR(SEARCH("NA",#REF!)))</formula>
    </cfRule>
    <cfRule type="containsText" dxfId="804" priority="167" operator="containsText" text="Pending">
      <formula>NOT(ISERROR(SEARCH("Pending",#REF!)))</formula>
    </cfRule>
    <cfRule type="containsText" dxfId="803" priority="163" operator="containsText" text="NA">
      <formula>NOT(ISERROR(SEARCH("NA",#REF!)))</formula>
    </cfRule>
    <cfRule type="containsText" dxfId="802" priority="166" operator="containsText" text="Done">
      <formula>NOT(ISERROR(SEARCH("Done",#REF!)))</formula>
    </cfRule>
    <cfRule type="containsText" dxfId="801" priority="152" operator="containsText" text="Pending">
      <formula>NOT(ISERROR(SEARCH("Pending",#REF!)))</formula>
    </cfRule>
    <cfRule type="containsText" dxfId="800" priority="153" operator="containsText" text="NA">
      <formula>NOT(ISERROR(SEARCH("NA",#REF!)))</formula>
    </cfRule>
    <cfRule type="containsText" dxfId="799" priority="154" operator="containsText" text="NA">
      <formula>NOT(ISERROR(SEARCH("NA",AG79)))</formula>
    </cfRule>
    <cfRule type="containsText" dxfId="798" priority="155" operator="containsText" text="Done">
      <formula>NOT(ISERROR(SEARCH("Done",AG79)))</formula>
    </cfRule>
    <cfRule type="containsText" dxfId="797" priority="156" operator="containsText" text="Done">
      <formula>NOT(ISERROR(SEARCH("Done",#REF!)))</formula>
    </cfRule>
    <cfRule type="containsText" dxfId="796" priority="157" operator="containsText" text="Pending">
      <formula>NOT(ISERROR(SEARCH("Pending",#REF!)))</formula>
    </cfRule>
    <cfRule type="containsText" dxfId="795" priority="158" operator="containsText" text="NA">
      <formula>NOT(ISERROR(SEARCH("NA",#REF!)))</formula>
    </cfRule>
    <cfRule type="containsText" dxfId="794" priority="159" operator="containsText" text="NA">
      <formula>NOT(ISERROR(SEARCH("NA",AG79)))</formula>
    </cfRule>
    <cfRule type="containsText" dxfId="793" priority="160" operator="containsText" text="Done">
      <formula>NOT(ISERROR(SEARCH("Done",AG79)))</formula>
    </cfRule>
    <cfRule type="containsText" dxfId="792" priority="161" operator="containsText" text="Done">
      <formula>NOT(ISERROR(SEARCH("Done",#REF!)))</formula>
    </cfRule>
    <cfRule type="containsText" dxfId="791" priority="162" operator="containsText" text="Pending">
      <formula>NOT(ISERROR(SEARCH("Pending",#REF!)))</formula>
    </cfRule>
    <cfRule type="containsText" dxfId="790" priority="165" operator="containsText" text="Done">
      <formula>NOT(ISERROR(SEARCH("Done",AG79)))</formula>
    </cfRule>
  </conditionalFormatting>
  <conditionalFormatting sqref="AG79:AG82">
    <cfRule type="containsText" dxfId="789" priority="3567" operator="containsText" text="Pending">
      <formula>NOT(ISERROR(SEARCH("Pending",#REF!)))</formula>
    </cfRule>
  </conditionalFormatting>
  <conditionalFormatting sqref="AG82">
    <cfRule type="containsText" dxfId="788" priority="3574" operator="containsText" text="Pending">
      <formula>NOT(ISERROR(SEARCH("Pending",#REF!)))</formula>
    </cfRule>
    <cfRule type="containsText" dxfId="787" priority="3573" operator="containsText" text="Pending">
      <formula>NOT(ISERROR(SEARCH("Pending",#REF!)))</formula>
    </cfRule>
    <cfRule type="containsText" dxfId="786" priority="3575" operator="containsText" text="Pending">
      <formula>NOT(ISERROR(SEARCH("Pending",#REF!)))</formula>
    </cfRule>
    <cfRule type="containsText" dxfId="785" priority="3576" operator="containsText" text="NA">
      <formula>NOT(ISERROR(SEARCH("NA",#REF!)))</formula>
    </cfRule>
    <cfRule type="containsText" dxfId="784" priority="3577" operator="containsText" text="NA">
      <formula>NOT(ISERROR(SEARCH("NA",#REF!)))</formula>
    </cfRule>
    <cfRule type="containsText" dxfId="783" priority="3578" operator="containsText" text="NA">
      <formula>NOT(ISERROR(SEARCH("NA",#REF!)))</formula>
    </cfRule>
    <cfRule type="containsText" dxfId="782" priority="3579" operator="containsText" text="Done">
      <formula>NOT(ISERROR(SEARCH("Done",#REF!)))</formula>
    </cfRule>
    <cfRule type="containsText" dxfId="781" priority="3580" operator="containsText" text="Pending">
      <formula>NOT(ISERROR(SEARCH("Pending",#REF!)))</formula>
    </cfRule>
    <cfRule type="containsText" dxfId="780" priority="3581" operator="containsText" text="Pending">
      <formula>NOT(ISERROR(SEARCH("Pending",#REF!)))</formula>
    </cfRule>
    <cfRule type="containsText" dxfId="779" priority="3582" operator="containsText" text="NA">
      <formula>NOT(ISERROR(SEARCH("NA",#REF!)))</formula>
    </cfRule>
    <cfRule type="containsText" dxfId="778" priority="3588" operator="containsText" text="NA">
      <formula>NOT(ISERROR(SEARCH("NA",#REF!)))</formula>
    </cfRule>
    <cfRule type="containsText" dxfId="777" priority="3572" operator="containsText" text="Done">
      <formula>NOT(ISERROR(SEARCH("Done",#REF!)))</formula>
    </cfRule>
    <cfRule type="containsText" dxfId="776" priority="3571" operator="containsText" text="Done">
      <formula>NOT(ISERROR(SEARCH("Done",#REF!)))</formula>
    </cfRule>
    <cfRule type="containsText" dxfId="775" priority="3570" operator="containsText" text="NA">
      <formula>NOT(ISERROR(SEARCH("NA",#REF!)))</formula>
    </cfRule>
    <cfRule type="containsText" dxfId="774" priority="3583" operator="containsText" text="NA">
      <formula>NOT(ISERROR(SEARCH("NA",#REF!)))</formula>
    </cfRule>
    <cfRule type="containsText" dxfId="773" priority="3584" operator="containsText" text="Done">
      <formula>NOT(ISERROR(SEARCH("Done",#REF!)))</formula>
    </cfRule>
    <cfRule type="containsText" dxfId="772" priority="3585" operator="containsText" text="Pending">
      <formula>NOT(ISERROR(SEARCH("Pending",#REF!)))</formula>
    </cfRule>
    <cfRule type="containsText" dxfId="771" priority="3586" operator="containsText" text="Pending">
      <formula>NOT(ISERROR(SEARCH("Pending",#REF!)))</formula>
    </cfRule>
    <cfRule type="containsText" dxfId="770" priority="3587" operator="containsText" text="NA">
      <formula>NOT(ISERROR(SEARCH("NA",#REF!)))</formula>
    </cfRule>
  </conditionalFormatting>
  <conditionalFormatting sqref="AG82:AG83">
    <cfRule type="containsText" dxfId="769" priority="124" operator="containsText" text="Done">
      <formula>NOT(ISERROR(SEARCH("Done",#REF!)))</formula>
    </cfRule>
    <cfRule type="containsText" dxfId="768" priority="127" operator="containsText" text="NA">
      <formula>NOT(ISERROR(SEARCH("NA",#REF!)))</formula>
    </cfRule>
    <cfRule type="containsText" dxfId="767" priority="126" operator="containsText" text="Pending">
      <formula>NOT(ISERROR(SEARCH("Pending",#REF!)))</formula>
    </cfRule>
    <cfRule type="containsText" dxfId="766" priority="125" operator="containsText" text="Pending">
      <formula>NOT(ISERROR(SEARCH("Pending",#REF!)))</formula>
    </cfRule>
    <cfRule type="containsText" dxfId="765" priority="117" operator="containsText" text="NA">
      <formula>NOT(ISERROR(SEARCH("NA",#REF!)))</formula>
    </cfRule>
    <cfRule type="containsText" dxfId="764" priority="123" operator="containsText" text="NA">
      <formula>NOT(ISERROR(SEARCH("NA",#REF!)))</formula>
    </cfRule>
    <cfRule type="containsText" dxfId="763" priority="122" operator="containsText" text="NA">
      <formula>NOT(ISERROR(SEARCH("NA",#REF!)))</formula>
    </cfRule>
    <cfRule type="containsText" dxfId="762" priority="121" operator="containsText" text="Pending">
      <formula>NOT(ISERROR(SEARCH("Pending",#REF!)))</formula>
    </cfRule>
    <cfRule type="containsText" dxfId="761" priority="120" operator="containsText" text="Pending">
      <formula>NOT(ISERROR(SEARCH("Pending",#REF!)))</formula>
    </cfRule>
    <cfRule type="containsText" dxfId="760" priority="119" operator="containsText" text="Done">
      <formula>NOT(ISERROR(SEARCH("Done",#REF!)))</formula>
    </cfRule>
    <cfRule type="containsText" dxfId="759" priority="115" operator="containsText" text="Pending">
      <formula>NOT(ISERROR(SEARCH("Pending",#REF!)))</formula>
    </cfRule>
    <cfRule type="containsText" dxfId="758" priority="114" operator="containsText" text="Pending">
      <formula>NOT(ISERROR(SEARCH("Pending",#REF!)))</formula>
    </cfRule>
    <cfRule type="containsText" dxfId="757" priority="116" operator="containsText" text="NA">
      <formula>NOT(ISERROR(SEARCH("NA",#REF!)))</formula>
    </cfRule>
    <cfRule type="containsText" dxfId="756" priority="118" operator="containsText" text="NA">
      <formula>NOT(ISERROR(SEARCH("NA",#REF!)))</formula>
    </cfRule>
    <cfRule type="containsText" dxfId="755" priority="112" operator="containsText" text="Done">
      <formula>NOT(ISERROR(SEARCH("Done",#REF!)))</formula>
    </cfRule>
    <cfRule type="containsText" dxfId="754" priority="113" operator="containsText" text="Pending">
      <formula>NOT(ISERROR(SEARCH("Pending",#REF!)))</formula>
    </cfRule>
    <cfRule type="containsText" dxfId="753" priority="111" operator="containsText" text="Done">
      <formula>NOT(ISERROR(SEARCH("Done",#REF!)))</formula>
    </cfRule>
    <cfRule type="containsText" dxfId="752" priority="110" operator="containsText" text="NA">
      <formula>NOT(ISERROR(SEARCH("NA",#REF!)))</formula>
    </cfRule>
    <cfRule type="containsText" dxfId="751" priority="109" operator="containsText" text="Pending">
      <formula>NOT(ISERROR(SEARCH("Pending",#REF!)))</formula>
    </cfRule>
    <cfRule type="containsText" dxfId="750" priority="128" operator="containsText" text="NA">
      <formula>NOT(ISERROR(SEARCH("NA",#REF!)))</formula>
    </cfRule>
  </conditionalFormatting>
  <conditionalFormatting sqref="AG83">
    <cfRule type="containsText" dxfId="749" priority="3561" operator="containsText" text="Done">
      <formula>NOT(ISERROR(SEARCH("Done",#REF!)))</formula>
    </cfRule>
    <cfRule type="containsText" dxfId="748" priority="3563" operator="containsText" text="NA">
      <formula>NOT(ISERROR(SEARCH("NA",#REF!)))</formula>
    </cfRule>
    <cfRule type="containsText" dxfId="747" priority="3562" operator="containsText" text="Pending">
      <formula>NOT(ISERROR(SEARCH("Pending",#REF!)))</formula>
    </cfRule>
    <cfRule type="containsText" dxfId="746" priority="3560" operator="containsText" text="Done">
      <formula>NOT(ISERROR(SEARCH("Done",AG83)))</formula>
    </cfRule>
    <cfRule type="containsText" dxfId="745" priority="3559" operator="containsText" text="NA">
      <formula>NOT(ISERROR(SEARCH("NA",AG83)))</formula>
    </cfRule>
  </conditionalFormatting>
  <conditionalFormatting sqref="AG88:AG89">
    <cfRule type="containsText" dxfId="744" priority="77318" operator="containsText" text="Done">
      <formula>NOT(ISERROR(SEARCH("Done",AG88)))</formula>
    </cfRule>
    <cfRule type="containsText" dxfId="743" priority="77317" operator="containsText" text="NA">
      <formula>NOT(ISERROR(SEARCH("NA",AG88)))</formula>
    </cfRule>
    <cfRule type="containsText" dxfId="742" priority="77321" operator="containsText" text="NA">
      <formula>NOT(ISERROR(SEARCH("NA",#REF!)))</formula>
    </cfRule>
    <cfRule type="containsText" dxfId="741" priority="77320" operator="containsText" text="Pending">
      <formula>NOT(ISERROR(SEARCH("Pending",#REF!)))</formula>
    </cfRule>
    <cfRule type="containsText" dxfId="740" priority="77319" operator="containsText" text="Done">
      <formula>NOT(ISERROR(SEARCH("Done",#REF!)))</formula>
    </cfRule>
  </conditionalFormatting>
  <conditionalFormatting sqref="AG89">
    <cfRule type="containsText" dxfId="739" priority="4250" operator="containsText" text="Done">
      <formula>NOT(ISERROR(SEARCH("Done",AG89)))</formula>
    </cfRule>
    <cfRule type="containsText" dxfId="738" priority="4251" operator="containsText" text="Done">
      <formula>NOT(ISERROR(SEARCH("Done",#REF!)))</formula>
    </cfRule>
    <cfRule type="containsText" dxfId="737" priority="4249" operator="containsText" text="NA">
      <formula>NOT(ISERROR(SEARCH("NA",AG89)))</formula>
    </cfRule>
    <cfRule type="containsText" dxfId="736" priority="4253" operator="containsText" text="NA">
      <formula>NOT(ISERROR(SEARCH("NA",#REF!)))</formula>
    </cfRule>
    <cfRule type="containsText" dxfId="735" priority="4252" operator="containsText" text="Pending">
      <formula>NOT(ISERROR(SEARCH("Pending",#REF!)))</formula>
    </cfRule>
  </conditionalFormatting>
  <conditionalFormatting sqref="AG57:AH57">
    <cfRule type="containsText" dxfId="734" priority="119834" operator="containsText" text="Done">
      <formula>NOT(ISERROR(SEARCH("Done",#REF!)))</formula>
    </cfRule>
    <cfRule type="containsText" dxfId="733" priority="119836" operator="containsText" text="NA">
      <formula>NOT(ISERROR(SEARCH("NA",#REF!)))</formula>
    </cfRule>
    <cfRule type="containsText" dxfId="732" priority="119835" operator="containsText" text="Pending">
      <formula>NOT(ISERROR(SEARCH("Pending",#REF!)))</formula>
    </cfRule>
  </conditionalFormatting>
  <conditionalFormatting sqref="AG68:AH68">
    <cfRule type="containsText" dxfId="731" priority="119745" operator="containsText" text="Pending">
      <formula>NOT(ISERROR(SEARCH("Pending",#REF!)))</formula>
    </cfRule>
    <cfRule type="containsText" dxfId="730" priority="119744" operator="containsText" text="Done">
      <formula>NOT(ISERROR(SEARCH("Done",#REF!)))</formula>
    </cfRule>
    <cfRule type="containsText" dxfId="729" priority="119617" operator="containsText" text="NA">
      <formula>NOT(ISERROR(SEARCH("NA",#REF!)))</formula>
    </cfRule>
  </conditionalFormatting>
  <conditionalFormatting sqref="AG69:AH69">
    <cfRule type="containsText" dxfId="728" priority="58136" operator="containsText" text="Done">
      <formula>NOT(ISERROR(SEARCH("Done",#REF!)))</formula>
    </cfRule>
    <cfRule type="containsText" dxfId="727" priority="58135" operator="containsText" text="NA">
      <formula>NOT(ISERROR(SEARCH("NA",#REF!)))</formula>
    </cfRule>
    <cfRule type="containsText" dxfId="726" priority="58137" operator="containsText" text="Pending">
      <formula>NOT(ISERROR(SEARCH("Pending",#REF!)))</formula>
    </cfRule>
  </conditionalFormatting>
  <conditionalFormatting sqref="AG70:AH70">
    <cfRule type="containsText" dxfId="725" priority="58111" operator="containsText" text="NA">
      <formula>NOT(ISERROR(SEARCH("NA",#REF!)))</formula>
    </cfRule>
    <cfRule type="containsText" dxfId="724" priority="58112" operator="containsText" text="Done">
      <formula>NOT(ISERROR(SEARCH("Done",#REF!)))</formula>
    </cfRule>
    <cfRule type="containsText" dxfId="723" priority="58113" operator="containsText" text="Pending">
      <formula>NOT(ISERROR(SEARCH("Pending",#REF!)))</formula>
    </cfRule>
  </conditionalFormatting>
  <conditionalFormatting sqref="AH38:AH39">
    <cfRule type="containsText" dxfId="722" priority="139002" operator="containsText" text="NA">
      <formula>NOT(ISERROR(SEARCH("NA",#REF!)))</formula>
    </cfRule>
    <cfRule type="containsText" dxfId="721" priority="137316" operator="containsText" text="Done">
      <formula>NOT(ISERROR(SEARCH("Done",#REF!)))</formula>
    </cfRule>
    <cfRule type="containsText" dxfId="720" priority="138159" operator="containsText" text="Pending">
      <formula>NOT(ISERROR(SEARCH("Pending",#REF!)))</formula>
    </cfRule>
  </conditionalFormatting>
  <conditionalFormatting sqref="AH46">
    <cfRule type="containsText" dxfId="719" priority="139980" operator="containsText" text="Pending">
      <formula>NOT(ISERROR(SEARCH("Pending",#REF!)))</formula>
    </cfRule>
    <cfRule type="containsText" dxfId="718" priority="139983" operator="containsText" text="NA">
      <formula>NOT(ISERROR(SEARCH("NA",#REF!)))</formula>
    </cfRule>
    <cfRule type="containsText" dxfId="717" priority="139977" operator="containsText" text="Done">
      <formula>NOT(ISERROR(SEARCH("Done",#REF!)))</formula>
    </cfRule>
  </conditionalFormatting>
  <conditionalFormatting sqref="AH79:AH81">
    <cfRule type="containsText" dxfId="716" priority="79" operator="containsText" text="Pending">
      <formula>NOT(ISERROR(SEARCH("Pending",#REF!)))</formula>
    </cfRule>
    <cfRule type="containsText" dxfId="715" priority="78" operator="containsText" text="Done">
      <formula>NOT(ISERROR(SEARCH("Done",#REF!)))</formula>
    </cfRule>
    <cfRule type="containsText" dxfId="714" priority="77" operator="containsText" text="Done">
      <formula>NOT(ISERROR(SEARCH("Done",AH79)))</formula>
    </cfRule>
    <cfRule type="containsText" dxfId="713" priority="76" operator="containsText" text="NA">
      <formula>NOT(ISERROR(SEARCH("NA",AH79)))</formula>
    </cfRule>
    <cfRule type="containsText" dxfId="712" priority="75" operator="containsText" text="NA">
      <formula>NOT(ISERROR(SEARCH("NA",#REF!)))</formula>
    </cfRule>
    <cfRule type="containsText" dxfId="711" priority="74" operator="containsText" text="Pending">
      <formula>NOT(ISERROR(SEARCH("Pending",#REF!)))</formula>
    </cfRule>
    <cfRule type="containsText" dxfId="710" priority="73" operator="containsText" text="Done">
      <formula>NOT(ISERROR(SEARCH("Done",#REF!)))</formula>
    </cfRule>
    <cfRule type="containsText" dxfId="709" priority="72" operator="containsText" text="Done">
      <formula>NOT(ISERROR(SEARCH("Done",AH79)))</formula>
    </cfRule>
    <cfRule type="containsText" dxfId="708" priority="71" operator="containsText" text="NA">
      <formula>NOT(ISERROR(SEARCH("NA",AH79)))</formula>
    </cfRule>
    <cfRule type="containsText" dxfId="707" priority="70" operator="containsText" text="NA">
      <formula>NOT(ISERROR(SEARCH("NA",#REF!)))</formula>
    </cfRule>
    <cfRule type="containsText" dxfId="706" priority="69" operator="containsText" text="Pending">
      <formula>NOT(ISERROR(SEARCH("Pending",#REF!)))</formula>
    </cfRule>
    <cfRule type="containsText" dxfId="705" priority="68" operator="containsText" text="Done">
      <formula>NOT(ISERROR(SEARCH("Done",#REF!)))</formula>
    </cfRule>
    <cfRule type="containsText" dxfId="704" priority="67" operator="containsText" text="Done">
      <formula>NOT(ISERROR(SEARCH("Done",AH79)))</formula>
    </cfRule>
    <cfRule type="containsText" dxfId="703" priority="66" operator="containsText" text="NA">
      <formula>NOT(ISERROR(SEARCH("NA",AH79)))</formula>
    </cfRule>
    <cfRule type="containsText" dxfId="702" priority="65" operator="containsText" text="NA">
      <formula>NOT(ISERROR(SEARCH("NA",#REF!)))</formula>
    </cfRule>
    <cfRule type="containsText" dxfId="701" priority="64" operator="containsText" text="Pending">
      <formula>NOT(ISERROR(SEARCH("Pending",#REF!)))</formula>
    </cfRule>
    <cfRule type="containsText" dxfId="700" priority="63" operator="containsText" text="Done">
      <formula>NOT(ISERROR(SEARCH("Done",#REF!)))</formula>
    </cfRule>
    <cfRule type="containsText" dxfId="699" priority="62" operator="containsText" text="Done">
      <formula>NOT(ISERROR(SEARCH("Done",AH79)))</formula>
    </cfRule>
    <cfRule type="containsText" dxfId="698" priority="61" operator="containsText" text="NA">
      <formula>NOT(ISERROR(SEARCH("NA",AH79)))</formula>
    </cfRule>
    <cfRule type="containsText" dxfId="697" priority="3553" operator="containsText" text="Done">
      <formula>NOT(ISERROR(SEARCH("Done",#REF!)))</formula>
    </cfRule>
    <cfRule type="containsText" dxfId="696" priority="3552" operator="containsText" text="NA">
      <formula>NOT(ISERROR(SEARCH("NA",#REF!)))</formula>
    </cfRule>
    <cfRule type="containsText" dxfId="695" priority="3551" operator="containsText" text="Pending">
      <formula>NOT(ISERROR(SEARCH("Pending",#REF!)))</formula>
    </cfRule>
    <cfRule type="containsText" dxfId="694" priority="3550" operator="containsText" text="NA">
      <formula>NOT(ISERROR(SEARCH("NA",#REF!)))</formula>
    </cfRule>
    <cfRule type="containsText" dxfId="693" priority="3549" operator="containsText" text="Pending">
      <formula>NOT(ISERROR(SEARCH("Pending",#REF!)))</formula>
    </cfRule>
    <cfRule type="containsText" dxfId="692" priority="3548" operator="containsText" text="Done">
      <formula>NOT(ISERROR(SEARCH("Done",#REF!)))</formula>
    </cfRule>
    <cfRule type="containsText" dxfId="691" priority="3547" operator="containsText" text="Done">
      <formula>NOT(ISERROR(SEARCH("Done",AH79)))</formula>
    </cfRule>
    <cfRule type="containsText" dxfId="690" priority="3546" operator="containsText" text="NA">
      <formula>NOT(ISERROR(SEARCH("NA",AH79)))</formula>
    </cfRule>
    <cfRule type="containsText" dxfId="689" priority="108" operator="containsText" text="Done">
      <formula>NOT(ISERROR(SEARCH("Done",#REF!)))</formula>
    </cfRule>
    <cfRule type="containsText" dxfId="688" priority="107" operator="containsText" text="NA">
      <formula>NOT(ISERROR(SEARCH("NA",#REF!)))</formula>
    </cfRule>
    <cfRule type="containsText" dxfId="687" priority="106" operator="containsText" text="Pending">
      <formula>NOT(ISERROR(SEARCH("Pending",#REF!)))</formula>
    </cfRule>
    <cfRule type="containsText" dxfId="686" priority="105" operator="containsText" text="NA">
      <formula>NOT(ISERROR(SEARCH("NA",#REF!)))</formula>
    </cfRule>
    <cfRule type="containsText" dxfId="685" priority="104" operator="containsText" text="NA">
      <formula>NOT(ISERROR(SEARCH("NA",#REF!)))</formula>
    </cfRule>
    <cfRule type="containsText" dxfId="684" priority="103" operator="containsText" text="Pending">
      <formula>NOT(ISERROR(SEARCH("Pending",#REF!)))</formula>
    </cfRule>
    <cfRule type="containsText" dxfId="683" priority="102" operator="containsText" text="Pending">
      <formula>NOT(ISERROR(SEARCH("Pending",#REF!)))</formula>
    </cfRule>
    <cfRule type="containsText" dxfId="682" priority="101" operator="containsText" text="Done">
      <formula>NOT(ISERROR(SEARCH("Done",#REF!)))</formula>
    </cfRule>
    <cfRule type="containsText" dxfId="681" priority="100" operator="containsText" text="NA">
      <formula>NOT(ISERROR(SEARCH("NA",#REF!)))</formula>
    </cfRule>
    <cfRule type="containsText" dxfId="680" priority="99" operator="containsText" text="NA">
      <formula>NOT(ISERROR(SEARCH("NA",#REF!)))</formula>
    </cfRule>
    <cfRule type="containsText" dxfId="679" priority="98" operator="containsText" text="Pending">
      <formula>NOT(ISERROR(SEARCH("Pending",#REF!)))</formula>
    </cfRule>
    <cfRule type="containsText" dxfId="678" priority="97" operator="containsText" text="Pending">
      <formula>NOT(ISERROR(SEARCH("Pending",#REF!)))</formula>
    </cfRule>
    <cfRule type="containsText" dxfId="677" priority="96" operator="containsText" text="Done">
      <formula>NOT(ISERROR(SEARCH("Done",#REF!)))</formula>
    </cfRule>
    <cfRule type="containsText" dxfId="676" priority="95" operator="containsText" text="NA">
      <formula>NOT(ISERROR(SEARCH("NA",#REF!)))</formula>
    </cfRule>
    <cfRule type="containsText" dxfId="675" priority="94" operator="containsText" text="NA">
      <formula>NOT(ISERROR(SEARCH("NA",#REF!)))</formula>
    </cfRule>
    <cfRule type="containsText" dxfId="674" priority="93" operator="containsText" text="NA">
      <formula>NOT(ISERROR(SEARCH("NA",#REF!)))</formula>
    </cfRule>
    <cfRule type="containsText" dxfId="673" priority="92" operator="containsText" text="Pending">
      <formula>NOT(ISERROR(SEARCH("Pending",#REF!)))</formula>
    </cfRule>
    <cfRule type="containsText" dxfId="672" priority="91" operator="containsText" text="Pending">
      <formula>NOT(ISERROR(SEARCH("Pending",#REF!)))</formula>
    </cfRule>
    <cfRule type="containsText" dxfId="671" priority="90" operator="containsText" text="Pending">
      <formula>NOT(ISERROR(SEARCH("Pending",#REF!)))</formula>
    </cfRule>
    <cfRule type="containsText" dxfId="670" priority="89" operator="containsText" text="Done">
      <formula>NOT(ISERROR(SEARCH("Done",#REF!)))</formula>
    </cfRule>
    <cfRule type="containsText" dxfId="669" priority="88" operator="containsText" text="Done">
      <formula>NOT(ISERROR(SEARCH("Done",#REF!)))</formula>
    </cfRule>
    <cfRule type="containsText" dxfId="668" priority="87" operator="containsText" text="NA">
      <formula>NOT(ISERROR(SEARCH("NA",#REF!)))</formula>
    </cfRule>
    <cfRule type="containsText" dxfId="667" priority="86" operator="containsText" text="Pending">
      <formula>NOT(ISERROR(SEARCH("Pending",#REF!)))</formula>
    </cfRule>
    <cfRule type="containsText" dxfId="666" priority="85" operator="containsText" text="NA">
      <formula>NOT(ISERROR(SEARCH("NA",#REF!)))</formula>
    </cfRule>
    <cfRule type="containsText" dxfId="665" priority="84" operator="containsText" text="Pending">
      <formula>NOT(ISERROR(SEARCH("Pending",#REF!)))</formula>
    </cfRule>
    <cfRule type="containsText" dxfId="664" priority="83" operator="containsText" text="Done">
      <formula>NOT(ISERROR(SEARCH("Done",#REF!)))</formula>
    </cfRule>
    <cfRule type="containsText" dxfId="663" priority="82" operator="containsText" text="Done">
      <formula>NOT(ISERROR(SEARCH("Done",AH79)))</formula>
    </cfRule>
    <cfRule type="containsText" dxfId="662" priority="81" operator="containsText" text="NA">
      <formula>NOT(ISERROR(SEARCH("NA",AH79)))</formula>
    </cfRule>
    <cfRule type="containsText" dxfId="661" priority="80" operator="containsText" text="NA">
      <formula>NOT(ISERROR(SEARCH("NA",#REF!)))</formula>
    </cfRule>
  </conditionalFormatting>
  <conditionalFormatting sqref="AH82:AH83">
    <cfRule type="containsText" dxfId="660" priority="3543" operator="containsText" text="Pending">
      <formula>NOT(ISERROR(SEARCH("Pending",#REF!)))</formula>
    </cfRule>
    <cfRule type="containsText" dxfId="659" priority="3541" operator="containsText" text="Pending">
      <formula>NOT(ISERROR(SEARCH("Pending",#REF!)))</formula>
    </cfRule>
    <cfRule type="containsText" dxfId="658" priority="3542" operator="containsText" text="NA">
      <formula>NOT(ISERROR(SEARCH("NA",#REF!)))</formula>
    </cfRule>
    <cfRule type="containsText" dxfId="657" priority="3544" operator="containsText" text="NA">
      <formula>NOT(ISERROR(SEARCH("NA",#REF!)))</formula>
    </cfRule>
    <cfRule type="containsText" dxfId="656" priority="3545" operator="containsText" text="Done">
      <formula>NOT(ISERROR(SEARCH("Done",#REF!)))</formula>
    </cfRule>
    <cfRule type="containsText" dxfId="655" priority="3540" operator="containsText" text="Done">
      <formula>NOT(ISERROR(SEARCH("Done",#REF!)))</formula>
    </cfRule>
    <cfRule type="containsText" dxfId="654" priority="3539" operator="containsText" text="Done">
      <formula>NOT(ISERROR(SEARCH("Done",AH82)))</formula>
    </cfRule>
    <cfRule type="containsText" dxfId="653" priority="3538" operator="containsText" text="NA">
      <formula>NOT(ISERROR(SEARCH("NA",AH82)))</formula>
    </cfRule>
  </conditionalFormatting>
  <conditionalFormatting sqref="AH88:AH89">
    <cfRule type="containsText" dxfId="652" priority="77316" operator="containsText" text="NA">
      <formula>NOT(ISERROR(SEARCH("NA",#REF!)))</formula>
    </cfRule>
    <cfRule type="containsText" dxfId="651" priority="77315" operator="containsText" text="Pending">
      <formula>NOT(ISERROR(SEARCH("Pending",#REF!)))</formula>
    </cfRule>
    <cfRule type="containsText" dxfId="650" priority="77314" operator="containsText" text="Done">
      <formula>NOT(ISERROR(SEARCH("Done",#REF!)))</formula>
    </cfRule>
    <cfRule type="containsText" dxfId="649" priority="77313" operator="containsText" text="Done">
      <formula>NOT(ISERROR(SEARCH("Done",AH88)))</formula>
    </cfRule>
    <cfRule type="containsText" dxfId="648" priority="77312" operator="containsText" text="NA">
      <formula>NOT(ISERROR(SEARCH("NA",AH88)))</formula>
    </cfRule>
  </conditionalFormatting>
  <conditionalFormatting sqref="AH89">
    <cfRule type="containsText" dxfId="647" priority="4258" operator="containsText" text="NA">
      <formula>NOT(ISERROR(SEARCH("NA",#REF!)))</formula>
    </cfRule>
    <cfRule type="containsText" dxfId="646" priority="4254" operator="containsText" text="NA">
      <formula>NOT(ISERROR(SEARCH("NA",AH89)))</formula>
    </cfRule>
    <cfRule type="containsText" dxfId="645" priority="4257" operator="containsText" text="Pending">
      <formula>NOT(ISERROR(SEARCH("Pending",#REF!)))</formula>
    </cfRule>
    <cfRule type="containsText" dxfId="644" priority="4256" operator="containsText" text="Done">
      <formula>NOT(ISERROR(SEARCH("Done",#REF!)))</formula>
    </cfRule>
    <cfRule type="containsText" dxfId="643" priority="4255" operator="containsText" text="Done">
      <formula>NOT(ISERROR(SEARCH("Done",AH89)))</formula>
    </cfRule>
  </conditionalFormatting>
  <conditionalFormatting sqref="AH40:AI40">
    <cfRule type="containsText" dxfId="642" priority="138936" operator="containsText" text="NA">
      <formula>NOT(ISERROR(SEARCH("NA",#REF!)))</formula>
    </cfRule>
    <cfRule type="containsText" dxfId="641" priority="138093" operator="containsText" text="Pending">
      <formula>NOT(ISERROR(SEARCH("Pending",#REF!)))</formula>
    </cfRule>
    <cfRule type="containsText" dxfId="640" priority="137250" operator="containsText" text="Done">
      <formula>NOT(ISERROR(SEARCH("Done",#REF!)))</formula>
    </cfRule>
  </conditionalFormatting>
  <conditionalFormatting sqref="AI7 AI35 AI37:AI39 AI41:AI42 AI17:AI26">
    <cfRule type="containsText" dxfId="639" priority="129296" operator="containsText" text="Done">
      <formula>NOT(ISERROR(SEARCH("Done",AF7)))</formula>
    </cfRule>
    <cfRule type="containsText" dxfId="638" priority="129295" operator="containsText" text="Pending">
      <formula>NOT(ISERROR(SEARCH("Pending",AF7)))</formula>
    </cfRule>
  </conditionalFormatting>
  <conditionalFormatting sqref="AI7 AI91:AI92 AI35 AI99:AI65559 AI37:AI39 AI41:AI42 AI17:AI26 AI46">
    <cfRule type="containsText" dxfId="637" priority="129288" operator="containsText" text="NA">
      <formula>NOT(ISERROR(SEARCH("NA",AF7)))</formula>
    </cfRule>
  </conditionalFormatting>
  <conditionalFormatting sqref="AI7">
    <cfRule type="containsText" dxfId="636" priority="133159" operator="containsText" text="Done">
      <formula>NOT(ISERROR(SEARCH("Done",AF7)))</formula>
    </cfRule>
    <cfRule type="containsText" dxfId="635" priority="133189" operator="containsText" text="Pending">
      <formula>NOT(ISERROR(SEARCH("Pending",AF7)))</formula>
    </cfRule>
    <cfRule type="containsText" dxfId="634" priority="133219" operator="containsText" text="NA">
      <formula>NOT(ISERROR(SEARCH("NA",AF7)))</formula>
    </cfRule>
  </conditionalFormatting>
  <conditionalFormatting sqref="AI8">
    <cfRule type="containsText" dxfId="633" priority="133221" operator="containsText" text="NA">
      <formula>NOT(ISERROR(SEARCH("NA",AF7)))</formula>
    </cfRule>
    <cfRule type="containsText" dxfId="632" priority="133191" operator="containsText" text="Pending">
      <formula>NOT(ISERROR(SEARCH("Pending",AF7)))</formula>
    </cfRule>
    <cfRule type="containsText" dxfId="631" priority="133161" operator="containsText" text="Done">
      <formula>NOT(ISERROR(SEARCH("Done",AF7)))</formula>
    </cfRule>
  </conditionalFormatting>
  <conditionalFormatting sqref="AI9:AI15">
    <cfRule type="containsText" dxfId="630" priority="148085" operator="containsText" text="Pending">
      <formula>NOT(ISERROR(SEARCH("Pending",AF7)))</formula>
    </cfRule>
    <cfRule type="containsText" dxfId="629" priority="148084" operator="containsText" text="Done">
      <formula>NOT(ISERROR(SEARCH("Done",AF7)))</formula>
    </cfRule>
    <cfRule type="containsText" dxfId="628" priority="148086" operator="containsText" text="NA">
      <formula>NOT(ISERROR(SEARCH("NA",AF7)))</formula>
    </cfRule>
  </conditionalFormatting>
  <conditionalFormatting sqref="AI16">
    <cfRule type="containsText" dxfId="627" priority="148803" operator="containsText" text="Done">
      <formula>NOT(ISERROR(SEARCH("Done",AF10)))</formula>
    </cfRule>
    <cfRule type="containsText" dxfId="626" priority="123895" operator="containsText" text="NA">
      <formula>NOT(ISERROR(SEARCH("NA",#REF!)))</formula>
    </cfRule>
    <cfRule type="containsText" dxfId="625" priority="123893" operator="containsText" text="Done">
      <formula>NOT(ISERROR(SEARCH("Done",#REF!)))</formula>
    </cfRule>
    <cfRule type="containsText" dxfId="624" priority="123894" operator="containsText" text="Pending">
      <formula>NOT(ISERROR(SEARCH("Pending",#REF!)))</formula>
    </cfRule>
    <cfRule type="containsText" dxfId="623" priority="148807" operator="containsText" text="NA">
      <formula>NOT(ISERROR(SEARCH("NA",AF10)))</formula>
    </cfRule>
    <cfRule type="containsText" dxfId="622" priority="148805" operator="containsText" text="Pending">
      <formula>NOT(ISERROR(SEARCH("Pending",AF10)))</formula>
    </cfRule>
  </conditionalFormatting>
  <conditionalFormatting sqref="AI29:AI32">
    <cfRule type="containsText" dxfId="621" priority="118942" operator="containsText" text="Pending">
      <formula>NOT(ISERROR(SEARCH("Pending",AI29)))</formula>
    </cfRule>
    <cfRule type="containsText" dxfId="620" priority="118946" operator="containsText" text="Pending">
      <formula>NOT(ISERROR(SEARCH("Pending",#REF!)))</formula>
    </cfRule>
    <cfRule type="containsText" dxfId="619" priority="118947" operator="containsText" text="NA">
      <formula>NOT(ISERROR(SEARCH("NA",#REF!)))</formula>
    </cfRule>
    <cfRule type="containsText" dxfId="618" priority="135958" operator="containsText" text="Pending">
      <formula>NOT(ISERROR(SEARCH("Pending",#REF!)))</formula>
    </cfRule>
    <cfRule type="containsText" dxfId="617" priority="136176" operator="containsText" text="NA">
      <formula>NOT(ISERROR(SEARCH("NA",#REF!)))</formula>
    </cfRule>
    <cfRule type="containsText" dxfId="616" priority="118941" operator="containsText" text="NA">
      <formula>NOT(ISERROR(SEARCH("NA",AI29)))</formula>
    </cfRule>
    <cfRule type="containsText" dxfId="615" priority="118943" operator="containsText" text="Done">
      <formula>NOT(ISERROR(SEARCH("Done",AI29)))</formula>
    </cfRule>
    <cfRule type="containsText" dxfId="614" priority="135606" operator="containsText" text="Done">
      <formula>NOT(ISERROR(SEARCH("Done",#REF!)))</formula>
    </cfRule>
    <cfRule type="containsText" dxfId="613" priority="118945" operator="containsText" text="Done">
      <formula>NOT(ISERROR(SEARCH("Done",#REF!)))</formula>
    </cfRule>
    <cfRule type="containsText" dxfId="612" priority="118944" operator="containsText" text="NA">
      <formula>NOT(ISERROR(SEARCH("NA",#REF!)))</formula>
    </cfRule>
    <cfRule type="containsText" dxfId="611" priority="123394" operator="containsText" text="NA">
      <formula>NOT(ISERROR(SEARCH("NA",#REF!)))</formula>
    </cfRule>
    <cfRule type="containsText" dxfId="610" priority="123393" operator="containsText" text="Pending">
      <formula>NOT(ISERROR(SEARCH("Pending",#REF!)))</formula>
    </cfRule>
    <cfRule type="containsText" dxfId="609" priority="123392" operator="containsText" text="Done">
      <formula>NOT(ISERROR(SEARCH("Done",#REF!)))</formula>
    </cfRule>
    <cfRule type="containsText" dxfId="608" priority="123391" operator="containsText" text="NA">
      <formula>NOT(ISERROR(SEARCH("NA",#REF!)))</formula>
    </cfRule>
    <cfRule type="containsText" dxfId="607" priority="133608" operator="containsText" text="NA">
      <formula>NOT(ISERROR(SEARCH("NA",#REF!)))</formula>
    </cfRule>
    <cfRule type="containsText" dxfId="606" priority="123390" operator="containsText" text="Done">
      <formula>NOT(ISERROR(SEARCH("Done",AI29)))</formula>
    </cfRule>
    <cfRule type="containsText" dxfId="605" priority="123389" operator="containsText" text="NA">
      <formula>NOT(ISERROR(SEARCH("NA",AI29)))</formula>
    </cfRule>
  </conditionalFormatting>
  <conditionalFormatting sqref="AI30:AI32">
    <cfRule type="containsText" dxfId="604" priority="136042" operator="containsText" text="NA">
      <formula>NOT(ISERROR(SEARCH("NA",#REF!)))</formula>
    </cfRule>
    <cfRule type="containsText" dxfId="603" priority="135824" operator="containsText" text="Pending">
      <formula>NOT(ISERROR(SEARCH("Pending",#REF!)))</formula>
    </cfRule>
  </conditionalFormatting>
  <conditionalFormatting sqref="AI39">
    <cfRule type="containsText" dxfId="602" priority="133247" operator="containsText" text="NA">
      <formula>NOT(ISERROR(SEARCH("NA",AF7)))</formula>
    </cfRule>
    <cfRule type="containsText" dxfId="601" priority="133217" operator="containsText" text="Pending">
      <formula>NOT(ISERROR(SEARCH("Pending",AF7)))</formula>
    </cfRule>
    <cfRule type="containsText" dxfId="600" priority="133187" operator="containsText" text="Done">
      <formula>NOT(ISERROR(SEARCH("Done",AF7)))</formula>
    </cfRule>
  </conditionalFormatting>
  <conditionalFormatting sqref="AI41:AI42">
    <cfRule type="containsText" dxfId="599" priority="119799" operator="containsText" text="Pending">
      <formula>NOT(ISERROR(SEARCH("Pending",AF8)))</formula>
    </cfRule>
    <cfRule type="containsText" dxfId="598" priority="119798" operator="containsText" text="Done">
      <formula>NOT(ISERROR(SEARCH("Done",AF8)))</formula>
    </cfRule>
    <cfRule type="containsText" dxfId="597" priority="119800" operator="containsText" text="NA">
      <formula>NOT(ISERROR(SEARCH("NA",AF8)))</formula>
    </cfRule>
  </conditionalFormatting>
  <conditionalFormatting sqref="AI46">
    <cfRule type="containsText" dxfId="596" priority="129289" operator="containsText" text="No">
      <formula>NOT(ISERROR(SEARCH("No",#REF!)))</formula>
    </cfRule>
    <cfRule type="containsText" dxfId="595" priority="129290" operator="containsText" text="Yes">
      <formula>NOT(ISERROR(SEARCH("Yes",#REF!)))</formula>
    </cfRule>
  </conditionalFormatting>
  <conditionalFormatting sqref="AI47:AI51 AI53:AI54">
    <cfRule type="containsText" dxfId="594" priority="128972" operator="containsText" text="Done">
      <formula>NOT(ISERROR(SEARCH("Done",#REF!)))</formula>
    </cfRule>
    <cfRule type="containsText" dxfId="593" priority="128970" operator="containsText" text="NA">
      <formula>NOT(ISERROR(SEARCH("NA",#REF!)))</formula>
    </cfRule>
    <cfRule type="containsText" dxfId="592" priority="128971" operator="containsText" text="Pending">
      <formula>NOT(ISERROR(SEARCH("Pending",#REF!)))</formula>
    </cfRule>
  </conditionalFormatting>
  <conditionalFormatting sqref="AI49">
    <cfRule type="containsText" dxfId="591" priority="123896" operator="containsText" text="NA">
      <formula>NOT(ISERROR(SEARCH("NA",#REF!)))</formula>
    </cfRule>
    <cfRule type="containsText" dxfId="590" priority="123897" operator="containsText" text="Pending">
      <formula>NOT(ISERROR(SEARCH("Pending",#REF!)))</formula>
    </cfRule>
    <cfRule type="containsText" dxfId="589" priority="123898" operator="containsText" text="Done">
      <formula>NOT(ISERROR(SEARCH("Done",#REF!)))</formula>
    </cfRule>
  </conditionalFormatting>
  <conditionalFormatting sqref="AI50">
    <cfRule type="containsText" dxfId="588" priority="123901" operator="containsText" text="Done">
      <formula>NOT(ISERROR(SEARCH("Done",AF30)))</formula>
    </cfRule>
    <cfRule type="containsText" dxfId="587" priority="123903" operator="containsText" text="NA">
      <formula>NOT(ISERROR(SEARCH("NA",AF30)))</formula>
    </cfRule>
    <cfRule type="containsText" dxfId="586" priority="123902" operator="containsText" text="Pending">
      <formula>NOT(ISERROR(SEARCH("Pending",AF30)))</formula>
    </cfRule>
  </conditionalFormatting>
  <conditionalFormatting sqref="AI52 N35">
    <cfRule type="containsText" dxfId="585" priority="141445" operator="containsText" text="NA">
      <formula>NOT(ISERROR(SEARCH("NA",#REF!)))</formula>
    </cfRule>
    <cfRule type="containsText" dxfId="584" priority="141405" operator="containsText" text="Done">
      <formula>NOT(ISERROR(SEARCH("Done",#REF!)))</formula>
    </cfRule>
  </conditionalFormatting>
  <conditionalFormatting sqref="AI52">
    <cfRule type="containsText" dxfId="583" priority="158556" operator="containsText" text="Done">
      <formula>NOT(ISERROR(SEARCH("Done",#REF!)))</formula>
    </cfRule>
    <cfRule type="containsText" dxfId="582" priority="158555" operator="containsText" text="Pending">
      <formula>NOT(ISERROR(SEARCH("Pending",#REF!)))</formula>
    </cfRule>
    <cfRule type="containsText" dxfId="581" priority="158554" operator="containsText" text="NA">
      <formula>NOT(ISERROR(SEARCH("NA",#REF!)))</formula>
    </cfRule>
  </conditionalFormatting>
  <conditionalFormatting sqref="AI55">
    <cfRule type="containsText" dxfId="580" priority="120077" operator="containsText" text="Done">
      <formula>NOT(ISERROR(SEARCH("Done",#REF!)))</formula>
    </cfRule>
    <cfRule type="containsText" dxfId="579" priority="120076" operator="containsText" text="Pending">
      <formula>NOT(ISERROR(SEARCH("Pending",#REF!)))</formula>
    </cfRule>
    <cfRule type="containsText" dxfId="578" priority="120075" operator="containsText" text="NA">
      <formula>NOT(ISERROR(SEARCH("NA",#REF!)))</formula>
    </cfRule>
  </conditionalFormatting>
  <conditionalFormatting sqref="AI56 P56:AG56 W57:Y63 AC57:AD63">
    <cfRule type="containsText" dxfId="577" priority="119880" operator="containsText" text="NA">
      <formula>NOT(ISERROR(SEARCH("NA",#REF!)))</formula>
    </cfRule>
  </conditionalFormatting>
  <conditionalFormatting sqref="AI57">
    <cfRule type="containsText" dxfId="576" priority="119868" operator="containsText" text="Done">
      <formula>NOT(ISERROR(SEARCH("Done",AF57)))</formula>
    </cfRule>
    <cfRule type="containsText" dxfId="575" priority="119867" operator="containsText" text="Pending">
      <formula>NOT(ISERROR(SEARCH("Pending",AF57)))</formula>
    </cfRule>
    <cfRule type="containsText" dxfId="574" priority="119866" operator="containsText" text="NA">
      <formula>NOT(ISERROR(SEARCH("NA",AF57)))</formula>
    </cfRule>
  </conditionalFormatting>
  <conditionalFormatting sqref="AI58 N17 N29">
    <cfRule type="containsText" dxfId="573" priority="148785" operator="containsText" text="Done">
      <formula>NOT(ISERROR(SEARCH("Done",#REF!)))</formula>
    </cfRule>
  </conditionalFormatting>
  <conditionalFormatting sqref="AI58">
    <cfRule type="containsText" dxfId="572" priority="119783" operator="containsText" text="NA">
      <formula>NOT(ISERROR(SEARCH("NA",AF58)))</formula>
    </cfRule>
    <cfRule type="containsText" dxfId="571" priority="119784" operator="containsText" text="Pending">
      <formula>NOT(ISERROR(SEARCH("Pending",AF58)))</formula>
    </cfRule>
    <cfRule type="containsText" dxfId="570" priority="119785" operator="containsText" text="Done">
      <formula>NOT(ISERROR(SEARCH("Done",AF58)))</formula>
    </cfRule>
  </conditionalFormatting>
  <conditionalFormatting sqref="AI59">
    <cfRule type="containsText" dxfId="569" priority="119009" operator="containsText" text="Done">
      <formula>NOT(ISERROR(SEARCH("Done",AF59)))</formula>
    </cfRule>
    <cfRule type="containsText" dxfId="568" priority="119008" operator="containsText" text="Pending">
      <formula>NOT(ISERROR(SEARCH("Pending",AF59)))</formula>
    </cfRule>
    <cfRule type="containsText" dxfId="567" priority="119007" operator="containsText" text="NA">
      <formula>NOT(ISERROR(SEARCH("NA",AF59)))</formula>
    </cfRule>
  </conditionalFormatting>
  <conditionalFormatting sqref="AI60:AI63 P60:AG63">
    <cfRule type="containsText" dxfId="566" priority="58180" operator="containsText" text="Pending">
      <formula>NOT(ISERROR(SEARCH("Pending",#REF!)))</formula>
    </cfRule>
    <cfRule type="containsText" dxfId="565" priority="58181" operator="containsText" text="NA">
      <formula>NOT(ISERROR(SEARCH("NA",#REF!)))</formula>
    </cfRule>
    <cfRule type="containsText" dxfId="564" priority="58178" operator="containsText" text="NA">
      <formula>NOT(ISERROR(SEARCH("NA",#REF!)))</formula>
    </cfRule>
  </conditionalFormatting>
  <conditionalFormatting sqref="AI64">
    <cfRule type="containsText" dxfId="563" priority="148478" operator="containsText" text="NA">
      <formula>NOT(ISERROR(SEARCH("NA",#REF!)))</formula>
    </cfRule>
    <cfRule type="containsText" dxfId="562" priority="148476" operator="containsText" text="Pending">
      <formula>NOT(ISERROR(SEARCH("Pending",#REF!)))</formula>
    </cfRule>
    <cfRule type="containsText" dxfId="561" priority="148474" operator="containsText" text="Done">
      <formula>NOT(ISERROR(SEARCH("Done",#REF!)))</formula>
    </cfRule>
  </conditionalFormatting>
  <conditionalFormatting sqref="AI65">
    <cfRule type="containsText" dxfId="560" priority="119612" operator="containsText" text="Pending">
      <formula>NOT(ISERROR(SEARCH("Pending",AF65)))</formula>
    </cfRule>
    <cfRule type="containsText" dxfId="559" priority="119611" operator="containsText" text="NA">
      <formula>NOT(ISERROR(SEARCH("NA",AF65)))</formula>
    </cfRule>
    <cfRule type="containsText" dxfId="558" priority="119613" operator="containsText" text="Done">
      <formula>NOT(ISERROR(SEARCH("Done",AF65)))</formula>
    </cfRule>
  </conditionalFormatting>
  <conditionalFormatting sqref="AI71:AI73">
    <cfRule type="containsText" dxfId="557" priority="5328" operator="containsText" text="Pending">
      <formula>NOT(ISERROR(SEARCH("Pending",#REF!)))</formula>
    </cfRule>
    <cfRule type="containsText" dxfId="556" priority="5327" operator="containsText" text="NA">
      <formula>NOT(ISERROR(SEARCH("NA",#REF!)))</formula>
    </cfRule>
  </conditionalFormatting>
  <conditionalFormatting sqref="AI74">
    <cfRule type="containsText" dxfId="555" priority="148690" operator="containsText" text="Done">
      <formula>NOT(ISERROR(SEARCH("Done",AF49)))</formula>
    </cfRule>
    <cfRule type="containsText" dxfId="554" priority="148694" operator="containsText" text="NA">
      <formula>NOT(ISERROR(SEARCH("NA",AF49)))</formula>
    </cfRule>
    <cfRule type="containsText" dxfId="553" priority="148692" operator="containsText" text="Pending">
      <formula>NOT(ISERROR(SEARCH("Pending",AF49)))</formula>
    </cfRule>
  </conditionalFormatting>
  <conditionalFormatting sqref="AI75">
    <cfRule type="containsText" dxfId="552" priority="119249" operator="containsText" text="NA">
      <formula>NOT(ISERROR(SEARCH("NA",AF75)))</formula>
    </cfRule>
    <cfRule type="containsText" dxfId="551" priority="119250" operator="containsText" text="Pending">
      <formula>NOT(ISERROR(SEARCH("Pending",AF75)))</formula>
    </cfRule>
    <cfRule type="containsText" dxfId="550" priority="119251" operator="containsText" text="Done">
      <formula>NOT(ISERROR(SEARCH("Done",AF75)))</formula>
    </cfRule>
  </conditionalFormatting>
  <conditionalFormatting sqref="AI79:AI81">
    <cfRule type="containsText" dxfId="549" priority="3554" operator="containsText" text="NA">
      <formula>NOT(ISERROR(SEARCH("NA",AI79)))</formula>
    </cfRule>
    <cfRule type="containsText" dxfId="548" priority="3555" operator="containsText" text="Done">
      <formula>NOT(ISERROR(SEARCH("Done",AI79)))</formula>
    </cfRule>
    <cfRule type="containsText" dxfId="547" priority="3556" operator="containsText" text="Done">
      <formula>NOT(ISERROR(SEARCH("Done",#REF!)))</formula>
    </cfRule>
    <cfRule type="containsText" dxfId="546" priority="3558" operator="containsText" text="NA">
      <formula>NOT(ISERROR(SEARCH("NA",#REF!)))</formula>
    </cfRule>
    <cfRule type="containsText" dxfId="545" priority="3557" operator="containsText" text="Pending">
      <formula>NOT(ISERROR(SEARCH("Pending",#REF!)))</formula>
    </cfRule>
  </conditionalFormatting>
  <conditionalFormatting sqref="AI83">
    <cfRule type="containsText" dxfId="544" priority="3537" operator="containsText" text="NA">
      <formula>NOT(ISERROR(SEARCH("NA",#REF!)))</formula>
    </cfRule>
    <cfRule type="containsText" dxfId="543" priority="3534" operator="containsText" text="Done">
      <formula>NOT(ISERROR(SEARCH("Done",AI83)))</formula>
    </cfRule>
    <cfRule type="containsText" dxfId="542" priority="3535" operator="containsText" text="Done">
      <formula>NOT(ISERROR(SEARCH("Done",#REF!)))</formula>
    </cfRule>
    <cfRule type="containsText" dxfId="541" priority="3533" operator="containsText" text="NA">
      <formula>NOT(ISERROR(SEARCH("NA",AI83)))</formula>
    </cfRule>
    <cfRule type="containsText" dxfId="540" priority="3536" operator="containsText" text="Pending">
      <formula>NOT(ISERROR(SEARCH("Pending",#REF!)))</formula>
    </cfRule>
  </conditionalFormatting>
  <conditionalFormatting sqref="AI84">
    <cfRule type="containsText" dxfId="539" priority="158629" operator="containsText" text="NA">
      <formula>NOT(ISERROR(SEARCH("NA",#REF!)))</formula>
    </cfRule>
    <cfRule type="containsText" dxfId="538" priority="158628" operator="containsText" text="Pending">
      <formula>NOT(ISERROR(SEARCH("Pending",#REF!)))</formula>
    </cfRule>
    <cfRule type="containsText" dxfId="537" priority="158627" operator="containsText" text="Done">
      <formula>NOT(ISERROR(SEARCH("Done",#REF!)))</formula>
    </cfRule>
  </conditionalFormatting>
  <conditionalFormatting sqref="AI85">
    <cfRule type="containsText" dxfId="536" priority="77407" operator="containsText" text="Pending">
      <formula>NOT(ISERROR(SEARCH("Pending",AF85)))</formula>
    </cfRule>
    <cfRule type="containsText" dxfId="535" priority="77408" operator="containsText" text="Done">
      <formula>NOT(ISERROR(SEARCH("Done",AF85)))</formula>
    </cfRule>
    <cfRule type="containsText" dxfId="534" priority="77406" operator="containsText" text="NA">
      <formula>NOT(ISERROR(SEARCH("NA",AF85)))</formula>
    </cfRule>
  </conditionalFormatting>
  <conditionalFormatting sqref="AI88:AI89">
    <cfRule type="containsText" dxfId="533" priority="77311" operator="containsText" text="NA">
      <formula>NOT(ISERROR(SEARCH("NA",#REF!)))</formula>
    </cfRule>
    <cfRule type="containsText" dxfId="532" priority="77308" operator="containsText" text="Done">
      <formula>NOT(ISERROR(SEARCH("Done",AI88)))</formula>
    </cfRule>
    <cfRule type="containsText" dxfId="531" priority="77310" operator="containsText" text="Pending">
      <formula>NOT(ISERROR(SEARCH("Pending",#REF!)))</formula>
    </cfRule>
    <cfRule type="containsText" dxfId="530" priority="77309" operator="containsText" text="Done">
      <formula>NOT(ISERROR(SEARCH("Done",#REF!)))</formula>
    </cfRule>
    <cfRule type="containsText" dxfId="529" priority="77307" operator="containsText" text="NA">
      <formula>NOT(ISERROR(SEARCH("NA",AI88)))</formula>
    </cfRule>
  </conditionalFormatting>
  <conditionalFormatting sqref="AI89">
    <cfRule type="containsText" dxfId="528" priority="1236" operator="containsText" text="Done">
      <formula>NOT(ISERROR(SEARCH("Done",#REF!)))</formula>
    </cfRule>
    <cfRule type="containsText" dxfId="527" priority="1232" operator="containsText" text="Done">
      <formula>NOT(ISERROR(SEARCH("Done",AI89)))</formula>
    </cfRule>
    <cfRule type="containsText" dxfId="526" priority="1234" operator="containsText" text="Pending">
      <formula>NOT(ISERROR(SEARCH("Pending",#REF!)))</formula>
    </cfRule>
    <cfRule type="containsText" dxfId="525" priority="1228" operator="containsText" text="Done">
      <formula>NOT(ISERROR(SEARCH("Done",#REF!)))</formula>
    </cfRule>
    <cfRule type="containsText" dxfId="524" priority="1235" operator="containsText" text="NA">
      <formula>NOT(ISERROR(SEARCH("NA",#REF!)))</formula>
    </cfRule>
    <cfRule type="containsText" dxfId="523" priority="1231" operator="containsText" text="NA">
      <formula>NOT(ISERROR(SEARCH("NA",AI89)))</formula>
    </cfRule>
    <cfRule type="containsText" dxfId="522" priority="1230" operator="containsText" text="NA">
      <formula>NOT(ISERROR(SEARCH("NA",#REF!)))</formula>
    </cfRule>
    <cfRule type="containsText" dxfId="521" priority="1229" operator="containsText" text="Pending">
      <formula>NOT(ISERROR(SEARCH("Pending",#REF!)))</formula>
    </cfRule>
    <cfRule type="containsText" dxfId="520" priority="1227" operator="containsText" text="Done">
      <formula>NOT(ISERROR(SEARCH("Done",AI89)))</formula>
    </cfRule>
    <cfRule type="containsText" dxfId="519" priority="1237" operator="containsText" text="Pending">
      <formula>NOT(ISERROR(SEARCH("Pending",#REF!)))</formula>
    </cfRule>
    <cfRule type="containsText" dxfId="518" priority="1240" operator="containsText" text="NA">
      <formula>NOT(ISERROR(SEARCH("NA",#REF!)))</formula>
    </cfRule>
    <cfRule type="containsText" dxfId="517" priority="1239" operator="containsText" text="Pending">
      <formula>NOT(ISERROR(SEARCH("Pending",#REF!)))</formula>
    </cfRule>
    <cfRule type="containsText" dxfId="516" priority="1238" operator="containsText" text="NA">
      <formula>NOT(ISERROR(SEARCH("NA",#REF!)))</formula>
    </cfRule>
    <cfRule type="containsText" dxfId="515" priority="1226" operator="containsText" text="NA">
      <formula>NOT(ISERROR(SEARCH("NA",AI89)))</formula>
    </cfRule>
    <cfRule type="containsText" dxfId="514" priority="1241" operator="containsText" text="Done">
      <formula>NOT(ISERROR(SEARCH("Done",#REF!)))</formula>
    </cfRule>
    <cfRule type="containsText" dxfId="513" priority="1233" operator="containsText" text="Done">
      <formula>NOT(ISERROR(SEARCH("Done",#REF!)))</formula>
    </cfRule>
  </conditionalFormatting>
  <conditionalFormatting sqref="AI90">
    <cfRule type="containsText" dxfId="512" priority="158969" operator="containsText" text="Done">
      <formula>NOT(ISERROR(SEARCH("Done",#REF!)))</formula>
    </cfRule>
    <cfRule type="containsText" dxfId="511" priority="158970" operator="containsText" text="Pending">
      <formula>NOT(ISERROR(SEARCH("Pending",#REF!)))</formula>
    </cfRule>
    <cfRule type="containsText" dxfId="510" priority="158971" operator="containsText" text="NA">
      <formula>NOT(ISERROR(SEARCH("NA",#REF!)))</formula>
    </cfRule>
  </conditionalFormatting>
  <conditionalFormatting sqref="AI91:AI92">
    <cfRule type="containsText" dxfId="509" priority="159186" operator="containsText" text="Yes">
      <formula>NOT(ISERROR(SEARCH("Yes",#REF!)))</formula>
    </cfRule>
    <cfRule type="containsText" dxfId="508" priority="159187" operator="containsText" text="No">
      <formula>NOT(ISERROR(SEARCH("No",#REF!)))</formula>
    </cfRule>
  </conditionalFormatting>
  <conditionalFormatting sqref="AI93">
    <cfRule type="containsText" dxfId="507" priority="128424" operator="containsText" text="NA">
      <formula>NOT(ISERROR(SEARCH("NA",#REF!)))</formula>
    </cfRule>
    <cfRule type="containsText" dxfId="506" priority="128425" operator="containsText" text="Pending">
      <formula>NOT(ISERROR(SEARCH("Pending",#REF!)))</formula>
    </cfRule>
    <cfRule type="containsText" dxfId="505" priority="128426" operator="containsText" text="Done">
      <formula>NOT(ISERROR(SEARCH("Done",#REF!)))</formula>
    </cfRule>
  </conditionalFormatting>
  <conditionalFormatting sqref="AI98 AC16:AD16 AI43:AI44">
    <cfRule type="containsText" dxfId="504" priority="128433" operator="containsText" text="NA">
      <formula>NOT(ISERROR(SEARCH("NA",#REF!)))</formula>
    </cfRule>
  </conditionalFormatting>
  <conditionalFormatting sqref="AI98 AC16:AD16">
    <cfRule type="containsText" dxfId="503" priority="128435" operator="containsText" text="Done">
      <formula>NOT(ISERROR(SEARCH("Done",#REF!)))</formula>
    </cfRule>
  </conditionalFormatting>
  <conditionalFormatting sqref="AI98">
    <cfRule type="containsText" dxfId="502" priority="135213" operator="containsText" text="Pending">
      <formula>NOT(ISERROR(SEARCH("Pending",#REF!)))</formula>
    </cfRule>
    <cfRule type="containsText" dxfId="501" priority="135217" operator="containsText" text="NA">
      <formula>NOT(ISERROR(SEARCH("NA",#REF!)))</formula>
    </cfRule>
    <cfRule type="containsText" dxfId="500" priority="135209" operator="containsText" text="Done">
      <formula>NOT(ISERROR(SEARCH("Done",#REF!)))</formula>
    </cfRule>
  </conditionalFormatting>
  <conditionalFormatting sqref="AI99:AI101">
    <cfRule type="containsText" dxfId="499" priority="145664" operator="containsText" text="No">
      <formula>NOT(ISERROR(SEARCH("No",AF92)))</formula>
    </cfRule>
    <cfRule type="containsText" dxfId="498" priority="145663" operator="containsText" text="Yes">
      <formula>NOT(ISERROR(SEARCH("Yes",AF92)))</formula>
    </cfRule>
  </conditionalFormatting>
  <conditionalFormatting sqref="AI102:AI65559">
    <cfRule type="containsText" dxfId="497" priority="148023" operator="containsText" text="No">
      <formula>NOT(ISERROR(SEARCH("No",#REF!)))</formula>
    </cfRule>
    <cfRule type="containsText" dxfId="496" priority="148021" operator="containsText" text="Yes">
      <formula>NOT(ISERROR(SEARCH("Yes",#REF!)))</formula>
    </cfRule>
  </conditionalFormatting>
  <conditionalFormatting sqref="AK76:AK79">
    <cfRule type="containsText" dxfId="495" priority="956" operator="containsText" text="Done">
      <formula>NOT(ISERROR(SEARCH("Done",#REF!)))</formula>
    </cfRule>
    <cfRule type="containsText" dxfId="494" priority="955" operator="containsText" text="NA">
      <formula>NOT(ISERROR(SEARCH("NA",#REF!)))</formula>
    </cfRule>
    <cfRule type="containsText" dxfId="493" priority="954" operator="containsText" text="Pending">
      <formula>NOT(ISERROR(SEARCH("Pending",#REF!)))</formula>
    </cfRule>
  </conditionalFormatting>
  <conditionalFormatting sqref="AK30:AL30">
    <cfRule type="containsText" dxfId="492" priority="2127" operator="containsText" text="Done">
      <formula>NOT(ISERROR(SEARCH("Done",#REF!)))</formula>
    </cfRule>
    <cfRule type="containsText" dxfId="491" priority="2128" operator="containsText" text="Pending">
      <formula>NOT(ISERROR(SEARCH("Pending",#REF!)))</formula>
    </cfRule>
    <cfRule type="containsText" dxfId="490" priority="2129" operator="containsText" text="NA">
      <formula>NOT(ISERROR(SEARCH("NA",#REF!)))</formula>
    </cfRule>
    <cfRule type="containsText" dxfId="489" priority="2130" operator="containsText" text="NA">
      <formula>NOT(ISERROR(SEARCH("NA",#REF!)))</formula>
    </cfRule>
    <cfRule type="containsText" dxfId="488" priority="2166" operator="containsText" text="Pending">
      <formula>NOT(ISERROR(SEARCH("Pending",#REF!)))</formula>
    </cfRule>
    <cfRule type="containsText" dxfId="487" priority="2165" operator="containsText" text="Done">
      <formula>NOT(ISERROR(SEARCH("Done",#REF!)))</formula>
    </cfRule>
    <cfRule type="containsText" dxfId="486" priority="2164" operator="containsText" text="NA">
      <formula>NOT(ISERROR(SEARCH("NA",#REF!)))</formula>
    </cfRule>
    <cfRule type="containsText" dxfId="485" priority="2163" operator="containsText" text="NA">
      <formula>NOT(ISERROR(SEARCH("NA",#REF!)))</formula>
    </cfRule>
    <cfRule type="containsText" dxfId="484" priority="2162" operator="containsText" text="Pending">
      <formula>NOT(ISERROR(SEARCH("Pending",#REF!)))</formula>
    </cfRule>
    <cfRule type="containsText" dxfId="483" priority="2131" operator="containsText" text="Done">
      <formula>NOT(ISERROR(SEARCH("Done",#REF!)))</formula>
    </cfRule>
    <cfRule type="containsText" dxfId="482" priority="2132" operator="containsText" text="Pending">
      <formula>NOT(ISERROR(SEARCH("Pending",#REF!)))</formula>
    </cfRule>
    <cfRule type="containsText" dxfId="481" priority="2133" operator="containsText" text="NA">
      <formula>NOT(ISERROR(SEARCH("NA",#REF!)))</formula>
    </cfRule>
    <cfRule type="containsText" dxfId="480" priority="2134" operator="containsText" text="NA">
      <formula>NOT(ISERROR(SEARCH("NA",#REF!)))</formula>
    </cfRule>
    <cfRule type="containsText" dxfId="479" priority="2135" operator="containsText" text="Done">
      <formula>NOT(ISERROR(SEARCH("Done",#REF!)))</formula>
    </cfRule>
    <cfRule type="containsText" dxfId="478" priority="2136" operator="containsText" text="Pending">
      <formula>NOT(ISERROR(SEARCH("Pending",#REF!)))</formula>
    </cfRule>
    <cfRule type="containsText" dxfId="477" priority="2137" operator="containsText" text="NA">
      <formula>NOT(ISERROR(SEARCH("NA",#REF!)))</formula>
    </cfRule>
    <cfRule type="containsText" dxfId="476" priority="2138" operator="containsText" text="Done">
      <formula>NOT(ISERROR(SEARCH("Done",#REF!)))</formula>
    </cfRule>
    <cfRule type="containsText" dxfId="475" priority="2161" operator="containsText" text="Done">
      <formula>NOT(ISERROR(SEARCH("Done",#REF!)))</formula>
    </cfRule>
    <cfRule type="containsText" dxfId="474" priority="2160" operator="containsText" text="NA">
      <formula>NOT(ISERROR(SEARCH("NA",#REF!)))</formula>
    </cfRule>
    <cfRule type="containsText" dxfId="473" priority="2139" operator="containsText" text="Pending">
      <formula>NOT(ISERROR(SEARCH("Pending",#REF!)))</formula>
    </cfRule>
    <cfRule type="containsText" dxfId="472" priority="2140" operator="containsText" text="NA">
      <formula>NOT(ISERROR(SEARCH("NA",#REF!)))</formula>
    </cfRule>
    <cfRule type="containsText" dxfId="471" priority="2141" operator="containsText" text="NA">
      <formula>NOT(ISERROR(SEARCH("NA",#REF!)))</formula>
    </cfRule>
    <cfRule type="containsText" dxfId="470" priority="2142" operator="containsText" text="Done">
      <formula>NOT(ISERROR(SEARCH("Done",#REF!)))</formula>
    </cfRule>
    <cfRule type="containsText" dxfId="469" priority="2143" operator="containsText" text="Pending">
      <formula>NOT(ISERROR(SEARCH("Pending",#REF!)))</formula>
    </cfRule>
    <cfRule type="containsText" dxfId="468" priority="2144" operator="containsText" text="NA">
      <formula>NOT(ISERROR(SEARCH("NA",#REF!)))</formula>
    </cfRule>
    <cfRule type="containsText" dxfId="467" priority="2145" operator="containsText" text="NA">
      <formula>NOT(ISERROR(SEARCH("NA",#REF!)))</formula>
    </cfRule>
    <cfRule type="containsText" dxfId="466" priority="2333" operator="containsText" text="Pending">
      <formula>NOT(ISERROR(SEARCH("Pending",#REF!)))</formula>
    </cfRule>
    <cfRule type="containsText" dxfId="465" priority="2224" operator="containsText" text="Pending">
      <formula>NOT(ISERROR(SEARCH("Pending",#REF!)))</formula>
    </cfRule>
    <cfRule type="containsText" dxfId="464" priority="2225" operator="containsText" text="NA">
      <formula>NOT(ISERROR(SEARCH("NA",#REF!)))</formula>
    </cfRule>
    <cfRule type="containsText" dxfId="463" priority="2226" operator="containsText" text="NA">
      <formula>NOT(ISERROR(SEARCH("NA",#REF!)))</formula>
    </cfRule>
    <cfRule type="containsText" dxfId="462" priority="2227" operator="containsText" text="Done">
      <formula>NOT(ISERROR(SEARCH("Done",#REF!)))</formula>
    </cfRule>
    <cfRule type="containsText" dxfId="461" priority="2228" operator="containsText" text="Pending">
      <formula>NOT(ISERROR(SEARCH("Pending",#REF!)))</formula>
    </cfRule>
    <cfRule type="containsText" dxfId="460" priority="2229" operator="containsText" text="NA">
      <formula>NOT(ISERROR(SEARCH("NA",#REF!)))</formula>
    </cfRule>
    <cfRule type="containsText" dxfId="459" priority="2230" operator="containsText" text="Done">
      <formula>NOT(ISERROR(SEARCH("Done",#REF!)))</formula>
    </cfRule>
    <cfRule type="containsText" dxfId="458" priority="2231" operator="containsText" text="NA">
      <formula>NOT(ISERROR(SEARCH("NA",AK30)))</formula>
    </cfRule>
    <cfRule type="containsText" dxfId="457" priority="2232" operator="containsText" text="Pending">
      <formula>NOT(ISERROR(SEARCH("Pending",AK30)))</formula>
    </cfRule>
    <cfRule type="containsText" dxfId="456" priority="2334" operator="containsText" text="NA">
      <formula>NOT(ISERROR(SEARCH("NA",#REF!)))</formula>
    </cfRule>
    <cfRule type="containsText" dxfId="455" priority="2335" operator="containsText" text="NA">
      <formula>NOT(ISERROR(SEARCH("NA",#REF!)))</formula>
    </cfRule>
    <cfRule type="containsText" dxfId="454" priority="2336" operator="containsText" text="Done">
      <formula>NOT(ISERROR(SEARCH("Done",#REF!)))</formula>
    </cfRule>
    <cfRule type="containsText" dxfId="453" priority="2337" operator="containsText" text="Pending">
      <formula>NOT(ISERROR(SEARCH("Pending",#REF!)))</formula>
    </cfRule>
    <cfRule type="containsText" dxfId="452" priority="2338" operator="containsText" text="NA">
      <formula>NOT(ISERROR(SEARCH("NA",#REF!)))</formula>
    </cfRule>
    <cfRule type="containsText" dxfId="451" priority="2339" operator="containsText" text="NA">
      <formula>NOT(ISERROR(SEARCH("NA",#REF!)))</formula>
    </cfRule>
    <cfRule type="containsText" dxfId="450" priority="2340" operator="containsText" text="Done">
      <formula>NOT(ISERROR(SEARCH("Done",#REF!)))</formula>
    </cfRule>
    <cfRule type="containsText" dxfId="449" priority="2341" operator="containsText" text="Pending">
      <formula>NOT(ISERROR(SEARCH("Pending",#REF!)))</formula>
    </cfRule>
    <cfRule type="containsText" dxfId="448" priority="2342" operator="containsText" text="NA">
      <formula>NOT(ISERROR(SEARCH("NA",#REF!)))</formula>
    </cfRule>
    <cfRule type="containsText" dxfId="447" priority="2343" operator="containsText" text="NA">
      <formula>NOT(ISERROR(SEARCH("NA",AK30)))</formula>
    </cfRule>
    <cfRule type="containsText" dxfId="446" priority="2344" operator="containsText" text="Pending">
      <formula>NOT(ISERROR(SEARCH("Pending",AK30)))</formula>
    </cfRule>
    <cfRule type="containsText" dxfId="445" priority="2345" operator="containsText" text="Done">
      <formula>NOT(ISERROR(SEARCH("Done",AK30)))</formula>
    </cfRule>
    <cfRule type="containsText" dxfId="444" priority="2346" operator="containsText" text="NA">
      <formula>NOT(ISERROR(SEARCH("NA",#REF!)))</formula>
    </cfRule>
    <cfRule type="containsText" dxfId="443" priority="2347" operator="containsText" text="Done">
      <formula>NOT(ISERROR(SEARCH("Done",#REF!)))</formula>
    </cfRule>
    <cfRule type="containsText" dxfId="442" priority="2348" operator="containsText" text="Pending">
      <formula>NOT(ISERROR(SEARCH("Pending",#REF!)))</formula>
    </cfRule>
    <cfRule type="containsText" dxfId="441" priority="2349" operator="containsText" text="NA">
      <formula>NOT(ISERROR(SEARCH("NA",#REF!)))</formula>
    </cfRule>
    <cfRule type="containsText" dxfId="440" priority="2350" operator="containsText" text="NA">
      <formula>NOT(ISERROR(SEARCH("NA",AK30)))</formula>
    </cfRule>
    <cfRule type="containsText" dxfId="439" priority="2351" operator="containsText" text="Pending">
      <formula>NOT(ISERROR(SEARCH("Pending",AK30)))</formula>
    </cfRule>
    <cfRule type="containsText" dxfId="438" priority="2352" operator="containsText" text="Done">
      <formula>NOT(ISERROR(SEARCH("Done",AK30)))</formula>
    </cfRule>
    <cfRule type="containsText" dxfId="437" priority="2353" operator="containsText" text="NA">
      <formula>NOT(ISERROR(SEARCH("NA",#REF!)))</formula>
    </cfRule>
    <cfRule type="containsText" dxfId="436" priority="2354" operator="containsText" text="Done">
      <formula>NOT(ISERROR(SEARCH("Done",#REF!)))</formula>
    </cfRule>
    <cfRule type="containsText" dxfId="435" priority="2355" operator="containsText" text="Pending">
      <formula>NOT(ISERROR(SEARCH("Pending",#REF!)))</formula>
    </cfRule>
    <cfRule type="containsText" dxfId="434" priority="2356" operator="containsText" text="NA">
      <formula>NOT(ISERROR(SEARCH("NA",#REF!)))</formula>
    </cfRule>
    <cfRule type="containsText" dxfId="433" priority="2357" operator="containsText" text="NA">
      <formula>NOT(ISERROR(SEARCH("NA",#REF!)))</formula>
    </cfRule>
    <cfRule type="containsText" dxfId="432" priority="2358" operator="containsText" text="Done">
      <formula>NOT(ISERROR(SEARCH("Done",#REF!)))</formula>
    </cfRule>
    <cfRule type="containsText" dxfId="431" priority="2359" operator="containsText" text="Pending">
      <formula>NOT(ISERROR(SEARCH("Pending",#REF!)))</formula>
    </cfRule>
    <cfRule type="containsText" dxfId="430" priority="2360" operator="containsText" text="NA">
      <formula>NOT(ISERROR(SEARCH("NA",#REF!)))</formula>
    </cfRule>
    <cfRule type="containsText" dxfId="429" priority="2361" operator="containsText" text="NA">
      <formula>NOT(ISERROR(SEARCH("NA",#REF!)))</formula>
    </cfRule>
    <cfRule type="containsText" dxfId="428" priority="2362" operator="containsText" text="Done">
      <formula>NOT(ISERROR(SEARCH("Done",#REF!)))</formula>
    </cfRule>
    <cfRule type="containsText" dxfId="427" priority="2363" operator="containsText" text="Pending">
      <formula>NOT(ISERROR(SEARCH("Pending",#REF!)))</formula>
    </cfRule>
    <cfRule type="containsText" dxfId="426" priority="2364" operator="containsText" text="NA">
      <formula>NOT(ISERROR(SEARCH("NA",#REF!)))</formula>
    </cfRule>
    <cfRule type="containsText" dxfId="425" priority="2365" operator="containsText" text="NA">
      <formula>NOT(ISERROR(SEARCH("NA",#REF!)))</formula>
    </cfRule>
    <cfRule type="containsText" dxfId="424" priority="2366" operator="containsText" text="Done">
      <formula>NOT(ISERROR(SEARCH("Done",#REF!)))</formula>
    </cfRule>
    <cfRule type="containsText" dxfId="423" priority="2367" operator="containsText" text="Pending">
      <formula>NOT(ISERROR(SEARCH("Pending",#REF!)))</formula>
    </cfRule>
    <cfRule type="containsText" dxfId="422" priority="2368" operator="containsText" text="NA">
      <formula>NOT(ISERROR(SEARCH("NA",#REF!)))</formula>
    </cfRule>
    <cfRule type="containsText" dxfId="421" priority="2369" operator="containsText" text="NA">
      <formula>NOT(ISERROR(SEARCH("NA",AK30)))</formula>
    </cfRule>
    <cfRule type="containsText" dxfId="420" priority="2370" operator="containsText" text="Pending">
      <formula>NOT(ISERROR(SEARCH("Pending",AK30)))</formula>
    </cfRule>
    <cfRule type="containsText" dxfId="419" priority="2371" operator="containsText" text="Done">
      <formula>NOT(ISERROR(SEARCH("Done",AK30)))</formula>
    </cfRule>
    <cfRule type="containsText" dxfId="418" priority="2372" operator="containsText" text="NA">
      <formula>NOT(ISERROR(SEARCH("NA",#REF!)))</formula>
    </cfRule>
    <cfRule type="containsText" dxfId="417" priority="2373" operator="containsText" text="Done">
      <formula>NOT(ISERROR(SEARCH("Done",#REF!)))</formula>
    </cfRule>
    <cfRule type="containsText" dxfId="416" priority="2374" operator="containsText" text="Pending">
      <formula>NOT(ISERROR(SEARCH("Pending",#REF!)))</formula>
    </cfRule>
    <cfRule type="containsText" dxfId="415" priority="2375" operator="containsText" text="NA">
      <formula>NOT(ISERROR(SEARCH("NA",#REF!)))</formula>
    </cfRule>
    <cfRule type="containsText" dxfId="414" priority="2376" operator="containsText" text="NA">
      <formula>NOT(ISERROR(SEARCH("NA",AK30)))</formula>
    </cfRule>
    <cfRule type="containsText" dxfId="413" priority="2377" operator="containsText" text="Pending">
      <formula>NOT(ISERROR(SEARCH("Pending",AK30)))</formula>
    </cfRule>
    <cfRule type="containsText" dxfId="412" priority="2378" operator="containsText" text="Done">
      <formula>NOT(ISERROR(SEARCH("Done",AK30)))</formula>
    </cfRule>
    <cfRule type="containsText" dxfId="411" priority="2379" operator="containsText" text="NA">
      <formula>NOT(ISERROR(SEARCH("NA",#REF!)))</formula>
    </cfRule>
    <cfRule type="containsText" dxfId="410" priority="2380" operator="containsText" text="Done">
      <formula>NOT(ISERROR(SEARCH("Done",#REF!)))</formula>
    </cfRule>
    <cfRule type="containsText" dxfId="409" priority="2381" operator="containsText" text="Pending">
      <formula>NOT(ISERROR(SEARCH("Pending",#REF!)))</formula>
    </cfRule>
    <cfRule type="containsText" dxfId="408" priority="2382" operator="containsText" text="NA">
      <formula>NOT(ISERROR(SEARCH("NA",#REF!)))</formula>
    </cfRule>
    <cfRule type="containsText" dxfId="407" priority="2383" operator="containsText" text="NA">
      <formula>NOT(ISERROR(SEARCH("NA",#REF!)))</formula>
    </cfRule>
    <cfRule type="containsText" dxfId="406" priority="2384" operator="containsText" text="Done">
      <formula>NOT(ISERROR(SEARCH("Done",#REF!)))</formula>
    </cfRule>
    <cfRule type="containsText" dxfId="405" priority="2385" operator="containsText" text="Pending">
      <formula>NOT(ISERROR(SEARCH("Pending",#REF!)))</formula>
    </cfRule>
    <cfRule type="containsText" dxfId="404" priority="2386" operator="containsText" text="NA">
      <formula>NOT(ISERROR(SEARCH("NA",#REF!)))</formula>
    </cfRule>
    <cfRule type="containsText" dxfId="403" priority="2387" operator="containsText" text="NA">
      <formula>NOT(ISERROR(SEARCH("NA",#REF!)))</formula>
    </cfRule>
    <cfRule type="containsText" dxfId="402" priority="2388" operator="containsText" text="Done">
      <formula>NOT(ISERROR(SEARCH("Done",#REF!)))</formula>
    </cfRule>
    <cfRule type="containsText" dxfId="401" priority="2389" operator="containsText" text="Pending">
      <formula>NOT(ISERROR(SEARCH("Pending",#REF!)))</formula>
    </cfRule>
    <cfRule type="containsText" dxfId="400" priority="2233" operator="containsText" text="Done">
      <formula>NOT(ISERROR(SEARCH("Done",AK30)))</formula>
    </cfRule>
    <cfRule type="containsText" dxfId="399" priority="2234" operator="containsText" text="NA">
      <formula>NOT(ISERROR(SEARCH("NA",#REF!)))</formula>
    </cfRule>
    <cfRule type="containsText" dxfId="398" priority="2235" operator="containsText" text="Done">
      <formula>NOT(ISERROR(SEARCH("Done",#REF!)))</formula>
    </cfRule>
    <cfRule type="containsText" dxfId="397" priority="2236" operator="containsText" text="Pending">
      <formula>NOT(ISERROR(SEARCH("Pending",#REF!)))</formula>
    </cfRule>
    <cfRule type="containsText" dxfId="396" priority="2237" operator="containsText" text="NA">
      <formula>NOT(ISERROR(SEARCH("NA",#REF!)))</formula>
    </cfRule>
    <cfRule type="containsText" dxfId="395" priority="2238" operator="containsText" text="Pending">
      <formula>NOT(ISERROR(SEARCH("Pending",#REF!)))</formula>
    </cfRule>
    <cfRule type="containsText" dxfId="394" priority="2239" operator="containsText" text="NA">
      <formula>NOT(ISERROR(SEARCH("NA",#REF!)))</formula>
    </cfRule>
    <cfRule type="containsText" dxfId="393" priority="2240" operator="containsText" text="NA">
      <formula>NOT(ISERROR(SEARCH("NA",#REF!)))</formula>
    </cfRule>
    <cfRule type="containsText" dxfId="392" priority="2241" operator="containsText" text="Done">
      <formula>NOT(ISERROR(SEARCH("Done",#REF!)))</formula>
    </cfRule>
    <cfRule type="containsText" dxfId="391" priority="2242" operator="containsText" text="Pending">
      <formula>NOT(ISERROR(SEARCH("Pending",#REF!)))</formula>
    </cfRule>
    <cfRule type="containsText" dxfId="390" priority="2243" operator="containsText" text="NA">
      <formula>NOT(ISERROR(SEARCH("NA",#REF!)))</formula>
    </cfRule>
    <cfRule type="containsText" dxfId="389" priority="2244" operator="containsText" text="Done">
      <formula>NOT(ISERROR(SEARCH("Done",#REF!)))</formula>
    </cfRule>
    <cfRule type="containsText" dxfId="388" priority="2245" operator="containsText" text="Pending">
      <formula>NOT(ISERROR(SEARCH("Pending",#REF!)))</formula>
    </cfRule>
    <cfRule type="containsText" dxfId="387" priority="2390" operator="containsText" text="NA">
      <formula>NOT(ISERROR(SEARCH("NA",#REF!)))</formula>
    </cfRule>
    <cfRule type="containsText" dxfId="386" priority="2246" operator="containsText" text="NA">
      <formula>NOT(ISERROR(SEARCH("NA",#REF!)))</formula>
    </cfRule>
    <cfRule type="containsText" dxfId="385" priority="2247" operator="containsText" text="NA">
      <formula>NOT(ISERROR(SEARCH("NA",AH55)))</formula>
    </cfRule>
    <cfRule type="containsText" dxfId="384" priority="2391" operator="containsText" text="NA">
      <formula>NOT(ISERROR(SEARCH("NA",#REF!)))</formula>
    </cfRule>
    <cfRule type="containsText" dxfId="383" priority="2392" operator="containsText" text="Done">
      <formula>NOT(ISERROR(SEARCH("Done",#REF!)))</formula>
    </cfRule>
    <cfRule type="containsText" dxfId="382" priority="2393" operator="containsText" text="Pending">
      <formula>NOT(ISERROR(SEARCH("Pending",#REF!)))</formula>
    </cfRule>
    <cfRule type="containsText" dxfId="381" priority="2394" operator="containsText" text="NA">
      <formula>NOT(ISERROR(SEARCH("NA",#REF!)))</formula>
    </cfRule>
    <cfRule type="containsText" dxfId="380" priority="2395" operator="containsText" text="NA">
      <formula>NOT(ISERROR(SEARCH("NA",AK30)))</formula>
    </cfRule>
    <cfRule type="containsText" dxfId="379" priority="2396" operator="containsText" text="Done">
      <formula>NOT(ISERROR(SEARCH("Done",AK30)))</formula>
    </cfRule>
    <cfRule type="containsText" dxfId="378" priority="2397" operator="containsText" text="NA">
      <formula>NOT(ISERROR(SEARCH("NA",#REF!)))</formula>
    </cfRule>
    <cfRule type="containsText" dxfId="377" priority="2398" operator="containsText" text="Done">
      <formula>NOT(ISERROR(SEARCH("Done",#REF!)))</formula>
    </cfRule>
    <cfRule type="containsText" dxfId="376" priority="2399" operator="containsText" text="Pending">
      <formula>NOT(ISERROR(SEARCH("Pending",#REF!)))</formula>
    </cfRule>
    <cfRule type="containsText" dxfId="375" priority="2400" operator="containsText" text="NA">
      <formula>NOT(ISERROR(SEARCH("NA",#REF!)))</formula>
    </cfRule>
    <cfRule type="containsText" dxfId="374" priority="2401" operator="containsText" text="NA">
      <formula>NOT(ISERROR(SEARCH("NA",AK30)))</formula>
    </cfRule>
    <cfRule type="containsText" dxfId="373" priority="2402" operator="containsText" text="Pending">
      <formula>NOT(ISERROR(SEARCH("Pending",AK30)))</formula>
    </cfRule>
    <cfRule type="containsText" dxfId="372" priority="2403" operator="containsText" text="Done">
      <formula>NOT(ISERROR(SEARCH("Done",AK30)))</formula>
    </cfRule>
    <cfRule type="containsText" dxfId="371" priority="2404" operator="containsText" text="NA">
      <formula>NOT(ISERROR(SEARCH("NA",#REF!)))</formula>
    </cfRule>
    <cfRule type="containsText" dxfId="370" priority="2405" operator="containsText" text="Pending">
      <formula>NOT(ISERROR(SEARCH("Pending",#REF!)))</formula>
    </cfRule>
    <cfRule type="containsText" dxfId="369" priority="2406" operator="containsText" text="NA">
      <formula>NOT(ISERROR(SEARCH("NA",#REF!)))</formula>
    </cfRule>
    <cfRule type="containsText" dxfId="368" priority="2248" operator="containsText" text="Done">
      <formula>NOT(ISERROR(SEARCH("Done",AH53)))</formula>
    </cfRule>
    <cfRule type="containsText" dxfId="367" priority="2249" operator="containsText" text="Pending">
      <formula>NOT(ISERROR(SEARCH("Pending",AH53)))</formula>
    </cfRule>
    <cfRule type="containsText" dxfId="366" priority="2250" operator="containsText" text="NA">
      <formula>NOT(ISERROR(SEARCH("NA",AH53)))</formula>
    </cfRule>
    <cfRule type="containsText" dxfId="365" priority="2251" operator="containsText" text="NA">
      <formula>NOT(ISERROR(SEARCH("NA",#REF!)))</formula>
    </cfRule>
    <cfRule type="containsText" dxfId="364" priority="2252" operator="containsText" text="Done">
      <formula>NOT(ISERROR(SEARCH("Done",#REF!)))</formula>
    </cfRule>
    <cfRule type="containsText" dxfId="363" priority="2253" operator="containsText" text="Pending">
      <formula>NOT(ISERROR(SEARCH("Pending",#REF!)))</formula>
    </cfRule>
    <cfRule type="containsText" dxfId="362" priority="2254" operator="containsText" text="NA">
      <formula>NOT(ISERROR(SEARCH("NA",#REF!)))</formula>
    </cfRule>
    <cfRule type="containsText" dxfId="361" priority="2255" operator="containsText" text="NA">
      <formula>NOT(ISERROR(SEARCH("NA",#REF!)))</formula>
    </cfRule>
    <cfRule type="containsText" dxfId="360" priority="2256" operator="containsText" text="Done">
      <formula>NOT(ISERROR(SEARCH("Done",#REF!)))</formula>
    </cfRule>
    <cfRule type="containsText" dxfId="359" priority="2257" operator="containsText" text="Pending">
      <formula>NOT(ISERROR(SEARCH("Pending",#REF!)))</formula>
    </cfRule>
    <cfRule type="containsText" dxfId="358" priority="2258" operator="containsText" text="NA">
      <formula>NOT(ISERROR(SEARCH("NA",#REF!)))</formula>
    </cfRule>
    <cfRule type="containsText" dxfId="357" priority="2259" operator="containsText" text="NA">
      <formula>NOT(ISERROR(SEARCH("NA",#REF!)))</formula>
    </cfRule>
    <cfRule type="containsText" dxfId="356" priority="2260" operator="containsText" text="Done">
      <formula>NOT(ISERROR(SEARCH("Done",#REF!)))</formula>
    </cfRule>
    <cfRule type="containsText" dxfId="355" priority="2261" operator="containsText" text="Pending">
      <formula>NOT(ISERROR(SEARCH("Pending",#REF!)))</formula>
    </cfRule>
    <cfRule type="containsText" dxfId="354" priority="2262" operator="containsText" text="NA">
      <formula>NOT(ISERROR(SEARCH("NA",#REF!)))</formula>
    </cfRule>
    <cfRule type="containsText" dxfId="353" priority="2263" operator="containsText" text="Done">
      <formula>NOT(ISERROR(SEARCH("Done",#REF!)))</formula>
    </cfRule>
    <cfRule type="containsText" dxfId="352" priority="2264" operator="containsText" text="Pending">
      <formula>NOT(ISERROR(SEARCH("Pending",#REF!)))</formula>
    </cfRule>
    <cfRule type="containsText" dxfId="351" priority="2265" operator="containsText" text="NA">
      <formula>NOT(ISERROR(SEARCH("NA",#REF!)))</formula>
    </cfRule>
    <cfRule type="containsText" dxfId="350" priority="2407" operator="containsText" text="NA">
      <formula>NOT(ISERROR(SEARCH("NA",#REF!)))</formula>
    </cfRule>
    <cfRule type="containsText" dxfId="349" priority="2408" operator="containsText" text="Done">
      <formula>NOT(ISERROR(SEARCH("Done",#REF!)))</formula>
    </cfRule>
    <cfRule type="containsText" dxfId="348" priority="2409" operator="containsText" text="Pending">
      <formula>NOT(ISERROR(SEARCH("Pending",#REF!)))</formula>
    </cfRule>
    <cfRule type="containsText" dxfId="347" priority="2410" operator="containsText" text="NA">
      <formula>NOT(ISERROR(SEARCH("NA",#REF!)))</formula>
    </cfRule>
    <cfRule type="containsText" dxfId="346" priority="2411" operator="containsText" text="Done">
      <formula>NOT(ISERROR(SEARCH("Done",#REF!)))</formula>
    </cfRule>
    <cfRule type="containsText" dxfId="345" priority="2412" operator="containsText" text="NA">
      <formula>NOT(ISERROR(SEARCH("NA",#REF!)))</formula>
    </cfRule>
    <cfRule type="containsText" dxfId="344" priority="2413" operator="containsText" text="Done">
      <formula>NOT(ISERROR(SEARCH("Done",#REF!)))</formula>
    </cfRule>
    <cfRule type="containsText" dxfId="343" priority="2414" operator="containsText" text="Pending">
      <formula>NOT(ISERROR(SEARCH("Pending",#REF!)))</formula>
    </cfRule>
    <cfRule type="containsText" dxfId="342" priority="2415" operator="containsText" text="NA">
      <formula>NOT(ISERROR(SEARCH("NA",#REF!)))</formula>
    </cfRule>
    <cfRule type="containsText" dxfId="341" priority="2416" operator="containsText" text="Done">
      <formula>NOT(ISERROR(SEARCH("Done",#REF!)))</formula>
    </cfRule>
    <cfRule type="containsText" dxfId="340" priority="2417" operator="containsText" text="Pending">
      <formula>NOT(ISERROR(SEARCH("Pending",#REF!)))</formula>
    </cfRule>
    <cfRule type="containsText" dxfId="339" priority="2418" operator="containsText" text="NA">
      <formula>NOT(ISERROR(SEARCH("NA",#REF!)))</formula>
    </cfRule>
    <cfRule type="containsText" dxfId="338" priority="2419" operator="containsText" text="NA">
      <formula>NOT(ISERROR(SEARCH("NA",#REF!)))</formula>
    </cfRule>
    <cfRule type="containsText" dxfId="337" priority="2266" operator="containsText" text="NA">
      <formula>NOT(ISERROR(SEARCH("NA",#REF!)))</formula>
    </cfRule>
    <cfRule type="containsText" dxfId="336" priority="2267" operator="containsText" text="Done">
      <formula>NOT(ISERROR(SEARCH("Done",#REF!)))</formula>
    </cfRule>
    <cfRule type="containsText" dxfId="335" priority="2268" operator="containsText" text="Pending">
      <formula>NOT(ISERROR(SEARCH("Pending",#REF!)))</formula>
    </cfRule>
    <cfRule type="containsText" dxfId="334" priority="2269" operator="containsText" text="NA">
      <formula>NOT(ISERROR(SEARCH("NA",#REF!)))</formula>
    </cfRule>
    <cfRule type="containsText" dxfId="333" priority="2270" operator="containsText" text="NA">
      <formula>NOT(ISERROR(SEARCH("NA",#REF!)))</formula>
    </cfRule>
    <cfRule type="containsText" dxfId="332" priority="2271" operator="containsText" text="Done">
      <formula>NOT(ISERROR(SEARCH("Done",#REF!)))</formula>
    </cfRule>
    <cfRule type="containsText" dxfId="331" priority="2272" operator="containsText" text="Pending">
      <formula>NOT(ISERROR(SEARCH("Pending",#REF!)))</formula>
    </cfRule>
    <cfRule type="containsText" dxfId="330" priority="2273" operator="containsText" text="NA">
      <formula>NOT(ISERROR(SEARCH("NA",#REF!)))</formula>
    </cfRule>
    <cfRule type="containsText" dxfId="329" priority="2274" operator="containsText" text="NA">
      <formula>NOT(ISERROR(SEARCH("NA",#REF!)))</formula>
    </cfRule>
    <cfRule type="containsText" dxfId="328" priority="2275" operator="containsText" text="Done">
      <formula>NOT(ISERROR(SEARCH("Done",#REF!)))</formula>
    </cfRule>
    <cfRule type="containsText" dxfId="327" priority="2276" operator="containsText" text="Pending">
      <formula>NOT(ISERROR(SEARCH("Pending",#REF!)))</formula>
    </cfRule>
    <cfRule type="containsText" dxfId="326" priority="2420" operator="containsText" text="Done">
      <formula>NOT(ISERROR(SEARCH("Done",#REF!)))</formula>
    </cfRule>
    <cfRule type="containsText" dxfId="325" priority="2421" operator="containsText" text="Pending">
      <formula>NOT(ISERROR(SEARCH("Pending",#REF!)))</formula>
    </cfRule>
    <cfRule type="containsText" dxfId="324" priority="2422" operator="containsText" text="NA">
      <formula>NOT(ISERROR(SEARCH("NA",#REF!)))</formula>
    </cfRule>
    <cfRule type="containsText" dxfId="323" priority="2423" operator="containsText" text="NA">
      <formula>NOT(ISERROR(SEARCH("NA",AK30)))</formula>
    </cfRule>
    <cfRule type="containsText" dxfId="322" priority="2424" operator="containsText" text="Done">
      <formula>NOT(ISERROR(SEARCH("Done",AK30)))</formula>
    </cfRule>
    <cfRule type="containsText" dxfId="321" priority="2425" operator="containsText" text="NA">
      <formula>NOT(ISERROR(SEARCH("NA",#REF!)))</formula>
    </cfRule>
    <cfRule type="containsText" dxfId="320" priority="2426" operator="containsText" text="Done">
      <formula>NOT(ISERROR(SEARCH("Done",#REF!)))</formula>
    </cfRule>
    <cfRule type="containsText" dxfId="319" priority="2427" operator="containsText" text="Pending">
      <formula>NOT(ISERROR(SEARCH("Pending",#REF!)))</formula>
    </cfRule>
    <cfRule type="containsText" dxfId="318" priority="2428" operator="containsText" text="NA">
      <formula>NOT(ISERROR(SEARCH("NA",#REF!)))</formula>
    </cfRule>
    <cfRule type="containsText" dxfId="317" priority="2429" operator="containsText" text="NA">
      <formula>NOT(ISERROR(SEARCH("NA",AK30)))</formula>
    </cfRule>
    <cfRule type="containsText" dxfId="316" priority="2430" operator="containsText" text="Pending">
      <formula>NOT(ISERROR(SEARCH("Pending",AK30)))</formula>
    </cfRule>
    <cfRule type="containsText" dxfId="315" priority="2431" operator="containsText" text="Done">
      <formula>NOT(ISERROR(SEARCH("Done",AK30)))</formula>
    </cfRule>
    <cfRule type="containsText" dxfId="314" priority="2432" operator="containsText" text="NA">
      <formula>NOT(ISERROR(SEARCH("NA",#REF!)))</formula>
    </cfRule>
    <cfRule type="containsText" dxfId="313" priority="2433" operator="containsText" text="Done">
      <formula>NOT(ISERROR(SEARCH("Done",#REF!)))</formula>
    </cfRule>
    <cfRule type="containsText" dxfId="312" priority="2434" operator="containsText" text="Pending">
      <formula>NOT(ISERROR(SEARCH("Pending",#REF!)))</formula>
    </cfRule>
    <cfRule type="containsText" dxfId="311" priority="2435" operator="containsText" text="NA">
      <formula>NOT(ISERROR(SEARCH("NA",#REF!)))</formula>
    </cfRule>
    <cfRule type="containsText" dxfId="310" priority="2188" operator="containsText" text="Done">
      <formula>NOT(ISERROR(SEARCH("Done",AK30)))</formula>
    </cfRule>
    <cfRule type="containsText" dxfId="309" priority="2437" operator="containsText" text="Done">
      <formula>NOT(ISERROR(SEARCH("Done",AK30)))</formula>
    </cfRule>
    <cfRule type="containsText" dxfId="308" priority="2438" operator="containsText" text="NA">
      <formula>NOT(ISERROR(SEARCH("NA",#REF!)))</formula>
    </cfRule>
    <cfRule type="containsText" dxfId="307" priority="2439" operator="containsText" text="Done">
      <formula>NOT(ISERROR(SEARCH("Done",#REF!)))</formula>
    </cfRule>
    <cfRule type="containsText" dxfId="306" priority="2440" operator="containsText" text="Pending">
      <formula>NOT(ISERROR(SEARCH("Pending",#REF!)))</formula>
    </cfRule>
    <cfRule type="containsText" dxfId="305" priority="2441" operator="containsText" text="NA">
      <formula>NOT(ISERROR(SEARCH("NA",#REF!)))</formula>
    </cfRule>
    <cfRule type="containsText" dxfId="304" priority="2442" operator="containsText" text="NA">
      <formula>NOT(ISERROR(SEARCH("NA",AK30)))</formula>
    </cfRule>
    <cfRule type="containsText" dxfId="303" priority="2443" operator="containsText" text="Pending">
      <formula>NOT(ISERROR(SEARCH("Pending",AK30)))</formula>
    </cfRule>
    <cfRule type="containsText" dxfId="302" priority="2444" operator="containsText" text="Done">
      <formula>NOT(ISERROR(SEARCH("Done",AK30)))</formula>
    </cfRule>
    <cfRule type="containsText" dxfId="301" priority="2445" operator="containsText" text="NA">
      <formula>NOT(ISERROR(SEARCH("NA",#REF!)))</formula>
    </cfRule>
    <cfRule type="containsText" dxfId="300" priority="2446" operator="containsText" text="Done">
      <formula>NOT(ISERROR(SEARCH("Done",#REF!)))</formula>
    </cfRule>
    <cfRule type="containsText" dxfId="299" priority="2447" operator="containsText" text="Pending">
      <formula>NOT(ISERROR(SEARCH("Pending",#REF!)))</formula>
    </cfRule>
    <cfRule type="containsText" dxfId="298" priority="2448" operator="containsText" text="NA">
      <formula>NOT(ISERROR(SEARCH("NA",#REF!)))</formula>
    </cfRule>
    <cfRule type="containsText" dxfId="297" priority="2449" operator="containsText" text="NA">
      <formula>NOT(ISERROR(SEARCH("NA",#REF!)))</formula>
    </cfRule>
    <cfRule type="containsText" dxfId="296" priority="2450" operator="containsText" text="Done">
      <formula>NOT(ISERROR(SEARCH("Done",#REF!)))</formula>
    </cfRule>
    <cfRule type="containsText" dxfId="295" priority="2451" operator="containsText" text="Pending">
      <formula>NOT(ISERROR(SEARCH("Pending",#REF!)))</formula>
    </cfRule>
    <cfRule type="containsText" dxfId="294" priority="2452" operator="containsText" text="NA">
      <formula>NOT(ISERROR(SEARCH("NA",#REF!)))</formula>
    </cfRule>
    <cfRule type="containsText" dxfId="293" priority="2453" operator="containsText" text="NA">
      <formula>NOT(ISERROR(SEARCH("NA",#REF!)))</formula>
    </cfRule>
    <cfRule type="containsText" dxfId="292" priority="2454" operator="containsText" text="Done">
      <formula>NOT(ISERROR(SEARCH("Done",#REF!)))</formula>
    </cfRule>
    <cfRule type="containsText" dxfId="291" priority="2455" operator="containsText" text="Pending">
      <formula>NOT(ISERROR(SEARCH("Pending",#REF!)))</formula>
    </cfRule>
    <cfRule type="containsText" dxfId="290" priority="2456" operator="containsText" text="NA">
      <formula>NOT(ISERROR(SEARCH("NA",#REF!)))</formula>
    </cfRule>
    <cfRule type="containsText" dxfId="289" priority="2457" operator="containsText" text="NA">
      <formula>NOT(ISERROR(SEARCH("NA",#REF!)))</formula>
    </cfRule>
    <cfRule type="containsText" dxfId="288" priority="2458" operator="containsText" text="Done">
      <formula>NOT(ISERROR(SEARCH("Done",#REF!)))</formula>
    </cfRule>
    <cfRule type="containsText" dxfId="287" priority="2459" operator="containsText" text="Pending">
      <formula>NOT(ISERROR(SEARCH("Pending",#REF!)))</formula>
    </cfRule>
    <cfRule type="containsText" dxfId="286" priority="2460" operator="containsText" text="NA">
      <formula>NOT(ISERROR(SEARCH("NA",#REF!)))</formula>
    </cfRule>
    <cfRule type="containsText" dxfId="285" priority="2461" operator="containsText" text="Done">
      <formula>NOT(ISERROR(SEARCH("Done",#REF!)))</formula>
    </cfRule>
    <cfRule type="containsText" dxfId="284" priority="2462" operator="containsText" text="Pending">
      <formula>NOT(ISERROR(SEARCH("Pending",#REF!)))</formula>
    </cfRule>
    <cfRule type="containsText" dxfId="283" priority="2463" operator="containsText" text="NA">
      <formula>NOT(ISERROR(SEARCH("NA",#REF!)))</formula>
    </cfRule>
    <cfRule type="containsText" dxfId="282" priority="2464" operator="containsText" text="NA">
      <formula>NOT(ISERROR(SEARCH("NA",#REF!)))</formula>
    </cfRule>
    <cfRule type="containsText" dxfId="281" priority="2465" operator="containsText" text="Done">
      <formula>NOT(ISERROR(SEARCH("Done",#REF!)))</formula>
    </cfRule>
    <cfRule type="containsText" dxfId="280" priority="2466" operator="containsText" text="Pending">
      <formula>NOT(ISERROR(SEARCH("Pending",#REF!)))</formula>
    </cfRule>
    <cfRule type="containsText" dxfId="279" priority="2467" operator="containsText" text="NA">
      <formula>NOT(ISERROR(SEARCH("NA",#REF!)))</formula>
    </cfRule>
    <cfRule type="containsText" dxfId="278" priority="2468" operator="containsText" text="NA">
      <formula>NOT(ISERROR(SEARCH("NA",AK30)))</formula>
    </cfRule>
    <cfRule type="containsText" dxfId="277" priority="2469" operator="containsText" text="Done">
      <formula>NOT(ISERROR(SEARCH("Done",AK30)))</formula>
    </cfRule>
    <cfRule type="containsText" dxfId="276" priority="2470" operator="containsText" text="NA">
      <formula>NOT(ISERROR(SEARCH("NA",#REF!)))</formula>
    </cfRule>
    <cfRule type="containsText" dxfId="275" priority="2471" operator="containsText" text="Done">
      <formula>NOT(ISERROR(SEARCH("Done",#REF!)))</formula>
    </cfRule>
    <cfRule type="containsText" dxfId="274" priority="2472" operator="containsText" text="Pending">
      <formula>NOT(ISERROR(SEARCH("Pending",#REF!)))</formula>
    </cfRule>
    <cfRule type="containsText" dxfId="273" priority="2473" operator="containsText" text="NA">
      <formula>NOT(ISERROR(SEARCH("NA",#REF!)))</formula>
    </cfRule>
    <cfRule type="containsText" dxfId="272" priority="2474" operator="containsText" text="NA">
      <formula>NOT(ISERROR(SEARCH("NA",AK30)))</formula>
    </cfRule>
    <cfRule type="containsText" dxfId="271" priority="2475" operator="containsText" text="Pending">
      <formula>NOT(ISERROR(SEARCH("Pending",AK30)))</formula>
    </cfRule>
    <cfRule type="containsText" dxfId="270" priority="2476" operator="containsText" text="Done">
      <formula>NOT(ISERROR(SEARCH("Done",AK30)))</formula>
    </cfRule>
    <cfRule type="containsText" dxfId="269" priority="2477" operator="containsText" text="NA">
      <formula>NOT(ISERROR(SEARCH("NA",#REF!)))</formula>
    </cfRule>
    <cfRule type="containsText" dxfId="268" priority="2478" operator="containsText" text="Done">
      <formula>NOT(ISERROR(SEARCH("Done",#REF!)))</formula>
    </cfRule>
    <cfRule type="containsText" dxfId="267" priority="2479" operator="containsText" text="Pending">
      <formula>NOT(ISERROR(SEARCH("Pending",#REF!)))</formula>
    </cfRule>
    <cfRule type="containsText" dxfId="266" priority="2480" operator="containsText" text="NA">
      <formula>NOT(ISERROR(SEARCH("NA",#REF!)))</formula>
    </cfRule>
    <cfRule type="containsText" dxfId="265" priority="2481" operator="containsText" text="NA">
      <formula>NOT(ISERROR(SEARCH("NA",AK30)))</formula>
    </cfRule>
    <cfRule type="containsText" dxfId="264" priority="2482" operator="containsText" text="Done">
      <formula>NOT(ISERROR(SEARCH("Done",AK30)))</formula>
    </cfRule>
    <cfRule type="containsText" dxfId="263" priority="2483" operator="containsText" text="NA">
      <formula>NOT(ISERROR(SEARCH("NA",#REF!)))</formula>
    </cfRule>
    <cfRule type="containsText" dxfId="262" priority="2484" operator="containsText" text="Done">
      <formula>NOT(ISERROR(SEARCH("Done",#REF!)))</formula>
    </cfRule>
    <cfRule type="containsText" dxfId="261" priority="2485" operator="containsText" text="Pending">
      <formula>NOT(ISERROR(SEARCH("Pending",#REF!)))</formula>
    </cfRule>
    <cfRule type="containsText" dxfId="260" priority="2486" operator="containsText" text="NA">
      <formula>NOT(ISERROR(SEARCH("NA",#REF!)))</formula>
    </cfRule>
    <cfRule type="containsText" dxfId="259" priority="2487" operator="containsText" text="Done">
      <formula>NOT(ISERROR(SEARCH("Done",#REF!)))</formula>
    </cfRule>
    <cfRule type="containsText" dxfId="258" priority="2488" operator="containsText" text="Pending">
      <formula>NOT(ISERROR(SEARCH("Pending",#REF!)))</formula>
    </cfRule>
    <cfRule type="containsText" dxfId="257" priority="2277" operator="containsText" text="NA">
      <formula>NOT(ISERROR(SEARCH("NA",#REF!)))</formula>
    </cfRule>
    <cfRule type="containsText" dxfId="256" priority="2489" operator="containsText" text="NA">
      <formula>NOT(ISERROR(SEARCH("NA",#REF!)))</formula>
    </cfRule>
    <cfRule type="containsText" dxfId="255" priority="2278" operator="containsText" text="Done">
      <formula>NOT(ISERROR(SEARCH("Done",#REF!)))</formula>
    </cfRule>
    <cfRule type="containsText" dxfId="254" priority="2279" operator="containsText" text="Pending">
      <formula>NOT(ISERROR(SEARCH("Pending",#REF!)))</formula>
    </cfRule>
    <cfRule type="containsText" dxfId="253" priority="2490" operator="containsText" text="NA">
      <formula>NOT(ISERROR(SEARCH("NA",#REF!)))</formula>
    </cfRule>
    <cfRule type="containsText" dxfId="252" priority="2280" operator="containsText" text="NA">
      <formula>NOT(ISERROR(SEARCH("NA",#REF!)))</formula>
    </cfRule>
    <cfRule type="containsText" dxfId="251" priority="2281" operator="containsText" text="NA">
      <formula>NOT(ISERROR(SEARCH("NA",#REF!)))</formula>
    </cfRule>
    <cfRule type="containsText" dxfId="250" priority="2282" operator="containsText" text="Done">
      <formula>NOT(ISERROR(SEARCH("Done",#REF!)))</formula>
    </cfRule>
    <cfRule type="containsText" dxfId="249" priority="2283" operator="containsText" text="Pending">
      <formula>NOT(ISERROR(SEARCH("Pending",#REF!)))</formula>
    </cfRule>
    <cfRule type="containsText" dxfId="248" priority="2284" operator="containsText" text="NA">
      <formula>NOT(ISERROR(SEARCH("NA",#REF!)))</formula>
    </cfRule>
    <cfRule type="containsText" dxfId="247" priority="2285" operator="containsText" text="Done">
      <formula>NOT(ISERROR(SEARCH("Done",#REF!)))</formula>
    </cfRule>
    <cfRule type="containsText" dxfId="246" priority="2286" operator="containsText" text="NA">
      <formula>NOT(ISERROR(SEARCH("NA",AK30)))</formula>
    </cfRule>
    <cfRule type="containsText" dxfId="245" priority="2287" operator="containsText" text="Pending">
      <formula>NOT(ISERROR(SEARCH("Pending",AK30)))</formula>
    </cfRule>
    <cfRule type="containsText" dxfId="244" priority="2288" operator="containsText" text="Done">
      <formula>NOT(ISERROR(SEARCH("Done",AK30)))</formula>
    </cfRule>
    <cfRule type="containsText" dxfId="243" priority="2491" operator="containsText" text="Done">
      <formula>NOT(ISERROR(SEARCH("Done",#REF!)))</formula>
    </cfRule>
    <cfRule type="containsText" dxfId="242" priority="2492" operator="containsText" text="Pending">
      <formula>NOT(ISERROR(SEARCH("Pending",#REF!)))</formula>
    </cfRule>
    <cfRule type="containsText" dxfId="241" priority="2493" operator="containsText" text="NA">
      <formula>NOT(ISERROR(SEARCH("NA",#REF!)))</formula>
    </cfRule>
    <cfRule type="containsText" dxfId="240" priority="2494" operator="containsText" text="Done">
      <formula>NOT(ISERROR(SEARCH("Done",#REF!)))</formula>
    </cfRule>
    <cfRule type="containsText" dxfId="239" priority="2495" operator="containsText" text="Pending">
      <formula>NOT(ISERROR(SEARCH("Pending",#REF!)))</formula>
    </cfRule>
    <cfRule type="containsText" dxfId="238" priority="2496" operator="containsText" text="NA">
      <formula>NOT(ISERROR(SEARCH("NA",#REF!)))</formula>
    </cfRule>
    <cfRule type="containsText" dxfId="237" priority="2497" operator="containsText" text="NA">
      <formula>NOT(ISERROR(SEARCH("NA",#REF!)))</formula>
    </cfRule>
    <cfRule type="containsText" dxfId="236" priority="2498" operator="containsText" text="Done">
      <formula>NOT(ISERROR(SEARCH("Done",#REF!)))</formula>
    </cfRule>
    <cfRule type="containsText" dxfId="235" priority="2499" operator="containsText" text="Pending">
      <formula>NOT(ISERROR(SEARCH("Pending",#REF!)))</formula>
    </cfRule>
    <cfRule type="containsText" dxfId="234" priority="2500" operator="containsText" text="NA">
      <formula>NOT(ISERROR(SEARCH("NA",#REF!)))</formula>
    </cfRule>
    <cfRule type="containsText" dxfId="233" priority="2501" operator="containsText" text="NA">
      <formula>NOT(ISERROR(SEARCH("NA",AH92)))</formula>
    </cfRule>
    <cfRule type="containsText" dxfId="232" priority="2502" operator="containsText" text="Done">
      <formula>NOT(ISERROR(SEARCH("Done",AH85)))</formula>
    </cfRule>
    <cfRule type="containsText" dxfId="231" priority="2503" operator="containsText" text="Pending">
      <formula>NOT(ISERROR(SEARCH("Pending",AH85)))</formula>
    </cfRule>
    <cfRule type="containsText" dxfId="230" priority="2504" operator="containsText" text="NA">
      <formula>NOT(ISERROR(SEARCH("NA",AH85)))</formula>
    </cfRule>
    <cfRule type="containsText" dxfId="229" priority="2505" operator="containsText" text="NA">
      <formula>NOT(ISERROR(SEARCH("NA",AK30)))</formula>
    </cfRule>
    <cfRule type="containsText" dxfId="228" priority="2506" operator="containsText" text="Pending">
      <formula>NOT(ISERROR(SEARCH("Pending",AK30)))</formula>
    </cfRule>
    <cfRule type="containsText" dxfId="227" priority="2507" operator="containsText" text="Done">
      <formula>NOT(ISERROR(SEARCH("Done",AK30)))</formula>
    </cfRule>
    <cfRule type="containsText" dxfId="226" priority="2508" operator="containsText" text="NA">
      <formula>NOT(ISERROR(SEARCH("NA",#REF!)))</formula>
    </cfRule>
    <cfRule type="containsText" dxfId="225" priority="2509" operator="containsText" text="Done">
      <formula>NOT(ISERROR(SEARCH("Done",#REF!)))</formula>
    </cfRule>
    <cfRule type="containsText" dxfId="224" priority="2510" operator="containsText" text="Pending">
      <formula>NOT(ISERROR(SEARCH("Pending",#REF!)))</formula>
    </cfRule>
    <cfRule type="containsText" dxfId="223" priority="2512" operator="containsText" text="NA">
      <formula>NOT(ISERROR(SEARCH("NA",AH55)))</formula>
    </cfRule>
    <cfRule type="containsText" dxfId="222" priority="2513" operator="containsText" text="Done">
      <formula>NOT(ISERROR(SEARCH("Done",AH53)))</formula>
    </cfRule>
    <cfRule type="containsText" dxfId="221" priority="2514" operator="containsText" text="Pending">
      <formula>NOT(ISERROR(SEARCH("Pending",AH53)))</formula>
    </cfRule>
    <cfRule type="containsText" dxfId="220" priority="2515" operator="containsText" text="NA">
      <formula>NOT(ISERROR(SEARCH("NA",AH53)))</formula>
    </cfRule>
    <cfRule type="containsText" dxfId="219" priority="2516" operator="containsText" text="NA">
      <formula>NOT(ISERROR(SEARCH("NA",#REF!)))</formula>
    </cfRule>
    <cfRule type="containsText" dxfId="218" priority="2517" operator="containsText" text="Done">
      <formula>NOT(ISERROR(SEARCH("Done",#REF!)))</formula>
    </cfRule>
    <cfRule type="containsText" dxfId="217" priority="2518" operator="containsText" text="Pending">
      <formula>NOT(ISERROR(SEARCH("Pending",#REF!)))</formula>
    </cfRule>
    <cfRule type="containsText" dxfId="216" priority="2519" operator="containsText" text="NA">
      <formula>NOT(ISERROR(SEARCH("NA",#REF!)))</formula>
    </cfRule>
    <cfRule type="containsText" dxfId="215" priority="2520" operator="containsText" text="Done">
      <formula>NOT(ISERROR(SEARCH("Done",#REF!)))</formula>
    </cfRule>
    <cfRule type="containsText" dxfId="214" priority="2521" operator="containsText" text="Pending">
      <formula>NOT(ISERROR(SEARCH("Pending",#REF!)))</formula>
    </cfRule>
    <cfRule type="containsText" dxfId="213" priority="2522" operator="containsText" text="NA">
      <formula>NOT(ISERROR(SEARCH("NA",#REF!)))</formula>
    </cfRule>
    <cfRule type="containsText" dxfId="212" priority="2523" operator="containsText" text="NA">
      <formula>NOT(ISERROR(SEARCH("NA",#REF!)))</formula>
    </cfRule>
    <cfRule type="containsText" dxfId="211" priority="2524" operator="containsText" text="Done">
      <formula>NOT(ISERROR(SEARCH("Done",#REF!)))</formula>
    </cfRule>
    <cfRule type="containsText" dxfId="210" priority="2525" operator="containsText" text="Pending">
      <formula>NOT(ISERROR(SEARCH("Pending",#REF!)))</formula>
    </cfRule>
    <cfRule type="containsText" dxfId="209" priority="2526" operator="containsText" text="NA">
      <formula>NOT(ISERROR(SEARCH("NA",#REF!)))</formula>
    </cfRule>
    <cfRule type="containsText" dxfId="208" priority="2527" operator="containsText" text="NA">
      <formula>NOT(ISERROR(SEARCH("NA",AK30)))</formula>
    </cfRule>
    <cfRule type="containsText" dxfId="207" priority="2528" operator="containsText" text="Done">
      <formula>NOT(ISERROR(SEARCH("Done",AK30)))</formula>
    </cfRule>
    <cfRule type="containsText" dxfId="206" priority="2529" operator="containsText" text="NA">
      <formula>NOT(ISERROR(SEARCH("NA",#REF!)))</formula>
    </cfRule>
    <cfRule type="containsText" dxfId="205" priority="2530" operator="containsText" text="Done">
      <formula>NOT(ISERROR(SEARCH("Done",#REF!)))</formula>
    </cfRule>
    <cfRule type="containsText" dxfId="204" priority="2531" operator="containsText" text="Pending">
      <formula>NOT(ISERROR(SEARCH("Pending",#REF!)))</formula>
    </cfRule>
    <cfRule type="containsText" dxfId="203" priority="2532" operator="containsText" text="NA">
      <formula>NOT(ISERROR(SEARCH("NA",#REF!)))</formula>
    </cfRule>
    <cfRule type="containsText" dxfId="202" priority="2533" operator="containsText" text="NA">
      <formula>NOT(ISERROR(SEARCH("NA",AK30)))</formula>
    </cfRule>
    <cfRule type="containsText" dxfId="201" priority="2534" operator="containsText" text="Pending">
      <formula>NOT(ISERROR(SEARCH("Pending",AK30)))</formula>
    </cfRule>
    <cfRule type="containsText" dxfId="200" priority="2535" operator="containsText" text="Done">
      <formula>NOT(ISERROR(SEARCH("Done",AK30)))</formula>
    </cfRule>
    <cfRule type="containsText" dxfId="199" priority="2536" operator="containsText" text="NA">
      <formula>NOT(ISERROR(SEARCH("NA",#REF!)))</formula>
    </cfRule>
    <cfRule type="containsText" dxfId="198" priority="2537" operator="containsText" text="Done">
      <formula>NOT(ISERROR(SEARCH("Done",#REF!)))</formula>
    </cfRule>
    <cfRule type="containsText" dxfId="197" priority="2538" operator="containsText" text="Pending">
      <formula>NOT(ISERROR(SEARCH("Pending",#REF!)))</formula>
    </cfRule>
    <cfRule type="containsText" dxfId="196" priority="2539" operator="containsText" text="NA">
      <formula>NOT(ISERROR(SEARCH("NA",#REF!)))</formula>
    </cfRule>
    <cfRule type="containsText" dxfId="195" priority="2511" operator="containsText" text="NA">
      <formula>NOT(ISERROR(SEARCH("NA",#REF!)))</formula>
    </cfRule>
    <cfRule type="containsText" dxfId="194" priority="2540" operator="containsText" text="NA">
      <formula>NOT(ISERROR(SEARCH("NA",AK30)))</formula>
    </cfRule>
    <cfRule type="containsText" dxfId="193" priority="2221" operator="containsText" text="Pending">
      <formula>NOT(ISERROR(SEARCH("Pending",#REF!)))</formula>
    </cfRule>
    <cfRule type="containsText" dxfId="192" priority="2159" operator="containsText" text="Pending">
      <formula>NOT(ISERROR(SEARCH("Pending",#REF!)))</formula>
    </cfRule>
    <cfRule type="containsText" dxfId="191" priority="2220" operator="containsText" text="Done">
      <formula>NOT(ISERROR(SEARCH("Done",#REF!)))</formula>
    </cfRule>
    <cfRule type="containsText" dxfId="190" priority="2541" operator="containsText" text="Done">
      <formula>NOT(ISERROR(SEARCH("Done",AK30)))</formula>
    </cfRule>
    <cfRule type="containsText" dxfId="189" priority="2542" operator="containsText" text="NA">
      <formula>NOT(ISERROR(SEARCH("NA",#REF!)))</formula>
    </cfRule>
    <cfRule type="containsText" dxfId="188" priority="2543" operator="containsText" text="Done">
      <formula>NOT(ISERROR(SEARCH("Done",#REF!)))</formula>
    </cfRule>
    <cfRule type="containsText" dxfId="187" priority="2544" operator="containsText" text="Pending">
      <formula>NOT(ISERROR(SEARCH("Pending",#REF!)))</formula>
    </cfRule>
    <cfRule type="containsText" dxfId="186" priority="2545" operator="containsText" text="NA">
      <formula>NOT(ISERROR(SEARCH("NA",#REF!)))</formula>
    </cfRule>
    <cfRule type="containsText" dxfId="185" priority="2546" operator="containsText" text="NA">
      <formula>NOT(ISERROR(SEARCH("NA",#REF!)))</formula>
    </cfRule>
    <cfRule type="containsText" dxfId="184" priority="2547" operator="containsText" text="Done">
      <formula>NOT(ISERROR(SEARCH("Done",#REF!)))</formula>
    </cfRule>
    <cfRule type="containsText" dxfId="183" priority="2548" operator="containsText" text="Pending">
      <formula>NOT(ISERROR(SEARCH("Pending",#REF!)))</formula>
    </cfRule>
    <cfRule type="containsText" dxfId="182" priority="2219" operator="containsText" text="NA">
      <formula>NOT(ISERROR(SEARCH("NA",#REF!)))</formula>
    </cfRule>
    <cfRule type="containsText" dxfId="181" priority="2218" operator="containsText" text="NA">
      <formula>NOT(ISERROR(SEARCH("NA",#REF!)))</formula>
    </cfRule>
    <cfRule type="containsText" dxfId="180" priority="2217" operator="containsText" text="Pending">
      <formula>NOT(ISERROR(SEARCH("Pending",#REF!)))</formula>
    </cfRule>
    <cfRule type="containsText" dxfId="179" priority="2216" operator="containsText" text="Done">
      <formula>NOT(ISERROR(SEARCH("Done",#REF!)))</formula>
    </cfRule>
    <cfRule type="containsText" dxfId="178" priority="2215" operator="containsText" text="NA">
      <formula>NOT(ISERROR(SEARCH("NA",#REF!)))</formula>
    </cfRule>
    <cfRule type="containsText" dxfId="177" priority="2214" operator="containsText" text="NA">
      <formula>NOT(ISERROR(SEARCH("NA",#REF!)))</formula>
    </cfRule>
    <cfRule type="containsText" dxfId="176" priority="2289" operator="containsText" text="NA">
      <formula>NOT(ISERROR(SEARCH("NA",#REF!)))</formula>
    </cfRule>
    <cfRule type="containsText" dxfId="175" priority="2290" operator="containsText" text="Done">
      <formula>NOT(ISERROR(SEARCH("Done",#REF!)))</formula>
    </cfRule>
    <cfRule type="containsText" dxfId="174" priority="2291" operator="containsText" text="Pending">
      <formula>NOT(ISERROR(SEARCH("Pending",#REF!)))</formula>
    </cfRule>
    <cfRule type="containsText" dxfId="173" priority="2292" operator="containsText" text="NA">
      <formula>NOT(ISERROR(SEARCH("NA",#REF!)))</formula>
    </cfRule>
    <cfRule type="containsText" dxfId="172" priority="2293" operator="containsText" text="Pending">
      <formula>NOT(ISERROR(SEARCH("Pending",#REF!)))</formula>
    </cfRule>
    <cfRule type="containsText" dxfId="171" priority="2213" operator="containsText" text="Pending">
      <formula>NOT(ISERROR(SEARCH("Pending",#REF!)))</formula>
    </cfRule>
    <cfRule type="containsText" dxfId="170" priority="2212" operator="containsText" text="Done">
      <formula>NOT(ISERROR(SEARCH("Done",#REF!)))</formula>
    </cfRule>
    <cfRule type="containsText" dxfId="169" priority="2211" operator="containsText" text="NA">
      <formula>NOT(ISERROR(SEARCH("NA",#REF!)))</formula>
    </cfRule>
    <cfRule type="containsText" dxfId="168" priority="2549" operator="containsText" text="NA">
      <formula>NOT(ISERROR(SEARCH("NA",#REF!)))</formula>
    </cfRule>
    <cfRule type="containsText" dxfId="167" priority="2550" operator="containsText" text="Done">
      <formula>NOT(ISERROR(SEARCH("Done",#REF!)))</formula>
    </cfRule>
    <cfRule type="containsText" dxfId="166" priority="2551" operator="containsText" text="Pending">
      <formula>NOT(ISERROR(SEARCH("Pending",#REF!)))</formula>
    </cfRule>
    <cfRule type="containsText" dxfId="165" priority="2552" operator="containsText" text="NA">
      <formula>NOT(ISERROR(SEARCH("NA",#REF!)))</formula>
    </cfRule>
    <cfRule type="containsText" dxfId="164" priority="2553" operator="containsText" text="NA">
      <formula>NOT(ISERROR(SEARCH("NA",#REF!)))</formula>
    </cfRule>
    <cfRule type="containsText" dxfId="163" priority="2554" operator="containsText" text="Done">
      <formula>NOT(ISERROR(SEARCH("Done",#REF!)))</formula>
    </cfRule>
    <cfRule type="containsText" dxfId="162" priority="2294" operator="containsText" text="NA">
      <formula>NOT(ISERROR(SEARCH("NA",#REF!)))</formula>
    </cfRule>
    <cfRule type="containsText" dxfId="161" priority="2295" operator="containsText" text="NA">
      <formula>NOT(ISERROR(SEARCH("NA",#REF!)))</formula>
    </cfRule>
    <cfRule type="containsText" dxfId="160" priority="2296" operator="containsText" text="Done">
      <formula>NOT(ISERROR(SEARCH("Done",#REF!)))</formula>
    </cfRule>
    <cfRule type="containsText" dxfId="159" priority="2555" operator="containsText" text="Pending">
      <formula>NOT(ISERROR(SEARCH("Pending",#REF!)))</formula>
    </cfRule>
    <cfRule type="containsText" dxfId="158" priority="2556" operator="containsText" text="NA">
      <formula>NOT(ISERROR(SEARCH("NA",#REF!)))</formula>
    </cfRule>
    <cfRule type="containsText" dxfId="157" priority="2297" operator="containsText" text="Pending">
      <formula>NOT(ISERROR(SEARCH("Pending",#REF!)))</formula>
    </cfRule>
    <cfRule type="containsText" dxfId="156" priority="2298" operator="containsText" text="NA">
      <formula>NOT(ISERROR(SEARCH("NA",#REF!)))</formula>
    </cfRule>
    <cfRule type="containsText" dxfId="155" priority="2299" operator="containsText" text="NA">
      <formula>NOT(ISERROR(SEARCH("NA",AK30)))</formula>
    </cfRule>
    <cfRule type="containsText" dxfId="154" priority="2300" operator="containsText" text="Done">
      <formula>NOT(ISERROR(SEARCH("Done",AK30)))</formula>
    </cfRule>
    <cfRule type="containsText" dxfId="153" priority="2301" operator="containsText" text="NA">
      <formula>NOT(ISERROR(SEARCH("NA",#REF!)))</formula>
    </cfRule>
    <cfRule type="containsText" dxfId="152" priority="2302" operator="containsText" text="Done">
      <formula>NOT(ISERROR(SEARCH("Done",#REF!)))</formula>
    </cfRule>
    <cfRule type="containsText" dxfId="151" priority="2303" operator="containsText" text="Pending">
      <formula>NOT(ISERROR(SEARCH("Pending",#REF!)))</formula>
    </cfRule>
    <cfRule type="containsText" dxfId="150" priority="2304" operator="containsText" text="NA">
      <formula>NOT(ISERROR(SEARCH("NA",#REF!)))</formula>
    </cfRule>
    <cfRule type="containsText" dxfId="149" priority="2210" operator="containsText" text="NA">
      <formula>NOT(ISERROR(SEARCH("NA",#REF!)))</formula>
    </cfRule>
    <cfRule type="containsText" dxfId="148" priority="2305" operator="containsText" text="NA">
      <formula>NOT(ISERROR(SEARCH("NA",AK30)))</formula>
    </cfRule>
    <cfRule type="containsText" dxfId="147" priority="2223" operator="containsText" text="Done">
      <formula>NOT(ISERROR(SEARCH("Done",#REF!)))</formula>
    </cfRule>
    <cfRule type="containsText" dxfId="146" priority="2436" operator="containsText" text="NA">
      <formula>NOT(ISERROR(SEARCH("NA",AK30)))</formula>
    </cfRule>
    <cfRule type="containsText" dxfId="145" priority="2307" operator="containsText" text="Done">
      <formula>NOT(ISERROR(SEARCH("Done",AK30)))</formula>
    </cfRule>
    <cfRule type="containsText" dxfId="144" priority="2308" operator="containsText" text="NA">
      <formula>NOT(ISERROR(SEARCH("NA",#REF!)))</formula>
    </cfRule>
    <cfRule type="containsText" dxfId="143" priority="2209" operator="containsText" text="Pending">
      <formula>NOT(ISERROR(SEARCH("Pending",#REF!)))</formula>
    </cfRule>
    <cfRule type="containsText" dxfId="142" priority="2208" operator="containsText" text="Done">
      <formula>NOT(ISERROR(SEARCH("Done",#REF!)))</formula>
    </cfRule>
    <cfRule type="containsText" dxfId="141" priority="2309" operator="containsText" text="Done">
      <formula>NOT(ISERROR(SEARCH("Done",#REF!)))</formula>
    </cfRule>
    <cfRule type="containsText" dxfId="140" priority="2310" operator="containsText" text="Pending">
      <formula>NOT(ISERROR(SEARCH("Pending",#REF!)))</formula>
    </cfRule>
    <cfRule type="containsText" dxfId="139" priority="2311" operator="containsText" text="NA">
      <formula>NOT(ISERROR(SEARCH("NA",#REF!)))</formula>
    </cfRule>
    <cfRule type="containsText" dxfId="138" priority="2312" operator="containsText" text="NA">
      <formula>NOT(ISERROR(SEARCH("NA",#REF!)))</formula>
    </cfRule>
    <cfRule type="containsText" dxfId="137" priority="2313" operator="containsText" text="Done">
      <formula>NOT(ISERROR(SEARCH("Done",#REF!)))</formula>
    </cfRule>
    <cfRule type="containsText" dxfId="136" priority="2207" operator="containsText" text="NA">
      <formula>NOT(ISERROR(SEARCH("NA",#REF!)))</formula>
    </cfRule>
    <cfRule type="containsText" dxfId="135" priority="2206" operator="containsText" text="Pending">
      <formula>NOT(ISERROR(SEARCH("Pending",#REF!)))</formula>
    </cfRule>
    <cfRule type="containsText" dxfId="134" priority="2205" operator="containsText" text="Done">
      <formula>NOT(ISERROR(SEARCH("Done",#REF!)))</formula>
    </cfRule>
    <cfRule type="containsText" dxfId="133" priority="2204" operator="containsText" text="NA">
      <formula>NOT(ISERROR(SEARCH("NA",#REF!)))</formula>
    </cfRule>
    <cfRule type="containsText" dxfId="132" priority="2203" operator="containsText" text="NA">
      <formula>NOT(ISERROR(SEARCH("NA",#REF!)))</formula>
    </cfRule>
    <cfRule type="containsText" dxfId="131" priority="2314" operator="containsText" text="Pending">
      <formula>NOT(ISERROR(SEARCH("Pending",#REF!)))</formula>
    </cfRule>
    <cfRule type="containsText" dxfId="130" priority="2315" operator="containsText" text="NA">
      <formula>NOT(ISERROR(SEARCH("NA",#REF!)))</formula>
    </cfRule>
    <cfRule type="containsText" dxfId="129" priority="2316" operator="containsText" text="NA">
      <formula>NOT(ISERROR(SEARCH("NA",AK30)))</formula>
    </cfRule>
    <cfRule type="containsText" dxfId="128" priority="2317" operator="containsText" text="Pending">
      <formula>NOT(ISERROR(SEARCH("Pending",AK30)))</formula>
    </cfRule>
    <cfRule type="containsText" dxfId="127" priority="2318" operator="containsText" text="Done">
      <formula>NOT(ISERROR(SEARCH("Done",AK30)))</formula>
    </cfRule>
    <cfRule type="containsText" dxfId="126" priority="2319" operator="containsText" text="NA">
      <formula>NOT(ISERROR(SEARCH("NA",#REF!)))</formula>
    </cfRule>
    <cfRule type="containsText" dxfId="125" priority="2202" operator="containsText" text="Pending">
      <formula>NOT(ISERROR(SEARCH("Pending",#REF!)))</formula>
    </cfRule>
    <cfRule type="containsText" dxfId="124" priority="2201" operator="containsText" text="Done">
      <formula>NOT(ISERROR(SEARCH("Done",#REF!)))</formula>
    </cfRule>
    <cfRule type="containsText" dxfId="123" priority="2200" operator="containsText" text="NA">
      <formula>NOT(ISERROR(SEARCH("NA",#REF!)))</formula>
    </cfRule>
    <cfRule type="containsText" dxfId="122" priority="2199" operator="containsText" text="NA">
      <formula>NOT(ISERROR(SEARCH("NA",#REF!)))</formula>
    </cfRule>
    <cfRule type="containsText" dxfId="121" priority="2198" operator="containsText" text="Pending">
      <formula>NOT(ISERROR(SEARCH("Pending",#REF!)))</formula>
    </cfRule>
    <cfRule type="containsText" dxfId="120" priority="2197" operator="containsText" text="Done">
      <formula>NOT(ISERROR(SEARCH("Done",#REF!)))</formula>
    </cfRule>
    <cfRule type="containsText" dxfId="119" priority="2196" operator="containsText" text="NA">
      <formula>NOT(ISERROR(SEARCH("NA",#REF!)))</formula>
    </cfRule>
    <cfRule type="containsText" dxfId="118" priority="2320" operator="containsText" text="Done">
      <formula>NOT(ISERROR(SEARCH("Done",#REF!)))</formula>
    </cfRule>
    <cfRule type="containsText" dxfId="117" priority="2321" operator="containsText" text="Pending">
      <formula>NOT(ISERROR(SEARCH("Pending",#REF!)))</formula>
    </cfRule>
    <cfRule type="containsText" dxfId="116" priority="2322" operator="containsText" text="NA">
      <formula>NOT(ISERROR(SEARCH("NA",#REF!)))</formula>
    </cfRule>
    <cfRule type="containsText" dxfId="115" priority="2323" operator="containsText" text="NA">
      <formula>NOT(ISERROR(SEARCH("NA",#REF!)))</formula>
    </cfRule>
    <cfRule type="containsText" dxfId="114" priority="2324" operator="containsText" text="Done">
      <formula>NOT(ISERROR(SEARCH("Done",#REF!)))</formula>
    </cfRule>
    <cfRule type="containsText" dxfId="113" priority="2195" operator="containsText" text="NA">
      <formula>NOT(ISERROR(SEARCH("NA",#REF!)))</formula>
    </cfRule>
    <cfRule type="containsText" dxfId="112" priority="2194" operator="containsText" text="Pending">
      <formula>NOT(ISERROR(SEARCH("Pending",#REF!)))</formula>
    </cfRule>
    <cfRule type="containsText" dxfId="111" priority="2193" operator="containsText" text="Done">
      <formula>NOT(ISERROR(SEARCH("Done",#REF!)))</formula>
    </cfRule>
    <cfRule type="containsText" dxfId="110" priority="2222" operator="containsText" text="NA">
      <formula>NOT(ISERROR(SEARCH("NA",#REF!)))</formula>
    </cfRule>
    <cfRule type="containsText" dxfId="109" priority="2192" operator="containsText" text="NA">
      <formula>NOT(ISERROR(SEARCH("NA",#REF!)))</formula>
    </cfRule>
    <cfRule type="containsText" dxfId="108" priority="2191" operator="containsText" text="Pending">
      <formula>NOT(ISERROR(SEARCH("Pending",#REF!)))</formula>
    </cfRule>
    <cfRule type="containsText" dxfId="107" priority="2190" operator="containsText" text="Done">
      <formula>NOT(ISERROR(SEARCH("Done",#REF!)))</formula>
    </cfRule>
    <cfRule type="containsText" dxfId="106" priority="2189" operator="containsText" text="NA">
      <formula>NOT(ISERROR(SEARCH("NA",#REF!)))</formula>
    </cfRule>
    <cfRule type="containsText" dxfId="105" priority="2187" operator="containsText" text="NA">
      <formula>NOT(ISERROR(SEARCH("NA",AK30)))</formula>
    </cfRule>
    <cfRule type="containsText" dxfId="104" priority="2325" operator="containsText" text="Pending">
      <formula>NOT(ISERROR(SEARCH("Pending",#REF!)))</formula>
    </cfRule>
    <cfRule type="containsText" dxfId="103" priority="2326" operator="containsText" text="NA">
      <formula>NOT(ISERROR(SEARCH("NA",#REF!)))</formula>
    </cfRule>
    <cfRule type="containsText" dxfId="102" priority="2327" operator="containsText" text="NA">
      <formula>NOT(ISERROR(SEARCH("NA",#REF!)))</formula>
    </cfRule>
    <cfRule type="containsText" dxfId="101" priority="2186" operator="containsText" text="NA">
      <formula>NOT(ISERROR(SEARCH("NA",#REF!)))</formula>
    </cfRule>
    <cfRule type="containsText" dxfId="100" priority="2185" operator="containsText" text="NA">
      <formula>NOT(ISERROR(SEARCH("NA",#REF!)))</formula>
    </cfRule>
    <cfRule type="containsText" dxfId="99" priority="2184" operator="containsText" text="Pending">
      <formula>NOT(ISERROR(SEARCH("Pending",#REF!)))</formula>
    </cfRule>
    <cfRule type="containsText" dxfId="98" priority="2183" operator="containsText" text="Done">
      <formula>NOT(ISERROR(SEARCH("Done",#REF!)))</formula>
    </cfRule>
    <cfRule type="containsText" dxfId="97" priority="2182" operator="containsText" text="NA">
      <formula>NOT(ISERROR(SEARCH("NA",#REF!)))</formula>
    </cfRule>
    <cfRule type="containsText" dxfId="96" priority="2181" operator="containsText" text="Pending">
      <formula>NOT(ISERROR(SEARCH("Pending",#REF!)))</formula>
    </cfRule>
    <cfRule type="containsText" dxfId="95" priority="2328" operator="containsText" text="Done">
      <formula>NOT(ISERROR(SEARCH("Done",#REF!)))</formula>
    </cfRule>
    <cfRule type="containsText" dxfId="94" priority="2329" operator="containsText" text="Pending">
      <formula>NOT(ISERROR(SEARCH("Pending",#REF!)))</formula>
    </cfRule>
    <cfRule type="containsText" dxfId="93" priority="2158" operator="containsText" text="Done">
      <formula>NOT(ISERROR(SEARCH("Done",#REF!)))</formula>
    </cfRule>
    <cfRule type="containsText" dxfId="92" priority="2157" operator="containsText" text="NA">
      <formula>NOT(ISERROR(SEARCH("NA",#REF!)))</formula>
    </cfRule>
    <cfRule type="containsText" dxfId="91" priority="2180" operator="containsText" text="Done">
      <formula>NOT(ISERROR(SEARCH("Done",#REF!)))</formula>
    </cfRule>
    <cfRule type="containsText" dxfId="90" priority="2179" operator="containsText" text="NA">
      <formula>NOT(ISERROR(SEARCH("NA",#REF!)))</formula>
    </cfRule>
    <cfRule type="containsText" dxfId="89" priority="2178" operator="containsText" text="NA">
      <formula>NOT(ISERROR(SEARCH("NA",#REF!)))</formula>
    </cfRule>
    <cfRule type="containsText" dxfId="88" priority="2177" operator="containsText" text="Pending">
      <formula>NOT(ISERROR(SEARCH("Pending",#REF!)))</formula>
    </cfRule>
    <cfRule type="containsText" dxfId="87" priority="2176" operator="containsText" text="Done">
      <formula>NOT(ISERROR(SEARCH("Done",#REF!)))</formula>
    </cfRule>
    <cfRule type="containsText" dxfId="86" priority="2175" operator="containsText" text="NA">
      <formula>NOT(ISERROR(SEARCH("NA",#REF!)))</formula>
    </cfRule>
    <cfRule type="containsText" dxfId="85" priority="2156" operator="containsText" text="NA">
      <formula>NOT(ISERROR(SEARCH("NA",#REF!)))</formula>
    </cfRule>
    <cfRule type="containsText" dxfId="84" priority="2174" operator="containsText" text="NA">
      <formula>NOT(ISERROR(SEARCH("NA",#REF!)))</formula>
    </cfRule>
    <cfRule type="containsText" dxfId="83" priority="2173" operator="containsText" text="Pending">
      <formula>NOT(ISERROR(SEARCH("Pending",#REF!)))</formula>
    </cfRule>
    <cfRule type="containsText" dxfId="82" priority="2330" operator="containsText" text="NA">
      <formula>NOT(ISERROR(SEARCH("NA",#REF!)))</formula>
    </cfRule>
    <cfRule type="containsText" dxfId="81" priority="2155" operator="containsText" text="Pending">
      <formula>NOT(ISERROR(SEARCH("Pending",#REF!)))</formula>
    </cfRule>
    <cfRule type="containsText" dxfId="80" priority="2154" operator="containsText" text="Done">
      <formula>NOT(ISERROR(SEARCH("Done",#REF!)))</formula>
    </cfRule>
    <cfRule type="containsText" dxfId="79" priority="2153" operator="containsText" text="NA">
      <formula>NOT(ISERROR(SEARCH("NA",#REF!)))</formula>
    </cfRule>
    <cfRule type="containsText" dxfId="78" priority="2152" operator="containsText" text="NA">
      <formula>NOT(ISERROR(SEARCH("NA",#REF!)))</formula>
    </cfRule>
    <cfRule type="containsText" dxfId="77" priority="2151" operator="containsText" text="Pending">
      <formula>NOT(ISERROR(SEARCH("Pending",#REF!)))</formula>
    </cfRule>
    <cfRule type="containsText" dxfId="76" priority="2150" operator="containsText" text="Done">
      <formula>NOT(ISERROR(SEARCH("Done",#REF!)))</formula>
    </cfRule>
    <cfRule type="containsText" dxfId="75" priority="2149" operator="containsText" text="NA">
      <formula>NOT(ISERROR(SEARCH("NA",#REF!)))</formula>
    </cfRule>
    <cfRule type="containsText" dxfId="74" priority="2148" operator="containsText" text="NA">
      <formula>NOT(ISERROR(SEARCH("NA",#REF!)))</formula>
    </cfRule>
    <cfRule type="containsText" dxfId="73" priority="2147" operator="containsText" text="Pending">
      <formula>NOT(ISERROR(SEARCH("Pending",#REF!)))</formula>
    </cfRule>
    <cfRule type="containsText" dxfId="72" priority="2146" operator="containsText" text="Done">
      <formula>NOT(ISERROR(SEARCH("Done",#REF!)))</formula>
    </cfRule>
    <cfRule type="containsText" dxfId="71" priority="2172" operator="containsText" text="Done">
      <formula>NOT(ISERROR(SEARCH("Done",#REF!)))</formula>
    </cfRule>
    <cfRule type="containsText" dxfId="70" priority="2171" operator="containsText" text="NA">
      <formula>NOT(ISERROR(SEARCH("NA",#REF!)))</formula>
    </cfRule>
    <cfRule type="containsText" dxfId="69" priority="2170" operator="containsText" text="Pending">
      <formula>NOT(ISERROR(SEARCH("Pending",#REF!)))</formula>
    </cfRule>
    <cfRule type="containsText" dxfId="68" priority="2169" operator="containsText" text="Done">
      <formula>NOT(ISERROR(SEARCH("Done",#REF!)))</formula>
    </cfRule>
    <cfRule type="containsText" dxfId="67" priority="2168" operator="containsText" text="NA">
      <formula>NOT(ISERROR(SEARCH("NA",#REF!)))</formula>
    </cfRule>
    <cfRule type="containsText" dxfId="66" priority="2167" operator="containsText" text="NA">
      <formula>NOT(ISERROR(SEARCH("NA",#REF!)))</formula>
    </cfRule>
    <cfRule type="containsText" dxfId="65" priority="2126" operator="containsText" text="NA">
      <formula>NOT(ISERROR(SEARCH("NA",#REF!)))</formula>
    </cfRule>
    <cfRule type="containsText" dxfId="64" priority="2331" operator="containsText" text="NA">
      <formula>NOT(ISERROR(SEARCH("NA",#REF!)))</formula>
    </cfRule>
    <cfRule type="containsText" dxfId="63" priority="2332" operator="containsText" text="Done">
      <formula>NOT(ISERROR(SEARCH("Done",#REF!)))</formula>
    </cfRule>
    <cfRule type="containsText" dxfId="62" priority="2306" operator="containsText" text="Pending">
      <formula>NOT(ISERROR(SEARCH("Pending",AK30)))</formula>
    </cfRule>
  </conditionalFormatting>
  <conditionalFormatting sqref="AK80:AL80">
    <cfRule type="containsText" dxfId="61" priority="42" operator="containsText" text="Pending">
      <formula>NOT(ISERROR(SEARCH("Pending",#REF!)))</formula>
    </cfRule>
    <cfRule type="containsText" dxfId="60" priority="43" operator="containsText" text="NA">
      <formula>NOT(ISERROR(SEARCH("NA",#REF!)))</formula>
    </cfRule>
    <cfRule type="containsText" dxfId="59" priority="44" operator="containsText" text="Done">
      <formula>NOT(ISERROR(SEARCH("Done",#REF!)))</formula>
    </cfRule>
    <cfRule type="containsText" dxfId="58" priority="40" operator="containsText" text="Pending">
      <formula>NOT(ISERROR(SEARCH("Pending",#REF!)))</formula>
    </cfRule>
    <cfRule type="containsText" dxfId="57" priority="37" operator="containsText" text="NA">
      <formula>NOT(ISERROR(SEARCH("NA",AK80)))</formula>
    </cfRule>
    <cfRule type="containsText" dxfId="56" priority="38" operator="containsText" text="Done">
      <formula>NOT(ISERROR(SEARCH("Done",AK80)))</formula>
    </cfRule>
    <cfRule type="containsText" dxfId="55" priority="39" operator="containsText" text="Done">
      <formula>NOT(ISERROR(SEARCH("Done",#REF!)))</formula>
    </cfRule>
    <cfRule type="containsText" dxfId="54" priority="41" operator="containsText" text="NA">
      <formula>NOT(ISERROR(SEARCH("NA",#REF!)))</formula>
    </cfRule>
  </conditionalFormatting>
  <conditionalFormatting sqref="AK80:AL81">
    <cfRule type="containsText" dxfId="53" priority="52" operator="containsText" text="Done">
      <formula>NOT(ISERROR(SEARCH("Done",#REF!)))</formula>
    </cfRule>
    <cfRule type="containsText" dxfId="52" priority="51" operator="containsText" text="NA">
      <formula>NOT(ISERROR(SEARCH("NA",#REF!)))</formula>
    </cfRule>
    <cfRule type="containsText" dxfId="51" priority="50" operator="containsText" text="Pending">
      <formula>NOT(ISERROR(SEARCH("Pending",#REF!)))</formula>
    </cfRule>
    <cfRule type="containsText" dxfId="50" priority="49" operator="containsText" text="NA">
      <formula>NOT(ISERROR(SEARCH("NA",#REF!)))</formula>
    </cfRule>
    <cfRule type="containsText" dxfId="49" priority="48" operator="containsText" text="Pending">
      <formula>NOT(ISERROR(SEARCH("Pending",#REF!)))</formula>
    </cfRule>
    <cfRule type="containsText" dxfId="48" priority="45" operator="containsText" text="NA">
      <formula>NOT(ISERROR(SEARCH("NA",AK80)))</formula>
    </cfRule>
    <cfRule type="containsText" dxfId="47" priority="47" operator="containsText" text="Done">
      <formula>NOT(ISERROR(SEARCH("Done",#REF!)))</formula>
    </cfRule>
    <cfRule type="containsText" dxfId="46" priority="46" operator="containsText" text="Done">
      <formula>NOT(ISERROR(SEARCH("Done",AK80)))</formula>
    </cfRule>
  </conditionalFormatting>
  <conditionalFormatting sqref="AK82:AL83">
    <cfRule type="containsText" dxfId="45" priority="53" operator="containsText" text="NA">
      <formula>NOT(ISERROR(SEARCH("NA",AK82)))</formula>
    </cfRule>
    <cfRule type="containsText" dxfId="44" priority="54" operator="containsText" text="Done">
      <formula>NOT(ISERROR(SEARCH("Done",AK82)))</formula>
    </cfRule>
    <cfRule type="containsText" dxfId="43" priority="55" operator="containsText" text="Done">
      <formula>NOT(ISERROR(SEARCH("Done",#REF!)))</formula>
    </cfRule>
    <cfRule type="containsText" dxfId="42" priority="56" operator="containsText" text="Pending">
      <formula>NOT(ISERROR(SEARCH("Pending",#REF!)))</formula>
    </cfRule>
    <cfRule type="containsText" dxfId="41" priority="57" operator="containsText" text="NA">
      <formula>NOT(ISERROR(SEARCH("NA",#REF!)))</formula>
    </cfRule>
    <cfRule type="containsText" dxfId="40" priority="58" operator="containsText" text="Pending">
      <formula>NOT(ISERROR(SEARCH("Pending",#REF!)))</formula>
    </cfRule>
    <cfRule type="containsText" dxfId="39" priority="59" operator="containsText" text="NA">
      <formula>NOT(ISERROR(SEARCH("NA",#REF!)))</formula>
    </cfRule>
    <cfRule type="containsText" dxfId="38" priority="60" operator="containsText" text="Done">
      <formula>NOT(ISERROR(SEARCH("Done",#REF!)))</formula>
    </cfRule>
  </conditionalFormatting>
  <conditionalFormatting sqref="AK102:AL65559">
    <cfRule type="containsText" dxfId="37" priority="159530" operator="containsText" text="Done">
      <formula>NOT(ISERROR(SEARCH("Done",#REF!)))</formula>
    </cfRule>
    <cfRule type="containsText" dxfId="36" priority="159531" operator="containsText" text="Pending">
      <formula>NOT(ISERROR(SEARCH("Pending",#REF!)))</formula>
    </cfRule>
    <cfRule type="containsText" dxfId="35" priority="159532" operator="containsText" text="NA">
      <formula>NOT(ISERROR(SEARCH("NA",#REF!)))</formula>
    </cfRule>
  </conditionalFormatting>
  <conditionalFormatting sqref="AL76:AL79">
    <cfRule type="containsText" dxfId="34" priority="951" operator="containsText" text="Pending">
      <formula>NOT(ISERROR(SEARCH("Pending",#REF!)))</formula>
    </cfRule>
    <cfRule type="containsText" dxfId="33" priority="952" operator="containsText" text="NA">
      <formula>NOT(ISERROR(SEARCH("NA",#REF!)))</formula>
    </cfRule>
    <cfRule type="containsText" dxfId="32" priority="953" operator="containsText" text="Done">
      <formula>NOT(ISERROR(SEARCH("Done",#REF!)))</formula>
    </cfRule>
  </conditionalFormatting>
  <conditionalFormatting sqref="AM102:AM65559">
    <cfRule type="containsText" dxfId="31" priority="125687" operator="containsText" text="NA">
      <formula>NOT(ISERROR(SEARCH("NA",AP102)))</formula>
    </cfRule>
    <cfRule type="containsText" dxfId="30" priority="125685" operator="containsText" text="Done">
      <formula>NOT(ISERROR(SEARCH("Done",AP102)))</formula>
    </cfRule>
    <cfRule type="containsText" dxfId="29" priority="125686" operator="containsText" text="Pending">
      <formula>NOT(ISERROR(SEARCH("Pending",AP102)))</formula>
    </cfRule>
  </conditionalFormatting>
  <conditionalFormatting sqref="AN102:AN65559">
    <cfRule type="containsText" dxfId="28" priority="129285" operator="containsText" text="NA">
      <formula>NOT(ISERROR(SEARCH("NA",AU102)))</formula>
    </cfRule>
    <cfRule type="containsText" dxfId="27" priority="129286" operator="containsText" text="Pending">
      <formula>NOT(ISERROR(SEARCH("Pending",AU102)))</formula>
    </cfRule>
    <cfRule type="containsText" dxfId="26" priority="129287" operator="containsText" text="Done">
      <formula>NOT(ISERROR(SEARCH("Done",AU102)))</formula>
    </cfRule>
  </conditionalFormatting>
  <conditionalFormatting sqref="BI4:BV4 BX4:CH4 CJ4:DF4">
    <cfRule type="containsText" dxfId="25" priority="124145" operator="containsText" text="Done">
      <formula>NOT(ISERROR(SEARCH("Done",BI4)))</formula>
    </cfRule>
    <cfRule type="containsText" dxfId="24" priority="124144" operator="containsText" text="NA">
      <formula>NOT(ISERROR(SEARCH("NA",BI4)))</formula>
    </cfRule>
    <cfRule type="containsText" dxfId="23" priority="124143" operator="containsText" text="Pending">
      <formula>NOT(ISERROR(SEARCH("Pending",BI4)))</formula>
    </cfRule>
  </conditionalFormatting>
  <conditionalFormatting sqref="BR1:CN1048576">
    <cfRule type="containsText" dxfId="22" priority="124141" operator="containsText" text="Incorrect">
      <formula>NOT(ISERROR(SEARCH("Incorrect",BR1)))</formula>
    </cfRule>
    <cfRule type="containsText" dxfId="21" priority="124142" operator="containsText" text="Correct">
      <formula>NOT(ISERROR(SEARCH("Correct",BR1)))</formula>
    </cfRule>
  </conditionalFormatting>
  <conditionalFormatting sqref="CP12:CP15">
    <cfRule type="containsText" dxfId="20" priority="109407" operator="containsText" text="Correct">
      <formula>NOT(ISERROR(SEARCH("Correct",CP12)))</formula>
    </cfRule>
    <cfRule type="containsText" dxfId="19" priority="109406" operator="containsText" text="Incorrect">
      <formula>NOT(ISERROR(SEARCH("Incorrect",CP12)))</formula>
    </cfRule>
  </conditionalFormatting>
  <conditionalFormatting sqref="CP50">
    <cfRule type="containsText" dxfId="18" priority="123900" operator="containsText" text="Correct">
      <formula>NOT(ISERROR(SEARCH("Correct",CP50)))</formula>
    </cfRule>
    <cfRule type="containsText" dxfId="17" priority="123899" operator="containsText" text="Incorrect">
      <formula>NOT(ISERROR(SEARCH("Incorrect",CP50)))</formula>
    </cfRule>
  </conditionalFormatting>
  <conditionalFormatting sqref="CP12:CV12">
    <cfRule type="containsText" dxfId="16" priority="109405" operator="containsText" text="Correct">
      <formula>NOT(ISERROR(SEARCH("Correct",CP12)))</formula>
    </cfRule>
    <cfRule type="containsText" dxfId="15" priority="109404" operator="containsText" text="Incorrect">
      <formula>NOT(ISERROR(SEARCH("Incorrect",CP12)))</formula>
    </cfRule>
  </conditionalFormatting>
  <conditionalFormatting sqref="CP13:CV13">
    <cfRule type="containsText" dxfId="14" priority="36611" operator="containsText" text="Correct">
      <formula>NOT(ISERROR(SEARCH("Correct",CP13)))</formula>
    </cfRule>
    <cfRule type="containsText" dxfId="13" priority="36610" operator="containsText" text="Incorrect">
      <formula>NOT(ISERROR(SEARCH("Incorrect",CP13)))</formula>
    </cfRule>
  </conditionalFormatting>
  <conditionalFormatting sqref="CP14:CV14">
    <cfRule type="containsText" dxfId="12" priority="36602" operator="containsText" text="Incorrect">
      <formula>NOT(ISERROR(SEARCH("Incorrect",CP14)))</formula>
    </cfRule>
    <cfRule type="containsText" dxfId="11" priority="36603" operator="containsText" text="Correct">
      <formula>NOT(ISERROR(SEARCH("Correct",CP14)))</formula>
    </cfRule>
  </conditionalFormatting>
  <conditionalFormatting sqref="CP15:CV15">
    <cfRule type="containsText" dxfId="10" priority="36595" operator="containsText" text="Correct">
      <formula>NOT(ISERROR(SEARCH("Correct",CP15)))</formula>
    </cfRule>
    <cfRule type="containsText" dxfId="9" priority="36594" operator="containsText" text="Incorrect">
      <formula>NOT(ISERROR(SEARCH("Incorrect",CP15)))</formula>
    </cfRule>
  </conditionalFormatting>
  <conditionalFormatting sqref="DK65:DM65">
    <cfRule type="containsText" dxfId="8" priority="119515" operator="containsText" text="NA">
      <formula>NOT(ISERROR(SEARCH("NA",#REF!)))</formula>
    </cfRule>
    <cfRule type="containsText" dxfId="7" priority="119516" operator="containsText" text="Incorrect">
      <formula>NOT(ISERROR(SEARCH("Incorrect",#REF!)))</formula>
    </cfRule>
    <cfRule type="beginsWith" dxfId="6" priority="119517" operator="beginsWith" text="Correct">
      <formula>LEFT(#REF!,LEN("Correct"))="Correct"</formula>
    </cfRule>
  </conditionalFormatting>
  <conditionalFormatting sqref="DK75:DM75">
    <cfRule type="beginsWith" dxfId="5" priority="119155" operator="beginsWith" text="Correct">
      <formula>LEFT(#REF!,LEN("Correct"))="Correct"</formula>
    </cfRule>
    <cfRule type="containsText" dxfId="4" priority="119153" operator="containsText" text="NA">
      <formula>NOT(ISERROR(SEARCH("NA",#REF!)))</formula>
    </cfRule>
    <cfRule type="containsText" dxfId="3" priority="119154" operator="containsText" text="Incorrect">
      <formula>NOT(ISERROR(SEARCH("Incorrect",#REF!)))</formula>
    </cfRule>
  </conditionalFormatting>
  <conditionalFormatting sqref="DK85:DM85">
    <cfRule type="beginsWith" dxfId="2" priority="77405" operator="beginsWith" text="Correct">
      <formula>LEFT(#REF!,LEN("Correct"))="Correct"</formula>
    </cfRule>
    <cfRule type="containsText" dxfId="1" priority="77403" operator="containsText" text="NA">
      <formula>NOT(ISERROR(SEARCH("NA",#REF!)))</formula>
    </cfRule>
    <cfRule type="containsText" dxfId="0" priority="77404" operator="containsText" text="Incorrect">
      <formula>NOT(ISERROR(SEARCH("Incorrect",#REF!)))</formula>
    </cfRule>
  </conditionalFormatting>
  <dataValidations count="2">
    <dataValidation type="list" allowBlank="1" showErrorMessage="1" errorTitle="The value you entered is not valid." error="The value entered violates data validation rules set in cell" sqref="CD95:CN95 N95:AI95 P93:AG93 AS7:AU7 AQ7 AR48:AU48 CY48:DD48 AY36:BA37 AW30:AZ32 CX98:DA99 AV35:AZ35 DC17:DD18 P34:S34 V34:AA34 W47:X47 CP38:CS39 CP46 CU48:CV48 CU28:CV28 CU33:CV33 CP28:CS28 CP33:CS33 AA17:AA18 P17:R17 X28:AG28 O96:AI97 BL52:BL53 BO16:BP18 CP17:CS18 CX17:DA18 CU17:CV18 CL17:CN17 BL98:BM100 BO98:BP100 O98:AG100 AI98:AI100 CP98:CS99 U17:Z17 O33:AI33 T27:U28 BS16:BV16 BR17:CB17 CD17:CJ17 AN100:AT100 CT9:CV9 AN16 AC34:AG34 AN27:AS29 AR43 BB37 BA52:BD53 AN48:AP48 BA50:BD50 BA48:BF48 P94:AH94 CP50 AW48 AW50:AW53 BL48:BP49 O93:O94 BL16:BM18 AN17:BF18 AN91:BF95 AN98:AU99 AV98:BF100 CU7:CV8 BC7:BD8 BF7:BF8 AR8:AU8 CY7:DA10 BO7:BP9 DC7:DD10 BL7:BM9 O16:Q16 BD27:BF32 CS19 AG19 AN33:BF33 DC33:DD34 AV34:BB34 CX33:DA34 CZ49:DA49 AV49:BF49 AN49:AU53 CX48:CX49 V16:AB16 CP48:CS49 AF49:AF54 CP54 CX54:DA54 BL54:BM54 BO54:BP54 AN30:AR32 AQ55 Q55:U55 CX57:DD57 BO57:BP57 BL57:BM57 BL38:BM40 AY38:AZ39 AX36:AX39 BO38:BP40 BO64:BP64 CP64 BL64:BM64 AF64 CX68:DD68 AN66:AU68 CP66:CV66 AW66:BF68 CP68:CS68 CU68:CV68 BL74:BM74 AI66:AI73 CP74 CX74:DA74 Y74 AF74 CT76:CT77 AN76:AU78 CP34:CV34 BO33:BP34 BC34:BF35 AN34:AU35 AI34 BL33:BM34 BO76:BP76 DC70:DD70 Z27:AG27 AQ16:BF16 AH80:AH81 AG29:AG32 AE18:AG18 AX27:BC28 X27 AN19:AW25 CX45:DA45 CU10:CV11 BC19:BF25 CP7:CS11 AK64:AL64 AC7:AG12 Z46:AG47 CZ38:DD39 AI86:AI94 AS31:AT32 CX37:CY39 BO84:BP84 CX84:DA84 CP84 BL84:BM84 BB31:BB32 AV86 CY87:DA87 DC87:DD87 AN86:AU87 AW86:BF87 CX88:DD89 CP87:CS89 AK86:AL90 CU87:CV89 BL87:BM87 BO87:BP87 W66:AD73 CY90:DA90 CP90:CP95 CX90:CX95 BL90:BM93 Q36:Y44 AE36:AE40 W27:W28 R45:AF45 AA36:AD36 AE19:AE25 AB18 AA13:AG15 AE29:AF30 CX46 AX57:BF59 AU57:AV59 AQ58:AQ60 AT58:AT59 AN57:AP60 DC60:DD61 AS57:AS59 AU60:AZ60 CX64:DA64 CP60:CV61 AX61:AZ63 AR60 AU61:AV61 AN61:AR61 W55:X63 AV67:AV69 BL68:BM68 BO68:BP68 CZ69:DD69 AS69:AU69 AX69:BF69 AN69:AQ69 AS38:AS43 CP70:CV70 AE70:AH73 AU45:BB45 CP45:CV45 DC45:DD45 CY11:DD12 AN7:AN12 AQ9:AU12 CU13:CV15 DC13:DD15 CP13:CS15 AN13:AU13 BL13:BM13 BO13:BP13 BC9:BF13 AV7:BB13 BF14 AN14:BC14 AC16:AG17 CX13:DA15 CT15 BB15:BF15 AU15:AW15 AN15:AR15 BL45:BM45 BO45:BP45 CX60:DA61 AK7:AL25 BB61:BB63 AN62:AV63 AI7:AI28 AF36:AG39 AX20:AZ25 AF20:AG25 CX26 CP26:CV26 AT26:AW28 AN26:AR26 BF26 AG89:AH89 CP78:CV78 AS80:AT82 AS83 CP83:CQ83 CX81:CX82 CR80:CS82 CP81:CP82 AS81:AV82 CR81:CV82 BL79:BM79 AU79:AU80 AG80:AG83 CP79:CS79 AK76:AL84 CX79:DA79 DC79:DD79 CU79:CV82 AV80:AW83 AU83 AR80:AR83 BO78:BP79 BF79:BF83 AR79:AS79 AN79:AQ83 Q46:U47 V46:X46 W30:W31 P7:P8 AB7:AB11 Z7:Z15 AA7:AA12 CX70:DA70 BL70:BM70 BO70:BP70 BO74:BP74 AN71:AV73 AX71:BF73 AT40:AT43 AQ41:AQ48 AR44:AT45 BC38:BF46 AU38:AU44 AV36:AV44 AX40:AZ44 BA38:BB44 P36:P64 AN38:AP46 O89 Q7:Y13 S19:X26 AC49:AE53 Y53:Y54 Q19:Q28 BM52:BP52 AA20:AB25 Y18:Z25 P86:P90 Q66:U73 AB29 AK48:AL54 Z86:AE89 AF86:AF90 AK27:AL34 CX7:CX12 V80:V84 AF81:AF84 Z81:AE83 Y81:Y84 AN88:BF89 AA37:AB44 X80:AF80 P66:P74 AE66:AG69 AN70:BF70 S27:S32 BB56 O9:P13 BA62:BA63 BC60:BF63 AI36:AI50 V66:V74 AK66:AL66 AK93:AL100 AG49:AG53 AK57:AL59 X31 AH43 AK36:AL45 AC18:AD25 AK69:AL74 O15:Y15 P14:Y14 T30:U32 X30:Y30 Z48:AB53 V49:W52 X48:Y52 Q48:W48 W53:X53 V53:V54 Q49:U53 AC48:AG48 Z29:Z30 AA30:AB30 V86:V90 Y86:Y90 BB80:BB83 W86:X89 AG86:AG88 O79:AH79 Q86:U89 Q80:U83 BO90:BP93 P80:P84 P76:AG78 W80:W83 X81:X83 AI76:AI84 AV79:BE79 AW76:BF78 P19:P32 O18:X18 R19:R32 Y26:AG26 Q61:U63 Q56:V60 Y56:Y64 V61:V64 Z55:AD63 AE62:AH63 AF40:AH40 AC37:AD40 Z35:Z44 AC41:AG44 AE55:AG61 AI52:AI64 AH57" xr:uid="{00F60079-00FF-4D9B-AF0B-002500BE004C}">
      <formula1>"   ,Done,Pending,NA"</formula1>
    </dataValidation>
    <dataValidation type="list" allowBlank="1" showInputMessage="1" showErrorMessage="1" error="The entered value violates the data validation rules set on the cell." prompt="Enter an item from the given list." sqref="CD93:CN94 BR93:CB94 BW16:CB16 CL18:CN18 CD98:CN100 BR98:CB100 CD18:CJ18 CK17:CK18 CD7:CN8 BR16 CD48:CN53 BR48:CB54 CD54:CE54 CL54:CM54 CD64:CE64 CL64:CM64 CD74:CE74 CL74:CM74 CD90:CE90 BR7:CB11 CD9:CJ11 CD16:CJ16 CD84:CE84 CL84:CM84 CD86:CN89 CL90:CM90 BR86:CB90 CD57:CN59 CD13:CN13 BR13:CB15 CJ14:CN15 BR57:CB64 CD62:CN63 BR18:CB34 CD19:CN25 CD27:CN34 BR76:CB84 CD76:CN79 BR66:CB74 CD66:CN73 BR37:CB46 CD37:CN46" xr:uid="{0015009B-0038-4A4E-B6C2-000000B7006E}">
      <formula1>"Correct,Incorrect,NA"</formula1>
    </dataValidation>
  </dataValidations>
  <pageMargins left="0.7" right="0.7" top="0.75" bottom="0.75" header="0.3" footer="0.3"/>
  <pageSetup paperSize="9" orientation="portrait"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BD56"/>
  <sheetViews>
    <sheetView showGridLines="0" workbookViewId="0">
      <pane xSplit="6" ySplit="2" topLeftCell="G3" activePane="bottomRight" state="frozen"/>
      <selection pane="topRight"/>
      <selection pane="bottomLeft"/>
      <selection pane="bottomRight" activeCell="A3" sqref="A3"/>
    </sheetView>
  </sheetViews>
  <sheetFormatPr defaultColWidth="9.140625" defaultRowHeight="15" x14ac:dyDescent="0.25"/>
  <cols>
    <col min="1" max="1" width="9.140625" style="3"/>
    <col min="2" max="2" width="16.28515625" style="3" customWidth="1"/>
    <col min="3" max="3" width="39.7109375" style="4" customWidth="1"/>
    <col min="4" max="4" width="12.28515625" style="3" bestFit="1" customWidth="1"/>
    <col min="5" max="5" width="10.42578125" style="3" bestFit="1"/>
    <col min="6" max="6" width="17.85546875" style="3" customWidth="1"/>
    <col min="7" max="7" width="13.28515625" style="3" customWidth="1"/>
    <col min="8" max="9" width="11.7109375" style="3" customWidth="1"/>
    <col min="10" max="10" width="12" style="3" customWidth="1"/>
    <col min="11" max="11" width="9.140625" style="5"/>
    <col min="12" max="12" width="11.42578125" style="5" customWidth="1"/>
    <col min="13" max="13" width="11.42578125" style="6" customWidth="1"/>
    <col min="14" max="14" width="10.7109375" style="3" customWidth="1"/>
    <col min="15" max="15" width="10.85546875" style="3" customWidth="1"/>
    <col min="16" max="24" width="9.140625" style="3"/>
    <col min="25" max="25" width="12.42578125" style="3" customWidth="1"/>
    <col min="26" max="27" width="9.140625" style="3"/>
    <col min="28" max="28" width="14.140625" style="3" bestFit="1"/>
    <col min="29" max="29" width="15.140625" style="3" bestFit="1"/>
    <col min="30" max="30" width="9.140625" style="3"/>
    <col min="31" max="32" width="11.7109375" style="3" bestFit="1"/>
    <col min="33" max="33" width="13" style="3" customWidth="1"/>
    <col min="34" max="34" width="13.140625" style="3" customWidth="1"/>
    <col min="35" max="35" width="10.7109375" style="3" bestFit="1"/>
    <col min="36" max="37" width="9.140625" style="3"/>
    <col min="38" max="38" width="12.42578125" style="3" customWidth="1"/>
    <col min="39" max="39" width="9.140625" style="3"/>
    <col min="40" max="40" width="12" style="3" customWidth="1"/>
    <col min="41" max="41" width="13.140625" style="3" customWidth="1"/>
    <col min="42" max="42" width="11.42578125" style="3" customWidth="1"/>
    <col min="43" max="43" width="11.85546875" style="3" customWidth="1"/>
    <col min="44" max="45" width="9.140625" style="3"/>
    <col min="46" max="46" width="12.140625" style="3" customWidth="1"/>
    <col min="47" max="47" width="13.28515625" style="3" bestFit="1" customWidth="1"/>
    <col min="48" max="48" width="14.85546875" style="3" customWidth="1"/>
    <col min="49" max="49" width="15.42578125" style="3" customWidth="1"/>
    <col min="50" max="50" width="14.28515625" style="3" customWidth="1"/>
    <col min="51" max="51" width="11.42578125" style="3" customWidth="1"/>
    <col min="52" max="52" width="16.42578125" style="3" customWidth="1"/>
    <col min="53" max="53" width="9.140625" style="3"/>
    <col min="54" max="54" width="14.28515625" style="3" customWidth="1"/>
    <col min="55" max="55" width="9.140625" style="3"/>
    <col min="56" max="56" width="12.85546875" style="3" customWidth="1"/>
    <col min="57" max="16384" width="9.140625" style="3"/>
  </cols>
  <sheetData>
    <row r="2" spans="1:56" ht="63.75" x14ac:dyDescent="0.25">
      <c r="A2" s="7" t="s">
        <v>370</v>
      </c>
      <c r="B2" s="7" t="s">
        <v>371</v>
      </c>
      <c r="C2" s="7" t="s">
        <v>372</v>
      </c>
      <c r="D2" s="7" t="s">
        <v>373</v>
      </c>
      <c r="E2" s="7" t="s">
        <v>374</v>
      </c>
      <c r="F2" s="7" t="s">
        <v>375</v>
      </c>
      <c r="G2" s="7" t="s">
        <v>450</v>
      </c>
      <c r="H2" s="7" t="s">
        <v>451</v>
      </c>
      <c r="I2" s="7" t="s">
        <v>452</v>
      </c>
      <c r="J2" s="8" t="s">
        <v>453</v>
      </c>
      <c r="K2" s="8" t="s">
        <v>376</v>
      </c>
      <c r="L2" s="9" t="s">
        <v>377</v>
      </c>
      <c r="M2" s="10" t="s">
        <v>378</v>
      </c>
      <c r="N2" s="11" t="s">
        <v>379</v>
      </c>
      <c r="O2" s="11" t="s">
        <v>380</v>
      </c>
      <c r="P2" s="11" t="s">
        <v>381</v>
      </c>
      <c r="Q2" s="11" t="s">
        <v>382</v>
      </c>
      <c r="R2" s="11" t="s">
        <v>383</v>
      </c>
      <c r="S2" s="11" t="s">
        <v>384</v>
      </c>
      <c r="T2" s="11" t="s">
        <v>385</v>
      </c>
      <c r="U2" s="11" t="s">
        <v>386</v>
      </c>
      <c r="V2" s="11" t="s">
        <v>387</v>
      </c>
      <c r="W2" s="11" t="s">
        <v>388</v>
      </c>
      <c r="X2" s="11" t="s">
        <v>389</v>
      </c>
      <c r="Y2" s="11" t="s">
        <v>390</v>
      </c>
      <c r="Z2" s="11" t="s">
        <v>391</v>
      </c>
      <c r="AA2" s="11" t="s">
        <v>392</v>
      </c>
      <c r="AB2" s="11" t="s">
        <v>454</v>
      </c>
      <c r="AC2" s="11" t="s">
        <v>393</v>
      </c>
      <c r="AE2" s="11" t="s">
        <v>455</v>
      </c>
      <c r="AF2" s="11" t="s">
        <v>394</v>
      </c>
      <c r="AG2" s="11" t="s">
        <v>456</v>
      </c>
      <c r="AH2" s="11" t="s">
        <v>395</v>
      </c>
      <c r="AI2" s="11" t="s">
        <v>457</v>
      </c>
      <c r="AJ2" s="11" t="s">
        <v>396</v>
      </c>
      <c r="AK2" s="11" t="s">
        <v>397</v>
      </c>
      <c r="AL2" s="11" t="s">
        <v>458</v>
      </c>
      <c r="AM2" s="11" t="s">
        <v>398</v>
      </c>
      <c r="AN2" s="11" t="s">
        <v>399</v>
      </c>
      <c r="AO2" s="11" t="s">
        <v>459</v>
      </c>
      <c r="AP2" s="11" t="s">
        <v>400</v>
      </c>
      <c r="AQ2" s="11" t="s">
        <v>401</v>
      </c>
      <c r="AR2" s="11" t="s">
        <v>460</v>
      </c>
      <c r="AS2" s="11" t="s">
        <v>402</v>
      </c>
      <c r="AT2" s="11" t="s">
        <v>403</v>
      </c>
      <c r="AU2" s="11" t="s">
        <v>461</v>
      </c>
      <c r="AV2" s="11" t="s">
        <v>404</v>
      </c>
      <c r="AW2" s="11" t="s">
        <v>405</v>
      </c>
      <c r="AX2" s="11" t="s">
        <v>462</v>
      </c>
      <c r="AY2" s="11" t="s">
        <v>406</v>
      </c>
      <c r="AZ2" s="11" t="s">
        <v>407</v>
      </c>
      <c r="BB2" s="12" t="s">
        <v>408</v>
      </c>
      <c r="BC2" s="12" t="s">
        <v>409</v>
      </c>
      <c r="BD2" s="12" t="s">
        <v>410</v>
      </c>
    </row>
    <row r="3" spans="1:56" x14ac:dyDescent="0.25">
      <c r="A3" s="13">
        <v>1</v>
      </c>
      <c r="B3" s="375" t="s">
        <v>135</v>
      </c>
      <c r="C3" s="14" t="s">
        <v>348</v>
      </c>
      <c r="D3" s="15" t="s">
        <v>416</v>
      </c>
      <c r="E3" s="15" t="s">
        <v>417</v>
      </c>
      <c r="F3" s="16" t="s">
        <v>135</v>
      </c>
      <c r="G3" s="17" t="s">
        <v>463</v>
      </c>
      <c r="H3" s="18" t="s">
        <v>464</v>
      </c>
      <c r="I3" s="18" t="s">
        <v>465</v>
      </c>
      <c r="J3" s="19">
        <v>45453</v>
      </c>
      <c r="K3" s="20" t="s">
        <v>140</v>
      </c>
      <c r="L3" s="21">
        <v>45453</v>
      </c>
      <c r="M3" s="22" t="s">
        <v>466</v>
      </c>
      <c r="N3" s="23" t="s">
        <v>140</v>
      </c>
      <c r="O3" s="23" t="s">
        <v>140</v>
      </c>
      <c r="P3" s="23" t="s">
        <v>140</v>
      </c>
      <c r="Q3" s="23" t="s">
        <v>140</v>
      </c>
      <c r="R3" s="23" t="s">
        <v>11</v>
      </c>
      <c r="S3" s="23" t="s">
        <v>140</v>
      </c>
      <c r="T3" s="23" t="s">
        <v>11</v>
      </c>
      <c r="U3" s="23" t="s">
        <v>11</v>
      </c>
      <c r="V3" s="23" t="s">
        <v>140</v>
      </c>
      <c r="W3" s="23" t="s">
        <v>140</v>
      </c>
      <c r="X3" s="23" t="s">
        <v>140</v>
      </c>
      <c r="Y3" s="23" t="s">
        <v>11</v>
      </c>
      <c r="Z3" s="23" t="s">
        <v>11</v>
      </c>
      <c r="AA3" s="23" t="s">
        <v>11</v>
      </c>
      <c r="AB3" s="23" t="s">
        <v>467</v>
      </c>
      <c r="AC3" s="23" t="s">
        <v>468</v>
      </c>
      <c r="AE3" s="24">
        <v>73205</v>
      </c>
      <c r="AF3" s="24">
        <v>80525</v>
      </c>
      <c r="AG3" s="23" t="s">
        <v>140</v>
      </c>
      <c r="AH3" s="23" t="s">
        <v>148</v>
      </c>
      <c r="AI3" s="24">
        <v>13310</v>
      </c>
      <c r="AJ3" s="23" t="s">
        <v>140</v>
      </c>
      <c r="AK3" s="23" t="s">
        <v>148</v>
      </c>
      <c r="AL3" s="23" t="s">
        <v>11</v>
      </c>
      <c r="AM3" s="23" t="s">
        <v>11</v>
      </c>
      <c r="AN3" s="23" t="s">
        <v>11</v>
      </c>
      <c r="AO3" s="23" t="s">
        <v>140</v>
      </c>
      <c r="AP3" s="23" t="s">
        <v>140</v>
      </c>
      <c r="AQ3" s="23" t="s">
        <v>140</v>
      </c>
      <c r="AR3" s="23" t="s">
        <v>140</v>
      </c>
      <c r="AS3" s="23" t="s">
        <v>140</v>
      </c>
      <c r="AT3" s="23" t="s">
        <v>140</v>
      </c>
      <c r="AU3" s="23" t="s">
        <v>11</v>
      </c>
      <c r="AV3" s="23" t="s">
        <v>11</v>
      </c>
      <c r="AW3" s="23" t="s">
        <v>11</v>
      </c>
      <c r="AX3" s="23" t="s">
        <v>140</v>
      </c>
      <c r="AY3" s="23" t="s">
        <v>140</v>
      </c>
      <c r="AZ3" s="23" t="s">
        <v>140</v>
      </c>
      <c r="BB3" s="25">
        <v>45565</v>
      </c>
      <c r="BC3" s="25" t="s">
        <v>147</v>
      </c>
      <c r="BD3" s="25" t="s">
        <v>11</v>
      </c>
    </row>
    <row r="4" spans="1:56" x14ac:dyDescent="0.25">
      <c r="A4" s="13">
        <f t="shared" ref="A4:A10" si="0">A3+1</f>
        <v>2</v>
      </c>
      <c r="B4" s="376"/>
      <c r="C4" s="14" t="s">
        <v>411</v>
      </c>
      <c r="D4" s="15" t="s">
        <v>11</v>
      </c>
      <c r="E4" s="15" t="s">
        <v>11</v>
      </c>
      <c r="F4" s="26" t="s">
        <v>11</v>
      </c>
      <c r="G4" s="27" t="s">
        <v>11</v>
      </c>
      <c r="H4" s="27" t="s">
        <v>11</v>
      </c>
      <c r="I4" s="27" t="s">
        <v>11</v>
      </c>
      <c r="J4" s="27" t="s">
        <v>11</v>
      </c>
      <c r="K4" s="23" t="s">
        <v>11</v>
      </c>
      <c r="L4" s="23" t="s">
        <v>11</v>
      </c>
      <c r="M4" s="28" t="s">
        <v>11</v>
      </c>
      <c r="N4" s="23" t="s">
        <v>11</v>
      </c>
      <c r="O4" s="23" t="s">
        <v>11</v>
      </c>
      <c r="P4" s="23" t="s">
        <v>11</v>
      </c>
      <c r="Q4" s="23" t="s">
        <v>11</v>
      </c>
      <c r="R4" s="23" t="s">
        <v>11</v>
      </c>
      <c r="S4" s="23" t="s">
        <v>11</v>
      </c>
      <c r="T4" s="23" t="s">
        <v>11</v>
      </c>
      <c r="U4" s="23" t="s">
        <v>11</v>
      </c>
      <c r="V4" s="23" t="s">
        <v>11</v>
      </c>
      <c r="W4" s="23" t="s">
        <v>11</v>
      </c>
      <c r="X4" s="23" t="s">
        <v>11</v>
      </c>
      <c r="Y4" s="23" t="s">
        <v>11</v>
      </c>
      <c r="Z4" s="23" t="s">
        <v>11</v>
      </c>
      <c r="AA4" s="23" t="s">
        <v>11</v>
      </c>
      <c r="AB4" s="23" t="s">
        <v>11</v>
      </c>
      <c r="AC4" s="23" t="s">
        <v>11</v>
      </c>
      <c r="AE4" s="23" t="s">
        <v>11</v>
      </c>
      <c r="AF4" s="23" t="s">
        <v>11</v>
      </c>
      <c r="AG4" s="23" t="s">
        <v>11</v>
      </c>
      <c r="AH4" s="23" t="s">
        <v>11</v>
      </c>
      <c r="AI4" s="23" t="s">
        <v>11</v>
      </c>
      <c r="AJ4" s="23" t="s">
        <v>11</v>
      </c>
      <c r="AK4" s="23" t="s">
        <v>11</v>
      </c>
      <c r="AL4" s="23" t="s">
        <v>11</v>
      </c>
      <c r="AM4" s="23" t="s">
        <v>11</v>
      </c>
      <c r="AN4" s="23" t="s">
        <v>11</v>
      </c>
      <c r="AO4" s="23" t="s">
        <v>11</v>
      </c>
      <c r="AP4" s="23" t="s">
        <v>11</v>
      </c>
      <c r="AQ4" s="23" t="s">
        <v>11</v>
      </c>
      <c r="AR4" s="23" t="s">
        <v>11</v>
      </c>
      <c r="AS4" s="23" t="s">
        <v>11</v>
      </c>
      <c r="AT4" s="23" t="s">
        <v>11</v>
      </c>
      <c r="AU4" s="23" t="s">
        <v>11</v>
      </c>
      <c r="AV4" s="23" t="s">
        <v>11</v>
      </c>
      <c r="AW4" s="23" t="s">
        <v>11</v>
      </c>
      <c r="AX4" s="23" t="s">
        <v>11</v>
      </c>
      <c r="AY4" s="23" t="s">
        <v>11</v>
      </c>
      <c r="AZ4" s="23" t="s">
        <v>11</v>
      </c>
      <c r="BB4" s="29" t="s">
        <v>11</v>
      </c>
      <c r="BC4" s="29" t="s">
        <v>11</v>
      </c>
      <c r="BD4" s="29" t="s">
        <v>11</v>
      </c>
    </row>
    <row r="5" spans="1:56" x14ac:dyDescent="0.25">
      <c r="A5" s="13">
        <f t="shared" si="0"/>
        <v>3</v>
      </c>
      <c r="B5" s="376"/>
      <c r="C5" s="14" t="s">
        <v>132</v>
      </c>
      <c r="D5" s="15" t="s">
        <v>469</v>
      </c>
      <c r="E5" s="15" t="s">
        <v>413</v>
      </c>
      <c r="F5" s="16" t="s">
        <v>135</v>
      </c>
      <c r="G5" s="30" t="s">
        <v>470</v>
      </c>
      <c r="H5" s="31" t="s">
        <v>471</v>
      </c>
      <c r="I5" s="31" t="s">
        <v>471</v>
      </c>
      <c r="J5" s="32">
        <v>45402</v>
      </c>
      <c r="K5" s="20" t="s">
        <v>140</v>
      </c>
      <c r="L5" s="21">
        <v>45399</v>
      </c>
      <c r="M5" s="22" t="s">
        <v>11</v>
      </c>
      <c r="N5" s="23" t="s">
        <v>140</v>
      </c>
      <c r="O5" s="23" t="s">
        <v>140</v>
      </c>
      <c r="P5" s="23" t="s">
        <v>140</v>
      </c>
      <c r="Q5" s="23" t="s">
        <v>140</v>
      </c>
      <c r="R5" s="23" t="s">
        <v>11</v>
      </c>
      <c r="S5" s="23" t="s">
        <v>140</v>
      </c>
      <c r="T5" s="23" t="s">
        <v>11</v>
      </c>
      <c r="U5" s="23" t="s">
        <v>11</v>
      </c>
      <c r="V5" s="23" t="s">
        <v>140</v>
      </c>
      <c r="W5" s="23" t="s">
        <v>140</v>
      </c>
      <c r="X5" s="23" t="s">
        <v>140</v>
      </c>
      <c r="Y5" s="23" t="s">
        <v>11</v>
      </c>
      <c r="Z5" s="23" t="s">
        <v>11</v>
      </c>
      <c r="AA5" s="23" t="s">
        <v>11</v>
      </c>
      <c r="AB5" s="23" t="s">
        <v>472</v>
      </c>
      <c r="AC5" s="23" t="s">
        <v>473</v>
      </c>
      <c r="AE5" s="23" t="s">
        <v>11</v>
      </c>
      <c r="AF5" s="24">
        <v>85000</v>
      </c>
      <c r="AG5" s="23" t="s">
        <v>140</v>
      </c>
      <c r="AH5" s="23" t="s">
        <v>140</v>
      </c>
      <c r="AI5" s="24">
        <v>12100</v>
      </c>
      <c r="AJ5" s="23" t="s">
        <v>140</v>
      </c>
      <c r="AK5" s="23" t="s">
        <v>140</v>
      </c>
      <c r="AL5" s="23" t="s">
        <v>11</v>
      </c>
      <c r="AM5" s="23" t="s">
        <v>11</v>
      </c>
      <c r="AN5" s="23" t="s">
        <v>11</v>
      </c>
      <c r="AO5" s="23" t="s">
        <v>140</v>
      </c>
      <c r="AP5" s="23" t="s">
        <v>140</v>
      </c>
      <c r="AQ5" s="23" t="s">
        <v>140</v>
      </c>
      <c r="AR5" s="23" t="s">
        <v>11</v>
      </c>
      <c r="AS5" s="23" t="s">
        <v>11</v>
      </c>
      <c r="AT5" s="23" t="s">
        <v>11</v>
      </c>
      <c r="AU5" s="23" t="s">
        <v>11</v>
      </c>
      <c r="AV5" s="23" t="s">
        <v>11</v>
      </c>
      <c r="AW5" s="23" t="s">
        <v>11</v>
      </c>
      <c r="AX5" s="23" t="s">
        <v>140</v>
      </c>
      <c r="AY5" s="23" t="s">
        <v>140</v>
      </c>
      <c r="AZ5" s="23" t="s">
        <v>140</v>
      </c>
      <c r="BB5" s="25">
        <v>45539</v>
      </c>
      <c r="BC5" s="25" t="s">
        <v>11</v>
      </c>
      <c r="BD5" s="25" t="s">
        <v>11</v>
      </c>
    </row>
    <row r="6" spans="1:56" x14ac:dyDescent="0.25">
      <c r="A6" s="13">
        <f t="shared" si="0"/>
        <v>4</v>
      </c>
      <c r="B6" s="376"/>
      <c r="C6" s="14" t="s">
        <v>414</v>
      </c>
      <c r="D6" s="15" t="s">
        <v>469</v>
      </c>
      <c r="E6" s="15" t="s">
        <v>413</v>
      </c>
      <c r="F6" s="16" t="s">
        <v>135</v>
      </c>
      <c r="G6" s="30" t="s">
        <v>474</v>
      </c>
      <c r="H6" s="31">
        <v>45422</v>
      </c>
      <c r="I6" s="31">
        <v>45424</v>
      </c>
      <c r="J6" s="32">
        <v>45442</v>
      </c>
      <c r="K6" s="20" t="s">
        <v>140</v>
      </c>
      <c r="L6" s="21">
        <v>45432</v>
      </c>
      <c r="M6" s="22" t="s">
        <v>475</v>
      </c>
      <c r="N6" s="23" t="s">
        <v>140</v>
      </c>
      <c r="O6" s="23" t="s">
        <v>140</v>
      </c>
      <c r="P6" s="23" t="s">
        <v>140</v>
      </c>
      <c r="Q6" s="23" t="s">
        <v>140</v>
      </c>
      <c r="R6" s="23" t="s">
        <v>11</v>
      </c>
      <c r="S6" s="23" t="s">
        <v>140</v>
      </c>
      <c r="T6" s="23" t="s">
        <v>11</v>
      </c>
      <c r="U6" s="23" t="s">
        <v>11</v>
      </c>
      <c r="V6" s="23" t="s">
        <v>140</v>
      </c>
      <c r="W6" s="23" t="s">
        <v>140</v>
      </c>
      <c r="X6" s="23" t="s">
        <v>140</v>
      </c>
      <c r="Y6" s="23" t="s">
        <v>11</v>
      </c>
      <c r="Z6" s="23" t="s">
        <v>140</v>
      </c>
      <c r="AA6" s="23" t="s">
        <v>11</v>
      </c>
      <c r="AB6" s="23" t="s">
        <v>476</v>
      </c>
      <c r="AC6" s="23" t="s">
        <v>415</v>
      </c>
      <c r="AE6" s="23" t="s">
        <v>11</v>
      </c>
      <c r="AF6" s="24">
        <v>85000</v>
      </c>
      <c r="AG6" s="23" t="s">
        <v>140</v>
      </c>
      <c r="AH6" s="23" t="s">
        <v>148</v>
      </c>
      <c r="AI6" s="24">
        <v>12100</v>
      </c>
      <c r="AJ6" s="23" t="s">
        <v>140</v>
      </c>
      <c r="AK6" s="23" t="s">
        <v>140</v>
      </c>
      <c r="AL6" s="23" t="s">
        <v>140</v>
      </c>
      <c r="AM6" s="23" t="s">
        <v>140</v>
      </c>
      <c r="AN6" s="23" t="s">
        <v>140</v>
      </c>
      <c r="AO6" s="23" t="s">
        <v>140</v>
      </c>
      <c r="AP6" s="23" t="s">
        <v>140</v>
      </c>
      <c r="AQ6" s="23" t="s">
        <v>140</v>
      </c>
      <c r="AR6" s="23" t="s">
        <v>11</v>
      </c>
      <c r="AS6" s="23" t="s">
        <v>11</v>
      </c>
      <c r="AT6" s="23" t="s">
        <v>11</v>
      </c>
      <c r="AU6" s="23" t="s">
        <v>140</v>
      </c>
      <c r="AV6" s="23" t="s">
        <v>140</v>
      </c>
      <c r="AW6" s="23" t="s">
        <v>148</v>
      </c>
      <c r="AX6" s="23" t="s">
        <v>140</v>
      </c>
      <c r="AY6" s="23" t="s">
        <v>140</v>
      </c>
      <c r="AZ6" s="23" t="s">
        <v>140</v>
      </c>
      <c r="BB6" s="25">
        <v>45565</v>
      </c>
      <c r="BC6" s="25" t="s">
        <v>147</v>
      </c>
      <c r="BD6" s="25" t="s">
        <v>11</v>
      </c>
    </row>
    <row r="7" spans="1:56" x14ac:dyDescent="0.25">
      <c r="A7" s="13">
        <f t="shared" si="0"/>
        <v>5</v>
      </c>
      <c r="B7" s="376"/>
      <c r="C7" s="14" t="s">
        <v>143</v>
      </c>
      <c r="D7" s="15" t="s">
        <v>416</v>
      </c>
      <c r="E7" s="15" t="s">
        <v>477</v>
      </c>
      <c r="F7" s="16" t="s">
        <v>135</v>
      </c>
      <c r="G7" s="30">
        <v>45400</v>
      </c>
      <c r="H7" s="31">
        <v>45402</v>
      </c>
      <c r="I7" s="31">
        <v>45405</v>
      </c>
      <c r="J7" s="32">
        <v>45412</v>
      </c>
      <c r="K7" s="20" t="s">
        <v>140</v>
      </c>
      <c r="L7" s="21">
        <v>45412</v>
      </c>
      <c r="M7" s="22" t="s">
        <v>11</v>
      </c>
      <c r="N7" s="23" t="s">
        <v>140</v>
      </c>
      <c r="O7" s="23" t="s">
        <v>140</v>
      </c>
      <c r="P7" s="23" t="s">
        <v>140</v>
      </c>
      <c r="Q7" s="23" t="s">
        <v>140</v>
      </c>
      <c r="R7" s="23" t="s">
        <v>11</v>
      </c>
      <c r="S7" s="23" t="s">
        <v>140</v>
      </c>
      <c r="T7" s="23" t="s">
        <v>11</v>
      </c>
      <c r="U7" s="23" t="s">
        <v>11</v>
      </c>
      <c r="V7" s="23" t="s">
        <v>140</v>
      </c>
      <c r="W7" s="23" t="s">
        <v>140</v>
      </c>
      <c r="X7" s="23" t="s">
        <v>140</v>
      </c>
      <c r="Y7" s="23" t="s">
        <v>11</v>
      </c>
      <c r="Z7" s="23" t="s">
        <v>140</v>
      </c>
      <c r="AA7" s="23" t="s">
        <v>140</v>
      </c>
      <c r="AB7" s="23" t="s">
        <v>478</v>
      </c>
      <c r="AC7" s="23" t="s">
        <v>479</v>
      </c>
      <c r="AE7" s="23" t="s">
        <v>480</v>
      </c>
      <c r="AF7" s="23" t="s">
        <v>418</v>
      </c>
      <c r="AG7" s="23" t="s">
        <v>140</v>
      </c>
      <c r="AH7" s="23" t="s">
        <v>140</v>
      </c>
      <c r="AI7" s="24">
        <v>20000</v>
      </c>
      <c r="AJ7" s="23" t="s">
        <v>140</v>
      </c>
      <c r="AK7" s="23" t="s">
        <v>140</v>
      </c>
      <c r="AL7" s="23" t="s">
        <v>481</v>
      </c>
      <c r="AM7" s="23" t="s">
        <v>11</v>
      </c>
      <c r="AN7" s="23" t="s">
        <v>11</v>
      </c>
      <c r="AO7" s="23" t="s">
        <v>140</v>
      </c>
      <c r="AP7" s="23" t="s">
        <v>140</v>
      </c>
      <c r="AQ7" s="23" t="s">
        <v>140</v>
      </c>
      <c r="AR7" s="23" t="s">
        <v>140</v>
      </c>
      <c r="AS7" s="23" t="s">
        <v>140</v>
      </c>
      <c r="AT7" s="23" t="s">
        <v>140</v>
      </c>
      <c r="AU7" s="23" t="s">
        <v>140</v>
      </c>
      <c r="AV7" s="23" t="s">
        <v>140</v>
      </c>
      <c r="AW7" s="23" t="s">
        <v>148</v>
      </c>
      <c r="AX7" s="23" t="s">
        <v>140</v>
      </c>
      <c r="AY7" s="23" t="s">
        <v>140</v>
      </c>
      <c r="AZ7" s="23" t="s">
        <v>140</v>
      </c>
      <c r="BB7" s="25">
        <v>45565</v>
      </c>
      <c r="BC7" s="25" t="s">
        <v>11</v>
      </c>
      <c r="BD7" s="25" t="s">
        <v>11</v>
      </c>
    </row>
    <row r="8" spans="1:56" x14ac:dyDescent="0.25">
      <c r="A8" s="13">
        <f t="shared" si="0"/>
        <v>6</v>
      </c>
      <c r="B8" s="376"/>
      <c r="C8" s="14" t="s">
        <v>419</v>
      </c>
      <c r="D8" s="15" t="s">
        <v>11</v>
      </c>
      <c r="E8" s="15" t="s">
        <v>11</v>
      </c>
      <c r="F8" s="26" t="s">
        <v>135</v>
      </c>
      <c r="G8" s="27" t="s">
        <v>11</v>
      </c>
      <c r="H8" s="27" t="s">
        <v>11</v>
      </c>
      <c r="I8" s="27" t="s">
        <v>11</v>
      </c>
      <c r="J8" s="27" t="s">
        <v>11</v>
      </c>
      <c r="K8" s="23" t="s">
        <v>11</v>
      </c>
      <c r="L8" s="23" t="s">
        <v>11</v>
      </c>
      <c r="M8" s="28" t="s">
        <v>11</v>
      </c>
      <c r="N8" s="23" t="s">
        <v>11</v>
      </c>
      <c r="O8" s="23" t="s">
        <v>11</v>
      </c>
      <c r="P8" s="23" t="s">
        <v>11</v>
      </c>
      <c r="Q8" s="23" t="s">
        <v>11</v>
      </c>
      <c r="R8" s="23" t="s">
        <v>11</v>
      </c>
      <c r="S8" s="23" t="s">
        <v>11</v>
      </c>
      <c r="T8" s="23" t="s">
        <v>11</v>
      </c>
      <c r="U8" s="23" t="s">
        <v>11</v>
      </c>
      <c r="V8" s="23" t="s">
        <v>11</v>
      </c>
      <c r="W8" s="23" t="s">
        <v>11</v>
      </c>
      <c r="X8" s="23" t="s">
        <v>11</v>
      </c>
      <c r="Y8" s="23" t="s">
        <v>11</v>
      </c>
      <c r="Z8" s="23" t="s">
        <v>11</v>
      </c>
      <c r="AA8" s="23" t="s">
        <v>11</v>
      </c>
      <c r="AB8" s="23" t="s">
        <v>11</v>
      </c>
      <c r="AC8" s="23" t="s">
        <v>11</v>
      </c>
      <c r="AE8" s="23" t="s">
        <v>11</v>
      </c>
      <c r="AF8" s="23" t="s">
        <v>11</v>
      </c>
      <c r="AG8" s="23" t="s">
        <v>11</v>
      </c>
      <c r="AH8" s="23" t="s">
        <v>11</v>
      </c>
      <c r="AI8" s="23" t="s">
        <v>11</v>
      </c>
      <c r="AJ8" s="23" t="s">
        <v>11</v>
      </c>
      <c r="AK8" s="23" t="s">
        <v>11</v>
      </c>
      <c r="AL8" s="23" t="s">
        <v>11</v>
      </c>
      <c r="AM8" s="23" t="s">
        <v>11</v>
      </c>
      <c r="AN8" s="23" t="s">
        <v>11</v>
      </c>
      <c r="AO8" s="23" t="s">
        <v>11</v>
      </c>
      <c r="AP8" s="23" t="s">
        <v>11</v>
      </c>
      <c r="AQ8" s="23" t="s">
        <v>11</v>
      </c>
      <c r="AR8" s="23" t="s">
        <v>11</v>
      </c>
      <c r="AS8" s="23" t="s">
        <v>11</v>
      </c>
      <c r="AT8" s="23" t="s">
        <v>11</v>
      </c>
      <c r="AU8" s="23" t="s">
        <v>11</v>
      </c>
      <c r="AV8" s="23" t="s">
        <v>11</v>
      </c>
      <c r="AW8" s="23" t="s">
        <v>11</v>
      </c>
      <c r="AX8" s="23" t="s">
        <v>11</v>
      </c>
      <c r="AY8" s="23" t="s">
        <v>11</v>
      </c>
      <c r="AZ8" s="23" t="s">
        <v>11</v>
      </c>
      <c r="BB8" s="29" t="s">
        <v>11</v>
      </c>
      <c r="BC8" s="29" t="s">
        <v>11</v>
      </c>
      <c r="BD8" s="29" t="s">
        <v>11</v>
      </c>
    </row>
    <row r="9" spans="1:56" x14ac:dyDescent="0.25">
      <c r="A9" s="13">
        <f t="shared" si="0"/>
        <v>7</v>
      </c>
      <c r="B9" s="377"/>
      <c r="C9" s="14" t="s">
        <v>153</v>
      </c>
      <c r="D9" s="15" t="s">
        <v>416</v>
      </c>
      <c r="E9" s="15" t="s">
        <v>413</v>
      </c>
      <c r="F9" s="16" t="s">
        <v>135</v>
      </c>
      <c r="G9" s="30" t="s">
        <v>474</v>
      </c>
      <c r="H9" s="31">
        <v>45422</v>
      </c>
      <c r="I9" s="31">
        <v>45424</v>
      </c>
      <c r="J9" s="32">
        <v>45442</v>
      </c>
      <c r="K9" s="20" t="s">
        <v>140</v>
      </c>
      <c r="L9" s="21">
        <v>45441</v>
      </c>
      <c r="M9" s="22" t="s">
        <v>466</v>
      </c>
      <c r="N9" s="23" t="s">
        <v>140</v>
      </c>
      <c r="O9" s="23" t="s">
        <v>140</v>
      </c>
      <c r="P9" s="23" t="s">
        <v>140</v>
      </c>
      <c r="Q9" s="23" t="s">
        <v>140</v>
      </c>
      <c r="R9" s="23" t="s">
        <v>11</v>
      </c>
      <c r="S9" s="23" t="s">
        <v>140</v>
      </c>
      <c r="T9" s="23" t="s">
        <v>11</v>
      </c>
      <c r="U9" s="23" t="s">
        <v>11</v>
      </c>
      <c r="V9" s="23" t="s">
        <v>140</v>
      </c>
      <c r="W9" s="23" t="s">
        <v>140</v>
      </c>
      <c r="X9" s="23" t="s">
        <v>140</v>
      </c>
      <c r="Y9" s="23" t="s">
        <v>11</v>
      </c>
      <c r="Z9" s="23" t="s">
        <v>11</v>
      </c>
      <c r="AA9" s="23" t="s">
        <v>11</v>
      </c>
      <c r="AB9" s="23" t="s">
        <v>482</v>
      </c>
      <c r="AC9" s="23" t="s">
        <v>483</v>
      </c>
      <c r="AE9" s="24">
        <v>93500</v>
      </c>
      <c r="AF9" s="23" t="s">
        <v>420</v>
      </c>
      <c r="AG9" s="23" t="s">
        <v>140</v>
      </c>
      <c r="AH9" s="23" t="s">
        <v>140</v>
      </c>
      <c r="AI9" s="24">
        <v>15000</v>
      </c>
      <c r="AJ9" s="23" t="s">
        <v>148</v>
      </c>
      <c r="AK9" s="23" t="s">
        <v>148</v>
      </c>
      <c r="AL9" s="23" t="s">
        <v>481</v>
      </c>
      <c r="AM9" s="23" t="s">
        <v>11</v>
      </c>
      <c r="AN9" s="23" t="s">
        <v>11</v>
      </c>
      <c r="AO9" s="23" t="s">
        <v>140</v>
      </c>
      <c r="AP9" s="23" t="s">
        <v>140</v>
      </c>
      <c r="AQ9" s="23" t="s">
        <v>140</v>
      </c>
      <c r="AR9" s="23" t="s">
        <v>140</v>
      </c>
      <c r="AS9" s="23" t="s">
        <v>140</v>
      </c>
      <c r="AT9" s="23" t="s">
        <v>140</v>
      </c>
      <c r="AU9" s="23" t="s">
        <v>11</v>
      </c>
      <c r="AV9" s="23" t="s">
        <v>11</v>
      </c>
      <c r="AW9" s="23" t="s">
        <v>11</v>
      </c>
      <c r="AX9" s="23" t="s">
        <v>140</v>
      </c>
      <c r="AY9" s="23" t="s">
        <v>140</v>
      </c>
      <c r="AZ9" s="23" t="s">
        <v>140</v>
      </c>
      <c r="BB9" s="25">
        <v>45565</v>
      </c>
      <c r="BC9" s="25" t="s">
        <v>11</v>
      </c>
      <c r="BD9" s="25" t="s">
        <v>11</v>
      </c>
    </row>
    <row r="10" spans="1:56" x14ac:dyDescent="0.25">
      <c r="A10" s="13">
        <f t="shared" si="0"/>
        <v>8</v>
      </c>
      <c r="B10" s="375" t="s">
        <v>448</v>
      </c>
      <c r="C10" s="14" t="s">
        <v>173</v>
      </c>
      <c r="D10" s="15" t="s">
        <v>11</v>
      </c>
      <c r="E10" s="15" t="s">
        <v>11</v>
      </c>
      <c r="F10" s="26"/>
      <c r="G10" s="27" t="s">
        <v>11</v>
      </c>
      <c r="H10" s="27" t="s">
        <v>11</v>
      </c>
      <c r="I10" s="27" t="s">
        <v>11</v>
      </c>
      <c r="J10" s="27" t="s">
        <v>11</v>
      </c>
      <c r="K10" s="23" t="s">
        <v>11</v>
      </c>
      <c r="L10" s="23" t="s">
        <v>11</v>
      </c>
      <c r="M10" s="28" t="s">
        <v>11</v>
      </c>
      <c r="N10" s="33" t="s">
        <v>11</v>
      </c>
      <c r="O10" s="23" t="s">
        <v>11</v>
      </c>
      <c r="P10" s="23" t="s">
        <v>11</v>
      </c>
      <c r="Q10" s="23" t="s">
        <v>11</v>
      </c>
      <c r="R10" s="23" t="s">
        <v>11</v>
      </c>
      <c r="S10" s="23" t="s">
        <v>11</v>
      </c>
      <c r="T10" s="23" t="s">
        <v>11</v>
      </c>
      <c r="U10" s="23" t="s">
        <v>11</v>
      </c>
      <c r="V10" s="23" t="s">
        <v>11</v>
      </c>
      <c r="W10" s="23" t="s">
        <v>11</v>
      </c>
      <c r="X10" s="23" t="s">
        <v>11</v>
      </c>
      <c r="Y10" s="23" t="s">
        <v>11</v>
      </c>
      <c r="Z10" s="23" t="s">
        <v>11</v>
      </c>
      <c r="AA10" s="23" t="s">
        <v>11</v>
      </c>
      <c r="AB10" s="23" t="s">
        <v>11</v>
      </c>
      <c r="AC10" s="23" t="s">
        <v>133</v>
      </c>
      <c r="AE10" s="23" t="s">
        <v>11</v>
      </c>
      <c r="AF10" s="23" t="s">
        <v>11</v>
      </c>
      <c r="AG10" s="23" t="s">
        <v>11</v>
      </c>
      <c r="AH10" s="23" t="s">
        <v>11</v>
      </c>
      <c r="AI10" s="23" t="s">
        <v>11</v>
      </c>
      <c r="AJ10" s="23" t="s">
        <v>11</v>
      </c>
      <c r="AK10" s="23" t="s">
        <v>11</v>
      </c>
      <c r="AL10" s="23" t="s">
        <v>481</v>
      </c>
      <c r="AM10" s="23" t="s">
        <v>11</v>
      </c>
      <c r="AN10" s="23" t="s">
        <v>11</v>
      </c>
      <c r="AO10" s="23" t="s">
        <v>11</v>
      </c>
      <c r="AP10" s="23" t="s">
        <v>11</v>
      </c>
      <c r="AQ10" s="23" t="s">
        <v>11</v>
      </c>
      <c r="AR10" s="23" t="s">
        <v>11</v>
      </c>
      <c r="AS10" s="23" t="s">
        <v>11</v>
      </c>
      <c r="AT10" s="23" t="s">
        <v>11</v>
      </c>
      <c r="AU10" s="23" t="s">
        <v>11</v>
      </c>
      <c r="AV10" s="23" t="s">
        <v>11</v>
      </c>
      <c r="AW10" s="23" t="s">
        <v>11</v>
      </c>
      <c r="AX10" s="23" t="s">
        <v>11</v>
      </c>
      <c r="AY10" s="23" t="s">
        <v>11</v>
      </c>
      <c r="AZ10" s="23" t="s">
        <v>11</v>
      </c>
      <c r="BB10" s="29" t="s">
        <v>11</v>
      </c>
      <c r="BC10" s="29" t="s">
        <v>11</v>
      </c>
      <c r="BD10" s="29" t="s">
        <v>11</v>
      </c>
    </row>
    <row r="11" spans="1:56" x14ac:dyDescent="0.25">
      <c r="A11" s="13">
        <f t="shared" ref="A11:A54" si="1">A10+1</f>
        <v>9</v>
      </c>
      <c r="B11" s="376"/>
      <c r="C11" s="14" t="s">
        <v>421</v>
      </c>
      <c r="D11" s="15" t="s">
        <v>11</v>
      </c>
      <c r="E11" s="15" t="s">
        <v>11</v>
      </c>
      <c r="F11" s="26"/>
      <c r="G11" s="27" t="s">
        <v>11</v>
      </c>
      <c r="H11" s="27" t="s">
        <v>11</v>
      </c>
      <c r="I11" s="27" t="s">
        <v>11</v>
      </c>
      <c r="J11" s="27" t="s">
        <v>11</v>
      </c>
      <c r="K11" s="23" t="s">
        <v>11</v>
      </c>
      <c r="L11" s="23" t="s">
        <v>11</v>
      </c>
      <c r="M11" s="28" t="s">
        <v>11</v>
      </c>
      <c r="N11" s="33" t="s">
        <v>11</v>
      </c>
      <c r="O11" s="23" t="s">
        <v>11</v>
      </c>
      <c r="P11" s="23" t="s">
        <v>11</v>
      </c>
      <c r="Q11" s="23" t="s">
        <v>11</v>
      </c>
      <c r="R11" s="23" t="s">
        <v>11</v>
      </c>
      <c r="S11" s="23" t="s">
        <v>11</v>
      </c>
      <c r="T11" s="23" t="s">
        <v>11</v>
      </c>
      <c r="U11" s="23" t="s">
        <v>11</v>
      </c>
      <c r="V11" s="23" t="s">
        <v>11</v>
      </c>
      <c r="W11" s="23" t="s">
        <v>11</v>
      </c>
      <c r="X11" s="23" t="s">
        <v>11</v>
      </c>
      <c r="Y11" s="23" t="s">
        <v>11</v>
      </c>
      <c r="Z11" s="23" t="s">
        <v>11</v>
      </c>
      <c r="AA11" s="23" t="s">
        <v>11</v>
      </c>
      <c r="AB11" s="23" t="s">
        <v>11</v>
      </c>
      <c r="AC11" s="23" t="s">
        <v>133</v>
      </c>
      <c r="AE11" s="23" t="s">
        <v>11</v>
      </c>
      <c r="AF11" s="23" t="s">
        <v>11</v>
      </c>
      <c r="AG11" s="23" t="s">
        <v>177</v>
      </c>
      <c r="AH11" s="23" t="s">
        <v>11</v>
      </c>
      <c r="AI11" s="23" t="s">
        <v>11</v>
      </c>
      <c r="AJ11" s="23" t="s">
        <v>11</v>
      </c>
      <c r="AK11" s="23" t="s">
        <v>11</v>
      </c>
      <c r="AL11" s="23" t="s">
        <v>481</v>
      </c>
      <c r="AM11" s="23" t="s">
        <v>11</v>
      </c>
      <c r="AN11" s="23" t="s">
        <v>11</v>
      </c>
      <c r="AO11" s="23" t="s">
        <v>11</v>
      </c>
      <c r="AP11" s="23" t="s">
        <v>11</v>
      </c>
      <c r="AQ11" s="23" t="s">
        <v>11</v>
      </c>
      <c r="AR11" s="23" t="s">
        <v>11</v>
      </c>
      <c r="AS11" s="23" t="s">
        <v>11</v>
      </c>
      <c r="AT11" s="23" t="s">
        <v>11</v>
      </c>
      <c r="AU11" s="23" t="s">
        <v>11</v>
      </c>
      <c r="AV11" s="23" t="s">
        <v>11</v>
      </c>
      <c r="AW11" s="23" t="s">
        <v>11</v>
      </c>
      <c r="AX11" s="23" t="s">
        <v>11</v>
      </c>
      <c r="AY11" s="23" t="s">
        <v>11</v>
      </c>
      <c r="AZ11" s="23" t="s">
        <v>11</v>
      </c>
      <c r="BB11" s="29" t="s">
        <v>11</v>
      </c>
      <c r="BC11" s="29" t="s">
        <v>11</v>
      </c>
      <c r="BD11" s="29" t="s">
        <v>11</v>
      </c>
    </row>
    <row r="12" spans="1:56" x14ac:dyDescent="0.25">
      <c r="A12" s="13">
        <f t="shared" si="1"/>
        <v>10</v>
      </c>
      <c r="B12" s="376"/>
      <c r="C12" s="14" t="s">
        <v>198</v>
      </c>
      <c r="D12" s="15" t="s">
        <v>423</v>
      </c>
      <c r="E12" s="15" t="s">
        <v>426</v>
      </c>
      <c r="F12" s="16" t="s">
        <v>484</v>
      </c>
      <c r="G12" s="30">
        <v>45443</v>
      </c>
      <c r="H12" s="31">
        <v>45453</v>
      </c>
      <c r="I12" s="31">
        <v>45458</v>
      </c>
      <c r="J12" s="32">
        <v>45458</v>
      </c>
      <c r="K12" s="20" t="s">
        <v>140</v>
      </c>
      <c r="L12" s="34">
        <v>45477</v>
      </c>
      <c r="M12" s="35">
        <v>45519</v>
      </c>
      <c r="N12" s="23" t="s">
        <v>140</v>
      </c>
      <c r="O12" s="23" t="s">
        <v>209</v>
      </c>
      <c r="P12" s="23" t="s">
        <v>140</v>
      </c>
      <c r="Q12" s="23" t="s">
        <v>140</v>
      </c>
      <c r="R12" s="23" t="s">
        <v>11</v>
      </c>
      <c r="S12" s="23" t="s">
        <v>140</v>
      </c>
      <c r="T12" s="23" t="s">
        <v>11</v>
      </c>
      <c r="U12" s="23" t="s">
        <v>11</v>
      </c>
      <c r="V12" s="23" t="s">
        <v>140</v>
      </c>
      <c r="W12" s="23" t="s">
        <v>140</v>
      </c>
      <c r="X12" s="23" t="s">
        <v>140</v>
      </c>
      <c r="Y12" s="23" t="s">
        <v>11</v>
      </c>
      <c r="Z12" s="23" t="s">
        <v>11</v>
      </c>
      <c r="AA12" s="23" t="s">
        <v>11</v>
      </c>
      <c r="AB12" s="23">
        <v>141000</v>
      </c>
      <c r="AC12" s="23" t="s">
        <v>427</v>
      </c>
      <c r="AE12" s="23">
        <v>75000</v>
      </c>
      <c r="AF12" s="23">
        <v>82500</v>
      </c>
      <c r="AG12" s="23" t="s">
        <v>140</v>
      </c>
      <c r="AH12" s="23" t="s">
        <v>140</v>
      </c>
      <c r="AI12" s="23">
        <v>16500</v>
      </c>
      <c r="AJ12" s="23" t="s">
        <v>209</v>
      </c>
      <c r="AK12" s="23" t="s">
        <v>148</v>
      </c>
      <c r="AL12" s="23" t="s">
        <v>148</v>
      </c>
      <c r="AM12" s="23" t="s">
        <v>148</v>
      </c>
      <c r="AN12" s="23" t="s">
        <v>148</v>
      </c>
      <c r="AO12" s="23" t="s">
        <v>140</v>
      </c>
      <c r="AP12" s="23" t="s">
        <v>148</v>
      </c>
      <c r="AQ12" s="23" t="s">
        <v>148</v>
      </c>
      <c r="AR12" s="23" t="s">
        <v>140</v>
      </c>
      <c r="AS12" s="23" t="s">
        <v>148</v>
      </c>
      <c r="AT12" s="23" t="s">
        <v>148</v>
      </c>
      <c r="AU12" s="23" t="s">
        <v>11</v>
      </c>
      <c r="AV12" s="23" t="s">
        <v>11</v>
      </c>
      <c r="AW12" s="23" t="s">
        <v>11</v>
      </c>
      <c r="AX12" s="23" t="s">
        <v>11</v>
      </c>
      <c r="AY12" s="23" t="s">
        <v>11</v>
      </c>
      <c r="AZ12" s="23" t="s">
        <v>11</v>
      </c>
      <c r="BB12" s="25" t="s">
        <v>485</v>
      </c>
      <c r="BC12" s="25" t="s">
        <v>138</v>
      </c>
      <c r="BD12" s="25" t="s">
        <v>138</v>
      </c>
    </row>
    <row r="13" spans="1:56" x14ac:dyDescent="0.25">
      <c r="A13" s="13">
        <f t="shared" si="1"/>
        <v>11</v>
      </c>
      <c r="B13" s="376"/>
      <c r="C13" s="14" t="s">
        <v>486</v>
      </c>
      <c r="D13" s="15" t="s">
        <v>11</v>
      </c>
      <c r="E13" s="15" t="s">
        <v>11</v>
      </c>
      <c r="F13" s="26"/>
      <c r="G13" s="27" t="s">
        <v>11</v>
      </c>
      <c r="H13" s="27" t="s">
        <v>11</v>
      </c>
      <c r="I13" s="27" t="s">
        <v>11</v>
      </c>
      <c r="J13" s="27" t="s">
        <v>11</v>
      </c>
      <c r="K13" s="23" t="s">
        <v>11</v>
      </c>
      <c r="L13" s="23" t="s">
        <v>11</v>
      </c>
      <c r="M13" s="28" t="s">
        <v>11</v>
      </c>
      <c r="N13" s="33" t="s">
        <v>11</v>
      </c>
      <c r="O13" s="23" t="s">
        <v>11</v>
      </c>
      <c r="P13" s="23" t="s">
        <v>11</v>
      </c>
      <c r="Q13" s="23" t="s">
        <v>11</v>
      </c>
      <c r="R13" s="23" t="s">
        <v>11</v>
      </c>
      <c r="S13" s="23" t="s">
        <v>11</v>
      </c>
      <c r="T13" s="23" t="s">
        <v>11</v>
      </c>
      <c r="U13" s="23" t="s">
        <v>11</v>
      </c>
      <c r="V13" s="23" t="s">
        <v>11</v>
      </c>
      <c r="W13" s="23" t="s">
        <v>11</v>
      </c>
      <c r="X13" s="23" t="s">
        <v>11</v>
      </c>
      <c r="Y13" s="23" t="s">
        <v>11</v>
      </c>
      <c r="Z13" s="23" t="s">
        <v>11</v>
      </c>
      <c r="AA13" s="23" t="s">
        <v>11</v>
      </c>
      <c r="AB13" s="23" t="s">
        <v>11</v>
      </c>
      <c r="AC13" s="23" t="s">
        <v>133</v>
      </c>
      <c r="AE13" s="23" t="s">
        <v>11</v>
      </c>
      <c r="AF13" s="23" t="s">
        <v>11</v>
      </c>
      <c r="AG13" s="23" t="s">
        <v>11</v>
      </c>
      <c r="AH13" s="23" t="s">
        <v>11</v>
      </c>
      <c r="AI13" s="23" t="s">
        <v>11</v>
      </c>
      <c r="AJ13" s="23" t="s">
        <v>11</v>
      </c>
      <c r="AK13" s="23" t="s">
        <v>11</v>
      </c>
      <c r="AL13" s="23" t="s">
        <v>11</v>
      </c>
      <c r="AM13" s="23" t="s">
        <v>11</v>
      </c>
      <c r="AN13" s="23" t="s">
        <v>11</v>
      </c>
      <c r="AO13" s="23" t="s">
        <v>11</v>
      </c>
      <c r="AP13" s="23" t="s">
        <v>11</v>
      </c>
      <c r="AQ13" s="23" t="s">
        <v>11</v>
      </c>
      <c r="AR13" s="23" t="s">
        <v>11</v>
      </c>
      <c r="AS13" s="23" t="s">
        <v>11</v>
      </c>
      <c r="AT13" s="23" t="s">
        <v>11</v>
      </c>
      <c r="AU13" s="23" t="s">
        <v>11</v>
      </c>
      <c r="AV13" s="23" t="s">
        <v>11</v>
      </c>
      <c r="AW13" s="23" t="s">
        <v>11</v>
      </c>
      <c r="AX13" s="23" t="s">
        <v>11</v>
      </c>
      <c r="AY13" s="23" t="s">
        <v>11</v>
      </c>
      <c r="AZ13" s="23" t="s">
        <v>11</v>
      </c>
      <c r="BB13" s="29"/>
      <c r="BC13" s="29" t="s">
        <v>11</v>
      </c>
      <c r="BD13" s="29" t="s">
        <v>11</v>
      </c>
    </row>
    <row r="14" spans="1:56" x14ac:dyDescent="0.25">
      <c r="A14" s="13">
        <f t="shared" si="1"/>
        <v>12</v>
      </c>
      <c r="B14" s="376"/>
      <c r="C14" s="14" t="s">
        <v>424</v>
      </c>
      <c r="D14" s="15" t="s">
        <v>416</v>
      </c>
      <c r="E14" s="15" t="s">
        <v>413</v>
      </c>
      <c r="F14" s="16" t="s">
        <v>484</v>
      </c>
      <c r="G14" s="30">
        <v>45443</v>
      </c>
      <c r="H14" s="31">
        <v>45453</v>
      </c>
      <c r="I14" s="31">
        <v>45458</v>
      </c>
      <c r="J14" s="32">
        <v>45458</v>
      </c>
      <c r="K14" s="20" t="s">
        <v>140</v>
      </c>
      <c r="L14" s="34">
        <v>45464</v>
      </c>
      <c r="M14" s="35">
        <v>45504</v>
      </c>
      <c r="N14" s="23" t="s">
        <v>140</v>
      </c>
      <c r="O14" s="23" t="s">
        <v>140</v>
      </c>
      <c r="P14" s="23" t="s">
        <v>209</v>
      </c>
      <c r="Q14" s="23" t="s">
        <v>140</v>
      </c>
      <c r="R14" s="23" t="s">
        <v>11</v>
      </c>
      <c r="S14" s="23" t="s">
        <v>140</v>
      </c>
      <c r="T14" s="23" t="s">
        <v>147</v>
      </c>
      <c r="U14" s="23" t="s">
        <v>11</v>
      </c>
      <c r="V14" s="23" t="s">
        <v>11</v>
      </c>
      <c r="W14" s="23" t="s">
        <v>11</v>
      </c>
      <c r="X14" s="23" t="s">
        <v>11</v>
      </c>
      <c r="Y14" s="23" t="s">
        <v>140</v>
      </c>
      <c r="Z14" s="23" t="s">
        <v>11</v>
      </c>
      <c r="AA14" s="23" t="s">
        <v>11</v>
      </c>
      <c r="AB14" s="36">
        <v>9006047.75</v>
      </c>
      <c r="AC14" s="37">
        <v>16878989.09</v>
      </c>
      <c r="AE14" s="23">
        <v>50000</v>
      </c>
      <c r="AF14" s="23">
        <v>82500</v>
      </c>
      <c r="AG14" s="23" t="s">
        <v>140</v>
      </c>
      <c r="AH14" s="23" t="s">
        <v>140</v>
      </c>
      <c r="AI14" s="23">
        <v>16500</v>
      </c>
      <c r="AJ14" s="23" t="s">
        <v>140</v>
      </c>
      <c r="AK14" s="23" t="s">
        <v>140</v>
      </c>
      <c r="AL14" s="23" t="s">
        <v>481</v>
      </c>
      <c r="AM14" s="23" t="s">
        <v>481</v>
      </c>
      <c r="AN14" s="23" t="s">
        <v>481</v>
      </c>
      <c r="AO14" s="23" t="s">
        <v>140</v>
      </c>
      <c r="AP14" s="23" t="s">
        <v>11</v>
      </c>
      <c r="AQ14" s="23" t="s">
        <v>177</v>
      </c>
      <c r="AR14" s="23" t="s">
        <v>11</v>
      </c>
      <c r="AS14" s="23" t="s">
        <v>11</v>
      </c>
      <c r="AT14" s="23" t="s">
        <v>11</v>
      </c>
      <c r="AU14" s="23" t="s">
        <v>11</v>
      </c>
      <c r="AV14" s="23" t="s">
        <v>11</v>
      </c>
      <c r="AW14" s="23" t="s">
        <v>11</v>
      </c>
      <c r="AX14" s="23" t="s">
        <v>11</v>
      </c>
      <c r="AY14" s="23" t="s">
        <v>11</v>
      </c>
      <c r="AZ14" s="23" t="s">
        <v>11</v>
      </c>
      <c r="BB14" s="25"/>
      <c r="BC14" s="25" t="s">
        <v>138</v>
      </c>
      <c r="BD14" s="25" t="s">
        <v>138</v>
      </c>
    </row>
    <row r="15" spans="1:56" x14ac:dyDescent="0.25">
      <c r="A15" s="13">
        <f t="shared" si="1"/>
        <v>13</v>
      </c>
      <c r="B15" s="376"/>
      <c r="C15" s="14" t="s">
        <v>203</v>
      </c>
      <c r="D15" s="15" t="s">
        <v>416</v>
      </c>
      <c r="E15" s="15" t="s">
        <v>11</v>
      </c>
      <c r="F15" s="16" t="s">
        <v>201</v>
      </c>
      <c r="G15" s="30">
        <v>45427</v>
      </c>
      <c r="H15" s="31">
        <v>45429</v>
      </c>
      <c r="I15" s="31">
        <v>45429</v>
      </c>
      <c r="J15" s="32">
        <v>45430</v>
      </c>
      <c r="K15" s="20" t="s">
        <v>140</v>
      </c>
      <c r="L15" s="21">
        <v>45422</v>
      </c>
      <c r="M15" s="22">
        <v>45504</v>
      </c>
      <c r="N15" s="23" t="s">
        <v>140</v>
      </c>
      <c r="O15" s="23" t="s">
        <v>140</v>
      </c>
      <c r="P15" s="23" t="s">
        <v>209</v>
      </c>
      <c r="Q15" s="23" t="s">
        <v>140</v>
      </c>
      <c r="R15" s="23" t="s">
        <v>147</v>
      </c>
      <c r="S15" s="23" t="s">
        <v>140</v>
      </c>
      <c r="T15" s="23" t="s">
        <v>177</v>
      </c>
      <c r="U15" s="23" t="s">
        <v>177</v>
      </c>
      <c r="V15" s="23" t="s">
        <v>140</v>
      </c>
      <c r="W15" s="23" t="s">
        <v>140</v>
      </c>
      <c r="X15" s="23" t="s">
        <v>140</v>
      </c>
      <c r="Y15" s="23" t="s">
        <v>11</v>
      </c>
      <c r="Z15" s="23" t="s">
        <v>209</v>
      </c>
      <c r="AA15" s="23" t="s">
        <v>140</v>
      </c>
      <c r="AB15" s="23" t="s">
        <v>487</v>
      </c>
      <c r="AC15" s="23" t="s">
        <v>488</v>
      </c>
      <c r="AE15" s="23">
        <v>125000</v>
      </c>
      <c r="AF15" s="38">
        <v>137500</v>
      </c>
      <c r="AG15" s="38" t="s">
        <v>140</v>
      </c>
      <c r="AH15" s="23" t="s">
        <v>140</v>
      </c>
      <c r="AI15" s="23" t="s">
        <v>11</v>
      </c>
      <c r="AJ15" s="23" t="s">
        <v>11</v>
      </c>
      <c r="AK15" s="23" t="s">
        <v>11</v>
      </c>
      <c r="AL15" s="23" t="s">
        <v>11</v>
      </c>
      <c r="AM15" s="23" t="s">
        <v>11</v>
      </c>
      <c r="AN15" s="23" t="s">
        <v>11</v>
      </c>
      <c r="AO15" s="23" t="s">
        <v>11</v>
      </c>
      <c r="AP15" s="23" t="s">
        <v>11</v>
      </c>
      <c r="AQ15" s="23" t="s">
        <v>177</v>
      </c>
      <c r="AR15" s="23" t="s">
        <v>209</v>
      </c>
      <c r="AS15" s="23" t="s">
        <v>11</v>
      </c>
      <c r="AT15" s="23" t="s">
        <v>11</v>
      </c>
      <c r="AU15" s="23" t="s">
        <v>140</v>
      </c>
      <c r="AV15" s="23" t="s">
        <v>140</v>
      </c>
      <c r="AW15" s="23" t="s">
        <v>140</v>
      </c>
      <c r="AX15" s="23" t="s">
        <v>140</v>
      </c>
      <c r="AY15" s="23" t="s">
        <v>140</v>
      </c>
      <c r="AZ15" s="23" t="s">
        <v>140</v>
      </c>
      <c r="BB15" s="25"/>
      <c r="BC15" s="25" t="s">
        <v>138</v>
      </c>
      <c r="BD15" s="25" t="s">
        <v>138</v>
      </c>
    </row>
    <row r="16" spans="1:56" x14ac:dyDescent="0.25">
      <c r="A16" s="13">
        <f t="shared" si="1"/>
        <v>14</v>
      </c>
      <c r="B16" s="376"/>
      <c r="C16" s="14" t="s">
        <v>425</v>
      </c>
      <c r="D16" s="15" t="s">
        <v>416</v>
      </c>
      <c r="E16" s="15" t="s">
        <v>413</v>
      </c>
      <c r="F16" s="16" t="s">
        <v>136</v>
      </c>
      <c r="G16" s="30">
        <v>45402</v>
      </c>
      <c r="H16" s="31">
        <v>45402</v>
      </c>
      <c r="I16" s="31">
        <v>45405</v>
      </c>
      <c r="J16" s="32">
        <v>45412</v>
      </c>
      <c r="K16" s="20" t="s">
        <v>140</v>
      </c>
      <c r="L16" s="21">
        <v>45412</v>
      </c>
      <c r="M16" s="22">
        <v>45504</v>
      </c>
      <c r="N16" s="33" t="s">
        <v>140</v>
      </c>
      <c r="O16" s="23" t="s">
        <v>140</v>
      </c>
      <c r="P16" s="23" t="s">
        <v>140</v>
      </c>
      <c r="Q16" s="23" t="s">
        <v>140</v>
      </c>
      <c r="R16" s="23" t="s">
        <v>147</v>
      </c>
      <c r="S16" s="23" t="s">
        <v>140</v>
      </c>
      <c r="T16" s="23" t="s">
        <v>177</v>
      </c>
      <c r="U16" s="23" t="s">
        <v>11</v>
      </c>
      <c r="V16" s="23" t="s">
        <v>140</v>
      </c>
      <c r="W16" s="23" t="s">
        <v>140</v>
      </c>
      <c r="X16" s="23" t="s">
        <v>140</v>
      </c>
      <c r="Y16" s="23" t="s">
        <v>11</v>
      </c>
      <c r="Z16" s="23" t="s">
        <v>11</v>
      </c>
      <c r="AA16" s="23" t="s">
        <v>11</v>
      </c>
      <c r="AB16" s="23" t="s">
        <v>133</v>
      </c>
      <c r="AC16" s="23" t="s">
        <v>133</v>
      </c>
      <c r="AE16" s="23">
        <v>105000</v>
      </c>
      <c r="AF16" s="38">
        <v>110000</v>
      </c>
      <c r="AG16" s="38" t="s">
        <v>140</v>
      </c>
      <c r="AH16" s="23" t="s">
        <v>140</v>
      </c>
      <c r="AI16" s="23" t="s">
        <v>11</v>
      </c>
      <c r="AJ16" s="23"/>
      <c r="AK16" s="23"/>
      <c r="AL16" s="23"/>
      <c r="AM16" s="23"/>
      <c r="AN16" s="23"/>
      <c r="AO16" s="23"/>
      <c r="AP16" s="23"/>
      <c r="AQ16" s="23"/>
      <c r="AR16" s="23"/>
      <c r="AS16" s="23"/>
      <c r="AT16" s="23"/>
      <c r="AU16" s="23"/>
      <c r="AV16" s="23"/>
      <c r="AW16" s="23"/>
      <c r="AX16" s="23"/>
      <c r="AY16" s="23"/>
      <c r="AZ16" s="23"/>
      <c r="BB16" s="39"/>
      <c r="BC16" s="25" t="s">
        <v>489</v>
      </c>
      <c r="BD16" s="25" t="s">
        <v>489</v>
      </c>
    </row>
    <row r="17" spans="1:56" x14ac:dyDescent="0.25">
      <c r="A17" s="13">
        <f t="shared" si="1"/>
        <v>15</v>
      </c>
      <c r="B17" s="376"/>
      <c r="C17" s="14" t="s">
        <v>210</v>
      </c>
      <c r="D17" s="15" t="s">
        <v>11</v>
      </c>
      <c r="E17" s="15" t="s">
        <v>11</v>
      </c>
      <c r="F17" s="26"/>
      <c r="G17" s="27" t="s">
        <v>11</v>
      </c>
      <c r="H17" s="27" t="s">
        <v>11</v>
      </c>
      <c r="I17" s="27" t="s">
        <v>11</v>
      </c>
      <c r="J17" s="27" t="s">
        <v>11</v>
      </c>
      <c r="K17" s="23" t="s">
        <v>11</v>
      </c>
      <c r="L17" s="23" t="s">
        <v>11</v>
      </c>
      <c r="M17" s="28" t="s">
        <v>11</v>
      </c>
      <c r="N17" s="33" t="s">
        <v>11</v>
      </c>
      <c r="O17" s="23" t="s">
        <v>11</v>
      </c>
      <c r="P17" s="23" t="s">
        <v>177</v>
      </c>
      <c r="Q17" s="23" t="s">
        <v>11</v>
      </c>
      <c r="R17" s="23" t="s">
        <v>11</v>
      </c>
      <c r="S17" s="23" t="s">
        <v>11</v>
      </c>
      <c r="T17" s="23" t="s">
        <v>11</v>
      </c>
      <c r="U17" s="23" t="s">
        <v>11</v>
      </c>
      <c r="V17" s="23" t="s">
        <v>11</v>
      </c>
      <c r="W17" s="23" t="s">
        <v>11</v>
      </c>
      <c r="X17" s="23" t="s">
        <v>11</v>
      </c>
      <c r="Y17" s="23" t="s">
        <v>11</v>
      </c>
      <c r="Z17" s="23" t="s">
        <v>11</v>
      </c>
      <c r="AA17" s="23" t="s">
        <v>11</v>
      </c>
      <c r="AB17" s="23" t="s">
        <v>11</v>
      </c>
      <c r="AC17" s="23" t="s">
        <v>11</v>
      </c>
      <c r="AE17" s="23" t="s">
        <v>11</v>
      </c>
      <c r="AF17" s="23" t="s">
        <v>11</v>
      </c>
      <c r="AG17" s="23" t="s">
        <v>11</v>
      </c>
      <c r="AH17" s="23" t="s">
        <v>11</v>
      </c>
      <c r="AI17" s="23" t="s">
        <v>11</v>
      </c>
      <c r="AJ17" s="23" t="s">
        <v>11</v>
      </c>
      <c r="AK17" s="23" t="s">
        <v>11</v>
      </c>
      <c r="AL17" s="23" t="s">
        <v>11</v>
      </c>
      <c r="AM17" s="23" t="s">
        <v>11</v>
      </c>
      <c r="AN17" s="23" t="s">
        <v>11</v>
      </c>
      <c r="AO17" s="23" t="s">
        <v>11</v>
      </c>
      <c r="AP17" s="23" t="s">
        <v>11</v>
      </c>
      <c r="AQ17" s="23" t="s">
        <v>11</v>
      </c>
      <c r="AR17" s="23" t="s">
        <v>11</v>
      </c>
      <c r="AS17" s="23" t="s">
        <v>11</v>
      </c>
      <c r="AT17" s="23" t="s">
        <v>11</v>
      </c>
      <c r="AU17" s="23" t="s">
        <v>11</v>
      </c>
      <c r="AV17" s="23" t="s">
        <v>11</v>
      </c>
      <c r="AW17" s="23" t="s">
        <v>11</v>
      </c>
      <c r="AX17" s="23" t="s">
        <v>11</v>
      </c>
      <c r="AY17" s="23" t="s">
        <v>11</v>
      </c>
      <c r="AZ17" s="23" t="s">
        <v>11</v>
      </c>
      <c r="BB17" s="23" t="s">
        <v>11</v>
      </c>
      <c r="BC17" s="40" t="s">
        <v>11</v>
      </c>
      <c r="BD17" s="29" t="s">
        <v>11</v>
      </c>
    </row>
    <row r="18" spans="1:56" x14ac:dyDescent="0.25">
      <c r="A18" s="13">
        <f t="shared" si="1"/>
        <v>16</v>
      </c>
      <c r="B18" s="376"/>
      <c r="C18" s="14" t="s">
        <v>490</v>
      </c>
      <c r="D18" s="15" t="s">
        <v>416</v>
      </c>
      <c r="E18" s="15" t="s">
        <v>417</v>
      </c>
      <c r="F18" s="41" t="s">
        <v>176</v>
      </c>
      <c r="G18" s="30">
        <v>45412</v>
      </c>
      <c r="H18" s="31">
        <v>45417</v>
      </c>
      <c r="I18" s="31">
        <v>45422</v>
      </c>
      <c r="J18" s="32">
        <v>45427</v>
      </c>
      <c r="K18" s="20" t="s">
        <v>140</v>
      </c>
      <c r="L18" s="21">
        <v>45430</v>
      </c>
      <c r="M18" s="22">
        <v>45486</v>
      </c>
      <c r="N18" s="23" t="s">
        <v>140</v>
      </c>
      <c r="O18" s="23" t="s">
        <v>140</v>
      </c>
      <c r="P18" s="23" t="s">
        <v>140</v>
      </c>
      <c r="Q18" s="23" t="s">
        <v>140</v>
      </c>
      <c r="R18" s="23" t="s">
        <v>11</v>
      </c>
      <c r="S18" s="23" t="s">
        <v>140</v>
      </c>
      <c r="T18" s="23" t="s">
        <v>11</v>
      </c>
      <c r="U18" s="23" t="s">
        <v>11</v>
      </c>
      <c r="V18" s="23" t="s">
        <v>11</v>
      </c>
      <c r="W18" s="23" t="s">
        <v>140</v>
      </c>
      <c r="X18" s="23" t="s">
        <v>140</v>
      </c>
      <c r="Y18" s="23" t="s">
        <v>11</v>
      </c>
      <c r="Z18" s="23" t="s">
        <v>11</v>
      </c>
      <c r="AA18" s="23" t="s">
        <v>11</v>
      </c>
      <c r="AB18" s="23">
        <v>0</v>
      </c>
      <c r="AC18" s="23">
        <v>650000</v>
      </c>
      <c r="AE18" s="23" t="s">
        <v>11</v>
      </c>
      <c r="AF18" s="23">
        <v>85000</v>
      </c>
      <c r="AG18" s="23" t="s">
        <v>140</v>
      </c>
      <c r="AH18" s="23" t="s">
        <v>140</v>
      </c>
      <c r="AI18" s="23">
        <v>10000</v>
      </c>
      <c r="AJ18" s="23" t="s">
        <v>140</v>
      </c>
      <c r="AK18" s="23" t="s">
        <v>140</v>
      </c>
      <c r="AL18" s="23" t="s">
        <v>481</v>
      </c>
      <c r="AM18" s="23" t="s">
        <v>481</v>
      </c>
      <c r="AN18" s="23" t="s">
        <v>481</v>
      </c>
      <c r="AO18" s="23" t="s">
        <v>140</v>
      </c>
      <c r="AP18" s="23" t="s">
        <v>140</v>
      </c>
      <c r="AQ18" s="23" t="s">
        <v>481</v>
      </c>
      <c r="AR18" s="23" t="s">
        <v>11</v>
      </c>
      <c r="AS18" s="23" t="s">
        <v>11</v>
      </c>
      <c r="AT18" s="23" t="s">
        <v>11</v>
      </c>
      <c r="AU18" s="23" t="s">
        <v>11</v>
      </c>
      <c r="AV18" s="23" t="s">
        <v>11</v>
      </c>
      <c r="AW18" s="23" t="s">
        <v>11</v>
      </c>
      <c r="AX18" s="23" t="s">
        <v>11</v>
      </c>
      <c r="AY18" s="23" t="s">
        <v>11</v>
      </c>
      <c r="AZ18" s="23" t="s">
        <v>11</v>
      </c>
      <c r="BB18" s="42"/>
      <c r="BC18" s="25" t="s">
        <v>138</v>
      </c>
      <c r="BD18" s="25" t="s">
        <v>138</v>
      </c>
    </row>
    <row r="19" spans="1:56" x14ac:dyDescent="0.25">
      <c r="A19" s="13">
        <f t="shared" si="1"/>
        <v>17</v>
      </c>
      <c r="B19" s="376"/>
      <c r="C19" s="14" t="s">
        <v>422</v>
      </c>
      <c r="D19" s="15" t="s">
        <v>11</v>
      </c>
      <c r="E19" s="15" t="s">
        <v>11</v>
      </c>
      <c r="G19" s="27" t="s">
        <v>11</v>
      </c>
      <c r="H19" s="27" t="s">
        <v>11</v>
      </c>
      <c r="I19" s="27" t="s">
        <v>11</v>
      </c>
      <c r="J19" s="27" t="s">
        <v>11</v>
      </c>
      <c r="K19" s="23" t="s">
        <v>11</v>
      </c>
      <c r="L19" s="23" t="s">
        <v>11</v>
      </c>
      <c r="M19" s="28" t="s">
        <v>11</v>
      </c>
      <c r="N19" s="33" t="s">
        <v>11</v>
      </c>
      <c r="O19" s="23" t="s">
        <v>11</v>
      </c>
      <c r="P19" s="23" t="s">
        <v>11</v>
      </c>
      <c r="Q19" s="23" t="s">
        <v>11</v>
      </c>
      <c r="R19" s="23" t="s">
        <v>11</v>
      </c>
      <c r="S19" s="23" t="s">
        <v>11</v>
      </c>
      <c r="T19" s="23" t="s">
        <v>11</v>
      </c>
      <c r="U19" s="23" t="s">
        <v>11</v>
      </c>
      <c r="V19" s="23" t="s">
        <v>11</v>
      </c>
      <c r="W19" s="23" t="s">
        <v>11</v>
      </c>
      <c r="X19" s="23" t="s">
        <v>11</v>
      </c>
      <c r="Y19" s="23" t="s">
        <v>11</v>
      </c>
      <c r="Z19" s="23" t="s">
        <v>11</v>
      </c>
      <c r="AA19" s="23" t="s">
        <v>11</v>
      </c>
      <c r="AB19" s="23" t="s">
        <v>11</v>
      </c>
      <c r="AC19" s="23" t="s">
        <v>133</v>
      </c>
      <c r="AE19" s="23" t="s">
        <v>11</v>
      </c>
      <c r="AF19" s="23" t="s">
        <v>11</v>
      </c>
      <c r="AG19" s="23" t="s">
        <v>11</v>
      </c>
      <c r="AH19" s="23" t="s">
        <v>11</v>
      </c>
      <c r="AI19" s="23" t="s">
        <v>11</v>
      </c>
      <c r="AJ19" s="23" t="s">
        <v>11</v>
      </c>
      <c r="AK19" s="23" t="s">
        <v>11</v>
      </c>
      <c r="AL19" s="23" t="s">
        <v>481</v>
      </c>
      <c r="AM19" s="23" t="s">
        <v>11</v>
      </c>
      <c r="AN19" s="23" t="s">
        <v>11</v>
      </c>
      <c r="AO19" s="23" t="s">
        <v>11</v>
      </c>
      <c r="AP19" s="23" t="s">
        <v>11</v>
      </c>
      <c r="AQ19" s="23" t="s">
        <v>11</v>
      </c>
      <c r="AR19" s="23" t="s">
        <v>11</v>
      </c>
      <c r="AS19" s="23" t="s">
        <v>11</v>
      </c>
      <c r="AT19" s="23" t="s">
        <v>11</v>
      </c>
      <c r="AU19" s="23" t="s">
        <v>11</v>
      </c>
      <c r="AV19" s="23" t="s">
        <v>11</v>
      </c>
      <c r="AW19" s="23" t="s">
        <v>11</v>
      </c>
      <c r="AX19" s="23" t="s">
        <v>11</v>
      </c>
      <c r="AY19" s="23" t="s">
        <v>11</v>
      </c>
      <c r="AZ19" s="23" t="s">
        <v>11</v>
      </c>
      <c r="BB19" s="29"/>
      <c r="BC19" s="25" t="s">
        <v>11</v>
      </c>
      <c r="BD19" s="25" t="s">
        <v>11</v>
      </c>
    </row>
    <row r="20" spans="1:56" x14ac:dyDescent="0.25">
      <c r="A20" s="13">
        <v>18</v>
      </c>
      <c r="B20" s="376"/>
      <c r="C20" s="14" t="s">
        <v>491</v>
      </c>
      <c r="D20" s="15" t="s">
        <v>11</v>
      </c>
      <c r="E20" s="15" t="s">
        <v>11</v>
      </c>
      <c r="F20" s="26"/>
      <c r="G20" s="27">
        <v>45458</v>
      </c>
      <c r="H20" s="27">
        <v>45458</v>
      </c>
      <c r="I20" s="27">
        <v>45463</v>
      </c>
      <c r="J20" s="27" t="s">
        <v>11</v>
      </c>
      <c r="K20" s="23" t="s">
        <v>11</v>
      </c>
      <c r="L20" s="23" t="s">
        <v>11</v>
      </c>
      <c r="M20" s="22">
        <v>45504</v>
      </c>
      <c r="N20" s="28" t="s">
        <v>11</v>
      </c>
      <c r="O20" s="33" t="s">
        <v>11</v>
      </c>
      <c r="P20" s="23" t="s">
        <v>11</v>
      </c>
      <c r="Q20" s="23" t="s">
        <v>11</v>
      </c>
      <c r="R20" s="23" t="s">
        <v>11</v>
      </c>
      <c r="S20" s="23" t="s">
        <v>11</v>
      </c>
      <c r="T20" s="23" t="s">
        <v>11</v>
      </c>
      <c r="U20" s="23" t="s">
        <v>11</v>
      </c>
      <c r="V20" s="23" t="s">
        <v>11</v>
      </c>
      <c r="W20" s="23" t="s">
        <v>11</v>
      </c>
      <c r="X20" s="23" t="s">
        <v>11</v>
      </c>
      <c r="Y20" s="23" t="s">
        <v>11</v>
      </c>
      <c r="Z20" s="23" t="s">
        <v>11</v>
      </c>
      <c r="AA20" s="23" t="s">
        <v>11</v>
      </c>
      <c r="AB20" s="23" t="s">
        <v>11</v>
      </c>
      <c r="AC20" s="23" t="s">
        <v>11</v>
      </c>
      <c r="AD20" s="23" t="s">
        <v>133</v>
      </c>
      <c r="AE20" s="23">
        <v>5500</v>
      </c>
      <c r="AF20" s="23">
        <v>6050</v>
      </c>
      <c r="AG20" s="23" t="s">
        <v>11</v>
      </c>
      <c r="AH20" s="23" t="s">
        <v>11</v>
      </c>
      <c r="AI20" s="23" t="s">
        <v>11</v>
      </c>
      <c r="AJ20" s="23" t="s">
        <v>11</v>
      </c>
      <c r="AK20" s="23" t="s">
        <v>11</v>
      </c>
      <c r="AL20" s="23" t="s">
        <v>11</v>
      </c>
      <c r="AM20" s="23" t="s">
        <v>11</v>
      </c>
      <c r="AN20" s="23" t="s">
        <v>11</v>
      </c>
      <c r="AO20" s="23" t="s">
        <v>11</v>
      </c>
      <c r="AP20" s="23" t="s">
        <v>11</v>
      </c>
      <c r="AQ20" s="23" t="s">
        <v>11</v>
      </c>
      <c r="AR20" s="23" t="s">
        <v>11</v>
      </c>
      <c r="AS20" s="23" t="s">
        <v>11</v>
      </c>
      <c r="AT20" s="23" t="s">
        <v>11</v>
      </c>
      <c r="AU20" s="23" t="s">
        <v>11</v>
      </c>
      <c r="AV20" s="23" t="s">
        <v>11</v>
      </c>
      <c r="AW20" s="23" t="s">
        <v>11</v>
      </c>
      <c r="AX20" s="23" t="s">
        <v>11</v>
      </c>
      <c r="AY20" s="23" t="s">
        <v>11</v>
      </c>
      <c r="AZ20" s="23" t="s">
        <v>11</v>
      </c>
      <c r="BB20" s="29"/>
      <c r="BC20" s="25" t="s">
        <v>11</v>
      </c>
      <c r="BD20" s="25" t="s">
        <v>11</v>
      </c>
    </row>
    <row r="21" spans="1:56" x14ac:dyDescent="0.25">
      <c r="A21" s="13">
        <v>19</v>
      </c>
      <c r="B21" s="376"/>
      <c r="C21" s="14" t="s">
        <v>492</v>
      </c>
      <c r="D21" s="15" t="s">
        <v>11</v>
      </c>
      <c r="E21" s="15" t="s">
        <v>11</v>
      </c>
      <c r="F21" s="26"/>
      <c r="G21" s="27">
        <v>45458</v>
      </c>
      <c r="H21" s="27">
        <v>45458</v>
      </c>
      <c r="I21" s="27">
        <v>45463</v>
      </c>
      <c r="J21" s="27" t="s">
        <v>11</v>
      </c>
      <c r="K21" s="23" t="s">
        <v>11</v>
      </c>
      <c r="L21" s="23" t="s">
        <v>11</v>
      </c>
      <c r="M21" s="22">
        <v>45504</v>
      </c>
      <c r="N21" s="28" t="s">
        <v>11</v>
      </c>
      <c r="O21" s="33" t="s">
        <v>11</v>
      </c>
      <c r="P21" s="23" t="s">
        <v>11</v>
      </c>
      <c r="Q21" s="23" t="s">
        <v>11</v>
      </c>
      <c r="R21" s="23" t="s">
        <v>11</v>
      </c>
      <c r="S21" s="23" t="s">
        <v>11</v>
      </c>
      <c r="T21" s="23" t="s">
        <v>11</v>
      </c>
      <c r="U21" s="23" t="s">
        <v>11</v>
      </c>
      <c r="V21" s="23" t="s">
        <v>11</v>
      </c>
      <c r="W21" s="23" t="s">
        <v>11</v>
      </c>
      <c r="X21" s="23" t="s">
        <v>11</v>
      </c>
      <c r="Y21" s="23" t="s">
        <v>11</v>
      </c>
      <c r="Z21" s="23" t="s">
        <v>11</v>
      </c>
      <c r="AA21" s="23" t="s">
        <v>11</v>
      </c>
      <c r="AB21" s="23" t="s">
        <v>11</v>
      </c>
      <c r="AC21" s="23" t="s">
        <v>11</v>
      </c>
      <c r="AD21" s="23" t="s">
        <v>133</v>
      </c>
      <c r="AE21" s="23">
        <v>15500</v>
      </c>
      <c r="AF21" s="23">
        <v>17050</v>
      </c>
      <c r="AG21" s="23" t="s">
        <v>11</v>
      </c>
      <c r="AH21" s="23" t="s">
        <v>11</v>
      </c>
      <c r="AI21" s="23" t="s">
        <v>11</v>
      </c>
      <c r="AJ21" s="23" t="s">
        <v>11</v>
      </c>
      <c r="AK21" s="23" t="s">
        <v>11</v>
      </c>
      <c r="AL21" s="23" t="s">
        <v>11</v>
      </c>
      <c r="AM21" s="23" t="s">
        <v>11</v>
      </c>
      <c r="AN21" s="23" t="s">
        <v>11</v>
      </c>
      <c r="AO21" s="23" t="s">
        <v>11</v>
      </c>
      <c r="AP21" s="23" t="s">
        <v>11</v>
      </c>
      <c r="AQ21" s="23" t="s">
        <v>11</v>
      </c>
      <c r="AR21" s="23" t="s">
        <v>11</v>
      </c>
      <c r="AS21" s="23" t="s">
        <v>11</v>
      </c>
      <c r="AT21" s="23" t="s">
        <v>11</v>
      </c>
      <c r="AU21" s="23" t="s">
        <v>11</v>
      </c>
      <c r="AV21" s="23" t="s">
        <v>11</v>
      </c>
      <c r="AW21" s="23" t="s">
        <v>11</v>
      </c>
      <c r="AX21" s="23" t="s">
        <v>11</v>
      </c>
      <c r="AY21" s="23" t="s">
        <v>11</v>
      </c>
      <c r="AZ21" s="23" t="s">
        <v>11</v>
      </c>
      <c r="BB21" s="29"/>
      <c r="BC21" s="25" t="s">
        <v>11</v>
      </c>
      <c r="BD21" s="25" t="s">
        <v>11</v>
      </c>
    </row>
    <row r="22" spans="1:56" x14ac:dyDescent="0.25">
      <c r="A22" s="13">
        <v>20</v>
      </c>
      <c r="B22" s="377"/>
      <c r="C22" s="14" t="s">
        <v>429</v>
      </c>
      <c r="D22" s="15" t="s">
        <v>423</v>
      </c>
      <c r="E22" s="15" t="s">
        <v>426</v>
      </c>
      <c r="F22" s="26" t="s">
        <v>136</v>
      </c>
      <c r="G22" s="27" t="s">
        <v>11</v>
      </c>
      <c r="H22" s="27" t="s">
        <v>11</v>
      </c>
      <c r="I22" s="27" t="s">
        <v>11</v>
      </c>
      <c r="J22" s="27" t="s">
        <v>11</v>
      </c>
      <c r="K22" s="23" t="s">
        <v>140</v>
      </c>
      <c r="L22" s="21">
        <v>45426</v>
      </c>
      <c r="M22" s="22" t="s">
        <v>209</v>
      </c>
      <c r="N22" s="33" t="s">
        <v>11</v>
      </c>
      <c r="O22" s="23" t="s">
        <v>147</v>
      </c>
      <c r="P22" s="23" t="s">
        <v>140</v>
      </c>
      <c r="Q22" s="23" t="s">
        <v>140</v>
      </c>
      <c r="R22" s="23" t="s">
        <v>140</v>
      </c>
      <c r="S22" s="23" t="s">
        <v>140</v>
      </c>
      <c r="T22" s="23" t="s">
        <v>11</v>
      </c>
      <c r="U22" s="23" t="s">
        <v>11</v>
      </c>
      <c r="V22" s="23" t="s">
        <v>177</v>
      </c>
      <c r="W22" s="23" t="s">
        <v>140</v>
      </c>
      <c r="X22" s="23" t="s">
        <v>140</v>
      </c>
      <c r="Y22" s="23" t="s">
        <v>11</v>
      </c>
      <c r="Z22" s="23" t="s">
        <v>11</v>
      </c>
      <c r="AA22" s="23" t="s">
        <v>11</v>
      </c>
      <c r="AB22" s="23" t="s">
        <v>133</v>
      </c>
      <c r="AC22" s="23" t="s">
        <v>133</v>
      </c>
      <c r="AE22" s="23">
        <v>40000</v>
      </c>
      <c r="AF22" s="23">
        <v>40000</v>
      </c>
      <c r="AG22" s="23" t="s">
        <v>147</v>
      </c>
      <c r="AH22" s="23" t="s">
        <v>148</v>
      </c>
      <c r="AI22" s="23"/>
      <c r="AJ22" s="23"/>
      <c r="AK22" s="23"/>
      <c r="AL22" s="23"/>
      <c r="AM22" s="23"/>
      <c r="AN22" s="23"/>
      <c r="AO22" s="23"/>
      <c r="AP22" s="23"/>
      <c r="AQ22" s="23"/>
      <c r="AR22" s="23"/>
      <c r="AS22" s="23"/>
      <c r="AT22" s="23"/>
      <c r="AU22" s="23"/>
      <c r="AV22" s="23"/>
      <c r="AW22" s="23"/>
      <c r="AX22" s="23"/>
      <c r="AY22" s="23"/>
      <c r="AZ22" s="23"/>
      <c r="BB22" s="29"/>
      <c r="BC22" s="25" t="s">
        <v>493</v>
      </c>
      <c r="BD22" s="25" t="s">
        <v>493</v>
      </c>
    </row>
    <row r="23" spans="1:56" x14ac:dyDescent="0.25">
      <c r="A23" s="13">
        <f t="shared" si="1"/>
        <v>21</v>
      </c>
      <c r="B23" s="375" t="s">
        <v>367</v>
      </c>
      <c r="C23" s="14" t="s">
        <v>321</v>
      </c>
      <c r="D23" s="15" t="s">
        <v>412</v>
      </c>
      <c r="E23" s="15" t="s">
        <v>426</v>
      </c>
      <c r="F23" s="16" t="s">
        <v>347</v>
      </c>
      <c r="G23" s="30">
        <v>45399</v>
      </c>
      <c r="H23" s="31">
        <v>45404</v>
      </c>
      <c r="I23" s="31">
        <v>45407</v>
      </c>
      <c r="J23" s="32">
        <v>45412</v>
      </c>
      <c r="K23" s="20" t="s">
        <v>140</v>
      </c>
      <c r="L23" s="43">
        <v>45411</v>
      </c>
      <c r="M23" s="44" t="s">
        <v>494</v>
      </c>
      <c r="N23" s="23" t="s">
        <v>140</v>
      </c>
      <c r="O23" s="23" t="s">
        <v>140</v>
      </c>
      <c r="P23" s="23" t="s">
        <v>140</v>
      </c>
      <c r="Q23" s="23" t="s">
        <v>140</v>
      </c>
      <c r="R23" s="23" t="s">
        <v>11</v>
      </c>
      <c r="S23" s="23" t="s">
        <v>140</v>
      </c>
      <c r="T23" s="23" t="s">
        <v>11</v>
      </c>
      <c r="U23" s="23" t="s">
        <v>11</v>
      </c>
      <c r="V23" s="23" t="s">
        <v>140</v>
      </c>
      <c r="W23" s="23" t="s">
        <v>140</v>
      </c>
      <c r="X23" s="23" t="s">
        <v>140</v>
      </c>
      <c r="Y23" s="23" t="s">
        <v>11</v>
      </c>
      <c r="Z23" s="23" t="s">
        <v>140</v>
      </c>
      <c r="AA23" s="23" t="s">
        <v>11</v>
      </c>
      <c r="AB23" s="24" t="s">
        <v>495</v>
      </c>
      <c r="AC23" s="24">
        <v>28464155.530000001</v>
      </c>
      <c r="AE23" s="24">
        <f>73500+24500</f>
        <v>98000</v>
      </c>
      <c r="AF23" s="24">
        <f>80900+27000</f>
        <v>107900</v>
      </c>
      <c r="AG23" s="24" t="s">
        <v>140</v>
      </c>
      <c r="AH23" s="24" t="s">
        <v>140</v>
      </c>
      <c r="AI23" s="24">
        <v>13500</v>
      </c>
      <c r="AJ23" s="23" t="s">
        <v>140</v>
      </c>
      <c r="AK23" s="23" t="s">
        <v>140</v>
      </c>
      <c r="AL23" s="23" t="s">
        <v>140</v>
      </c>
      <c r="AM23" s="23" t="s">
        <v>11</v>
      </c>
      <c r="AN23" s="23" t="s">
        <v>11</v>
      </c>
      <c r="AO23" s="23" t="s">
        <v>140</v>
      </c>
      <c r="AP23" s="23" t="s">
        <v>11</v>
      </c>
      <c r="AQ23" s="23" t="s">
        <v>11</v>
      </c>
      <c r="AR23" s="23" t="s">
        <v>140</v>
      </c>
      <c r="AS23" s="23" t="s">
        <v>140</v>
      </c>
      <c r="AT23" s="23" t="s">
        <v>140</v>
      </c>
      <c r="AU23" s="23" t="s">
        <v>11</v>
      </c>
      <c r="AV23" s="23" t="s">
        <v>11</v>
      </c>
      <c r="AW23" s="23" t="s">
        <v>11</v>
      </c>
      <c r="AX23" s="23" t="s">
        <v>140</v>
      </c>
      <c r="AY23" s="23" t="s">
        <v>140</v>
      </c>
      <c r="AZ23" s="23" t="s">
        <v>140</v>
      </c>
      <c r="BB23" s="25" t="s">
        <v>496</v>
      </c>
      <c r="BC23" s="25" t="s">
        <v>138</v>
      </c>
      <c r="BD23" s="25" t="s">
        <v>138</v>
      </c>
    </row>
    <row r="24" spans="1:56" x14ac:dyDescent="0.25">
      <c r="A24" s="13">
        <f t="shared" si="1"/>
        <v>22</v>
      </c>
      <c r="B24" s="376"/>
      <c r="C24" s="14" t="s">
        <v>327</v>
      </c>
      <c r="D24" s="15" t="s">
        <v>416</v>
      </c>
      <c r="E24" s="15" t="s">
        <v>413</v>
      </c>
      <c r="F24" s="16" t="s">
        <v>369</v>
      </c>
      <c r="G24" s="30">
        <v>45397</v>
      </c>
      <c r="H24" s="31">
        <v>45407</v>
      </c>
      <c r="I24" s="31">
        <v>45419</v>
      </c>
      <c r="J24" s="32">
        <v>45427</v>
      </c>
      <c r="K24" s="20" t="s">
        <v>140</v>
      </c>
      <c r="L24" s="21">
        <v>45427</v>
      </c>
      <c r="M24" s="22" t="s">
        <v>494</v>
      </c>
      <c r="N24" s="23" t="s">
        <v>140</v>
      </c>
      <c r="O24" s="23" t="s">
        <v>140</v>
      </c>
      <c r="P24" s="23" t="s">
        <v>140</v>
      </c>
      <c r="Q24" s="23" t="s">
        <v>140</v>
      </c>
      <c r="R24" s="23" t="s">
        <v>11</v>
      </c>
      <c r="S24" s="23" t="s">
        <v>140</v>
      </c>
      <c r="T24" s="23" t="s">
        <v>11</v>
      </c>
      <c r="U24" s="23" t="s">
        <v>11</v>
      </c>
      <c r="V24" s="23" t="s">
        <v>140</v>
      </c>
      <c r="W24" s="23" t="s">
        <v>11</v>
      </c>
      <c r="X24" s="23" t="s">
        <v>11</v>
      </c>
      <c r="Y24" s="23" t="s">
        <v>140</v>
      </c>
      <c r="Z24" s="23" t="s">
        <v>140</v>
      </c>
      <c r="AA24" s="23" t="s">
        <v>140</v>
      </c>
      <c r="AB24" s="24">
        <v>3404327</v>
      </c>
      <c r="AC24" s="45">
        <v>66630989.57</v>
      </c>
      <c r="AE24" s="24">
        <v>50000</v>
      </c>
      <c r="AF24" s="24">
        <v>99000</v>
      </c>
      <c r="AG24" s="24" t="s">
        <v>140</v>
      </c>
      <c r="AH24" s="24" t="s">
        <v>140</v>
      </c>
      <c r="AI24" s="24">
        <v>11000</v>
      </c>
      <c r="AJ24" s="23" t="s">
        <v>140</v>
      </c>
      <c r="AK24" s="23" t="s">
        <v>140</v>
      </c>
      <c r="AL24" s="23" t="s">
        <v>481</v>
      </c>
      <c r="AM24" s="23" t="s">
        <v>481</v>
      </c>
      <c r="AN24" s="23" t="s">
        <v>481</v>
      </c>
      <c r="AO24" s="23" t="s">
        <v>140</v>
      </c>
      <c r="AP24" s="23" t="s">
        <v>481</v>
      </c>
      <c r="AQ24" s="23" t="s">
        <v>481</v>
      </c>
      <c r="AR24" s="23" t="s">
        <v>140</v>
      </c>
      <c r="AS24" s="23" t="s">
        <v>140</v>
      </c>
      <c r="AT24" s="23" t="s">
        <v>140</v>
      </c>
      <c r="AU24" s="23" t="s">
        <v>140</v>
      </c>
      <c r="AV24" s="23" t="s">
        <v>140</v>
      </c>
      <c r="AW24" s="23" t="s">
        <v>140</v>
      </c>
      <c r="AX24" s="23" t="s">
        <v>140</v>
      </c>
      <c r="AY24" s="23" t="s">
        <v>140</v>
      </c>
      <c r="AZ24" s="23" t="s">
        <v>140</v>
      </c>
      <c r="BB24" s="25" t="s">
        <v>11</v>
      </c>
      <c r="BC24" s="25" t="s">
        <v>11</v>
      </c>
      <c r="BD24" s="25" t="s">
        <v>11</v>
      </c>
    </row>
    <row r="25" spans="1:56" x14ac:dyDescent="0.25">
      <c r="A25" s="13">
        <f t="shared" si="1"/>
        <v>23</v>
      </c>
      <c r="B25" s="376"/>
      <c r="C25" s="14" t="s">
        <v>330</v>
      </c>
      <c r="D25" s="15" t="s">
        <v>416</v>
      </c>
      <c r="E25" s="15" t="s">
        <v>417</v>
      </c>
      <c r="F25" s="16" t="s">
        <v>430</v>
      </c>
      <c r="G25" s="30">
        <v>45379</v>
      </c>
      <c r="H25" s="31">
        <v>45386</v>
      </c>
      <c r="I25" s="31">
        <v>45388</v>
      </c>
      <c r="J25" s="32">
        <v>45392</v>
      </c>
      <c r="K25" s="20" t="s">
        <v>140</v>
      </c>
      <c r="L25" s="43">
        <v>45392</v>
      </c>
      <c r="M25" s="44" t="s">
        <v>494</v>
      </c>
      <c r="N25" s="23" t="s">
        <v>140</v>
      </c>
      <c r="O25" s="23" t="s">
        <v>140</v>
      </c>
      <c r="P25" s="23" t="s">
        <v>140</v>
      </c>
      <c r="Q25" s="23" t="s">
        <v>140</v>
      </c>
      <c r="R25" s="23" t="s">
        <v>11</v>
      </c>
      <c r="S25" s="23" t="s">
        <v>140</v>
      </c>
      <c r="T25" s="23" t="s">
        <v>140</v>
      </c>
      <c r="U25" s="23" t="s">
        <v>140</v>
      </c>
      <c r="V25" s="23" t="s">
        <v>140</v>
      </c>
      <c r="W25" s="23" t="s">
        <v>140</v>
      </c>
      <c r="X25" s="23" t="s">
        <v>140</v>
      </c>
      <c r="Y25" s="23" t="s">
        <v>11</v>
      </c>
      <c r="Z25" s="23" t="s">
        <v>140</v>
      </c>
      <c r="AA25" s="23" t="s">
        <v>140</v>
      </c>
      <c r="AB25" s="24">
        <v>176480731</v>
      </c>
      <c r="AC25" s="24">
        <v>177992406</v>
      </c>
      <c r="AE25" s="24">
        <v>133100</v>
      </c>
      <c r="AF25" s="24">
        <v>146410</v>
      </c>
      <c r="AG25" s="24" t="s">
        <v>140</v>
      </c>
      <c r="AH25" s="24" t="s">
        <v>140</v>
      </c>
      <c r="AI25" s="24">
        <v>21956</v>
      </c>
      <c r="AJ25" s="23" t="s">
        <v>140</v>
      </c>
      <c r="AK25" s="23" t="s">
        <v>140</v>
      </c>
      <c r="AL25" s="23" t="s">
        <v>481</v>
      </c>
      <c r="AM25" s="23" t="s">
        <v>481</v>
      </c>
      <c r="AN25" s="23" t="s">
        <v>481</v>
      </c>
      <c r="AO25" s="23" t="s">
        <v>140</v>
      </c>
      <c r="AP25" s="23" t="s">
        <v>481</v>
      </c>
      <c r="AQ25" s="23" t="s">
        <v>481</v>
      </c>
      <c r="AR25" s="23" t="s">
        <v>140</v>
      </c>
      <c r="AS25" s="23" t="s">
        <v>140</v>
      </c>
      <c r="AT25" s="23" t="s">
        <v>140</v>
      </c>
      <c r="AU25" s="23" t="s">
        <v>140</v>
      </c>
      <c r="AV25" s="23" t="s">
        <v>140</v>
      </c>
      <c r="AW25" s="23" t="s">
        <v>140</v>
      </c>
      <c r="AX25" s="23" t="s">
        <v>140</v>
      </c>
      <c r="AY25" s="23" t="s">
        <v>140</v>
      </c>
      <c r="AZ25" s="23" t="s">
        <v>140</v>
      </c>
      <c r="BB25" s="25"/>
      <c r="BC25" s="25" t="s">
        <v>138</v>
      </c>
      <c r="BD25" s="25" t="s">
        <v>138</v>
      </c>
    </row>
    <row r="26" spans="1:56" x14ac:dyDescent="0.25">
      <c r="A26" s="13">
        <f t="shared" si="1"/>
        <v>24</v>
      </c>
      <c r="B26" s="376"/>
      <c r="C26" s="14" t="s">
        <v>431</v>
      </c>
      <c r="D26" s="15" t="s">
        <v>11</v>
      </c>
      <c r="E26" s="15" t="s">
        <v>11</v>
      </c>
      <c r="F26" s="16" t="s">
        <v>347</v>
      </c>
      <c r="G26" s="46">
        <v>45397</v>
      </c>
      <c r="H26" s="47">
        <v>45407</v>
      </c>
      <c r="I26" s="47">
        <v>45412</v>
      </c>
      <c r="J26" s="32">
        <v>45498</v>
      </c>
      <c r="K26" s="20" t="s">
        <v>140</v>
      </c>
      <c r="L26" s="23" t="s">
        <v>497</v>
      </c>
      <c r="M26" s="28" t="s">
        <v>494</v>
      </c>
      <c r="N26" s="23" t="s">
        <v>140</v>
      </c>
      <c r="O26" s="23" t="s">
        <v>140</v>
      </c>
      <c r="P26" s="23" t="s">
        <v>140</v>
      </c>
      <c r="Q26" s="23" t="s">
        <v>148</v>
      </c>
      <c r="R26" s="23" t="s">
        <v>11</v>
      </c>
      <c r="S26" s="23" t="s">
        <v>140</v>
      </c>
      <c r="T26" s="23" t="s">
        <v>11</v>
      </c>
      <c r="U26" s="23" t="s">
        <v>11</v>
      </c>
      <c r="V26" s="23" t="s">
        <v>11</v>
      </c>
      <c r="W26" s="23" t="s">
        <v>11</v>
      </c>
      <c r="X26" s="23" t="s">
        <v>11</v>
      </c>
      <c r="Y26" s="23" t="s">
        <v>11</v>
      </c>
      <c r="Z26" s="23" t="s">
        <v>11</v>
      </c>
      <c r="AA26" s="23" t="s">
        <v>11</v>
      </c>
      <c r="AB26" s="24">
        <v>3393450</v>
      </c>
      <c r="AC26" s="24">
        <v>0</v>
      </c>
      <c r="AE26" s="48" t="s">
        <v>11</v>
      </c>
      <c r="AF26" s="24">
        <v>30000</v>
      </c>
      <c r="AG26" s="24" t="s">
        <v>140</v>
      </c>
      <c r="AH26" s="24" t="s">
        <v>140</v>
      </c>
      <c r="AI26" s="23" t="s">
        <v>11</v>
      </c>
      <c r="AJ26" s="23" t="s">
        <v>11</v>
      </c>
      <c r="AK26" s="23" t="s">
        <v>11</v>
      </c>
      <c r="AL26" s="23" t="s">
        <v>481</v>
      </c>
      <c r="AM26" s="23" t="s">
        <v>481</v>
      </c>
      <c r="AN26" s="23" t="s">
        <v>481</v>
      </c>
      <c r="AO26" s="23" t="s">
        <v>11</v>
      </c>
      <c r="AP26" s="23" t="s">
        <v>481</v>
      </c>
      <c r="AQ26" s="23" t="s">
        <v>481</v>
      </c>
      <c r="AR26" s="23" t="s">
        <v>11</v>
      </c>
      <c r="AS26" s="23" t="s">
        <v>11</v>
      </c>
      <c r="AT26" s="23" t="s">
        <v>11</v>
      </c>
      <c r="AU26" s="23" t="s">
        <v>11</v>
      </c>
      <c r="AV26" s="23" t="s">
        <v>11</v>
      </c>
      <c r="AW26" s="23" t="s">
        <v>11</v>
      </c>
      <c r="AX26" s="23" t="s">
        <v>11</v>
      </c>
      <c r="AY26" s="23" t="s">
        <v>11</v>
      </c>
      <c r="AZ26" s="23" t="s">
        <v>11</v>
      </c>
      <c r="BB26" s="49"/>
      <c r="BC26" s="29" t="s">
        <v>147</v>
      </c>
      <c r="BD26" s="25" t="s">
        <v>138</v>
      </c>
    </row>
    <row r="27" spans="1:56" x14ac:dyDescent="0.25">
      <c r="A27" s="13">
        <v>25</v>
      </c>
      <c r="B27" s="376"/>
      <c r="C27" s="14" t="s">
        <v>432</v>
      </c>
      <c r="D27" s="15" t="s">
        <v>416</v>
      </c>
      <c r="E27" s="15" t="s">
        <v>413</v>
      </c>
      <c r="F27" s="26" t="s">
        <v>433</v>
      </c>
      <c r="G27" s="50"/>
      <c r="H27" s="20" t="s">
        <v>498</v>
      </c>
      <c r="I27" s="20" t="s">
        <v>498</v>
      </c>
      <c r="J27" s="32">
        <v>45504</v>
      </c>
      <c r="K27" s="20" t="s">
        <v>140</v>
      </c>
      <c r="L27" s="23" t="s">
        <v>499</v>
      </c>
      <c r="M27" s="28" t="s">
        <v>148</v>
      </c>
      <c r="N27" s="23" t="s">
        <v>140</v>
      </c>
      <c r="O27" s="23" t="s">
        <v>140</v>
      </c>
      <c r="P27" s="23" t="s">
        <v>140</v>
      </c>
      <c r="Q27" s="23" t="s">
        <v>140</v>
      </c>
      <c r="R27" s="23" t="s">
        <v>11</v>
      </c>
      <c r="S27" s="23" t="s">
        <v>140</v>
      </c>
      <c r="T27" s="23" t="s">
        <v>140</v>
      </c>
      <c r="U27" s="23" t="s">
        <v>140</v>
      </c>
      <c r="V27" s="23" t="s">
        <v>140</v>
      </c>
      <c r="W27" s="23" t="s">
        <v>140</v>
      </c>
      <c r="X27" s="23" t="s">
        <v>140</v>
      </c>
      <c r="Y27" s="23" t="s">
        <v>11</v>
      </c>
      <c r="Z27" s="23" t="s">
        <v>140</v>
      </c>
      <c r="AA27" s="23" t="s">
        <v>140</v>
      </c>
      <c r="AB27" s="24">
        <v>947771436.60000002</v>
      </c>
      <c r="AC27" s="24"/>
      <c r="AE27" s="51">
        <v>500000</v>
      </c>
      <c r="AF27" s="51">
        <f>AE27*1.1</f>
        <v>550000</v>
      </c>
      <c r="AG27" s="24" t="s">
        <v>140</v>
      </c>
      <c r="AH27" s="24" t="s">
        <v>148</v>
      </c>
      <c r="AI27" s="48" t="s">
        <v>11</v>
      </c>
      <c r="AJ27" s="23" t="s">
        <v>140</v>
      </c>
      <c r="AK27" s="23" t="s">
        <v>140</v>
      </c>
      <c r="AL27" s="23" t="s">
        <v>481</v>
      </c>
      <c r="AM27" s="23" t="s">
        <v>481</v>
      </c>
      <c r="AN27" s="23" t="s">
        <v>481</v>
      </c>
      <c r="AO27" s="23" t="s">
        <v>11</v>
      </c>
      <c r="AP27" s="23" t="s">
        <v>481</v>
      </c>
      <c r="AQ27" s="23" t="s">
        <v>481</v>
      </c>
      <c r="AR27" s="23" t="s">
        <v>11</v>
      </c>
      <c r="AS27" s="23" t="s">
        <v>11</v>
      </c>
      <c r="AT27" s="23" t="s">
        <v>11</v>
      </c>
      <c r="AU27" s="23" t="s">
        <v>140</v>
      </c>
      <c r="AV27" s="23" t="s">
        <v>140</v>
      </c>
      <c r="AW27" s="23" t="s">
        <v>500</v>
      </c>
      <c r="AX27" s="23" t="s">
        <v>500</v>
      </c>
      <c r="AY27" s="23" t="s">
        <v>500</v>
      </c>
      <c r="AZ27" s="23" t="s">
        <v>500</v>
      </c>
      <c r="BB27" s="52"/>
      <c r="BC27" s="29" t="s">
        <v>147</v>
      </c>
      <c r="BD27" s="29" t="s">
        <v>138</v>
      </c>
    </row>
    <row r="28" spans="1:56" x14ac:dyDescent="0.25">
      <c r="A28" s="13">
        <v>26</v>
      </c>
      <c r="B28" s="376"/>
      <c r="C28" s="14" t="s">
        <v>305</v>
      </c>
      <c r="D28" s="15" t="s">
        <v>416</v>
      </c>
      <c r="E28" s="15" t="s">
        <v>413</v>
      </c>
      <c r="F28" s="16" t="s">
        <v>369</v>
      </c>
      <c r="G28" s="46">
        <v>45397</v>
      </c>
      <c r="H28" s="47">
        <v>45407</v>
      </c>
      <c r="I28" s="47">
        <v>45412</v>
      </c>
      <c r="J28" s="32">
        <v>45443</v>
      </c>
      <c r="K28" s="20" t="s">
        <v>140</v>
      </c>
      <c r="L28" s="43">
        <v>45444</v>
      </c>
      <c r="M28" s="22" t="s">
        <v>494</v>
      </c>
      <c r="N28" s="23" t="s">
        <v>140</v>
      </c>
      <c r="O28" s="23" t="s">
        <v>140</v>
      </c>
      <c r="P28" s="23" t="s">
        <v>140</v>
      </c>
      <c r="Q28" s="23" t="s">
        <v>11</v>
      </c>
      <c r="R28" s="23" t="s">
        <v>11</v>
      </c>
      <c r="S28" s="23" t="s">
        <v>140</v>
      </c>
      <c r="T28" s="23" t="s">
        <v>11</v>
      </c>
      <c r="U28" s="23" t="s">
        <v>11</v>
      </c>
      <c r="V28" s="23" t="s">
        <v>11</v>
      </c>
      <c r="W28" s="23" t="s">
        <v>140</v>
      </c>
      <c r="X28" s="23" t="s">
        <v>140</v>
      </c>
      <c r="Y28" s="23" t="s">
        <v>11</v>
      </c>
      <c r="Z28" s="23" t="s">
        <v>11</v>
      </c>
      <c r="AA28" s="23" t="s">
        <v>11</v>
      </c>
      <c r="AB28" s="24">
        <v>0</v>
      </c>
      <c r="AC28" s="24">
        <v>0</v>
      </c>
      <c r="AE28" s="48" t="s">
        <v>11</v>
      </c>
      <c r="AF28" s="24">
        <f>80000+25000+10000</f>
        <v>115000</v>
      </c>
      <c r="AG28" s="24" t="s">
        <v>140</v>
      </c>
      <c r="AH28" s="24" t="s">
        <v>140</v>
      </c>
      <c r="AI28" s="24">
        <v>20000</v>
      </c>
      <c r="AJ28" s="23" t="s">
        <v>140</v>
      </c>
      <c r="AK28" s="23" t="s">
        <v>140</v>
      </c>
      <c r="AL28" s="23" t="s">
        <v>140</v>
      </c>
      <c r="AM28" s="23" t="s">
        <v>481</v>
      </c>
      <c r="AN28" s="23" t="s">
        <v>481</v>
      </c>
      <c r="AO28" s="23" t="s">
        <v>140</v>
      </c>
      <c r="AP28" s="23" t="s">
        <v>481</v>
      </c>
      <c r="AQ28" s="23" t="s">
        <v>481</v>
      </c>
      <c r="AR28" s="23" t="s">
        <v>11</v>
      </c>
      <c r="AS28" s="23" t="s">
        <v>11</v>
      </c>
      <c r="AT28" s="23" t="s">
        <v>11</v>
      </c>
      <c r="AU28" s="23" t="s">
        <v>11</v>
      </c>
      <c r="AV28" s="23" t="s">
        <v>11</v>
      </c>
      <c r="AW28" s="23" t="s">
        <v>11</v>
      </c>
      <c r="AX28" s="23" t="s">
        <v>11</v>
      </c>
      <c r="AY28" s="23" t="s">
        <v>11</v>
      </c>
      <c r="AZ28" s="23" t="s">
        <v>11</v>
      </c>
      <c r="BB28" s="49"/>
      <c r="BC28" s="49" t="s">
        <v>138</v>
      </c>
      <c r="BD28" s="49" t="s">
        <v>138</v>
      </c>
    </row>
    <row r="29" spans="1:56" x14ac:dyDescent="0.25">
      <c r="A29" s="13">
        <v>27</v>
      </c>
      <c r="B29" s="376"/>
      <c r="C29" s="14" t="s">
        <v>365</v>
      </c>
      <c r="D29" s="15" t="s">
        <v>416</v>
      </c>
      <c r="E29" s="15" t="s">
        <v>434</v>
      </c>
      <c r="F29" s="16" t="s">
        <v>369</v>
      </c>
      <c r="G29" s="30">
        <v>45397</v>
      </c>
      <c r="H29" s="31">
        <v>45407</v>
      </c>
      <c r="I29" s="31">
        <v>45419</v>
      </c>
      <c r="J29" s="32">
        <v>45427</v>
      </c>
      <c r="K29" s="20" t="s">
        <v>140</v>
      </c>
      <c r="L29" s="21">
        <v>45429</v>
      </c>
      <c r="M29" s="22" t="s">
        <v>494</v>
      </c>
      <c r="N29" s="23" t="s">
        <v>140</v>
      </c>
      <c r="O29" s="23" t="s">
        <v>140</v>
      </c>
      <c r="P29" s="23" t="s">
        <v>140</v>
      </c>
      <c r="Q29" s="23" t="s">
        <v>11</v>
      </c>
      <c r="R29" s="23" t="s">
        <v>11</v>
      </c>
      <c r="S29" s="23" t="s">
        <v>140</v>
      </c>
      <c r="T29" s="23" t="s">
        <v>11</v>
      </c>
      <c r="U29" s="23" t="s">
        <v>11</v>
      </c>
      <c r="V29" s="23" t="s">
        <v>11</v>
      </c>
      <c r="W29" s="23" t="s">
        <v>11</v>
      </c>
      <c r="X29" s="23" t="s">
        <v>11</v>
      </c>
      <c r="Y29" s="23" t="s">
        <v>140</v>
      </c>
      <c r="Z29" s="23" t="s">
        <v>11</v>
      </c>
      <c r="AA29" s="23" t="s">
        <v>11</v>
      </c>
      <c r="AB29" s="24">
        <v>40835761.729999997</v>
      </c>
      <c r="AC29" s="24">
        <v>0</v>
      </c>
      <c r="AE29" s="24">
        <v>70000</v>
      </c>
      <c r="AF29" s="48" t="s">
        <v>11</v>
      </c>
      <c r="AG29" s="24" t="s">
        <v>11</v>
      </c>
      <c r="AH29" s="24" t="s">
        <v>11</v>
      </c>
      <c r="AI29" s="48" t="s">
        <v>501</v>
      </c>
      <c r="AJ29" s="23" t="s">
        <v>11</v>
      </c>
      <c r="AK29" s="23" t="s">
        <v>11</v>
      </c>
      <c r="AL29" s="23" t="s">
        <v>481</v>
      </c>
      <c r="AM29" s="23" t="s">
        <v>481</v>
      </c>
      <c r="AN29" s="23" t="s">
        <v>481</v>
      </c>
      <c r="AO29" s="23" t="s">
        <v>140</v>
      </c>
      <c r="AP29" s="23" t="s">
        <v>481</v>
      </c>
      <c r="AQ29" s="23" t="s">
        <v>481</v>
      </c>
      <c r="AR29" s="23" t="s">
        <v>11</v>
      </c>
      <c r="AS29" s="23" t="s">
        <v>11</v>
      </c>
      <c r="AT29" s="23" t="s">
        <v>11</v>
      </c>
      <c r="AU29" s="23" t="s">
        <v>11</v>
      </c>
      <c r="AV29" s="23" t="s">
        <v>11</v>
      </c>
      <c r="AW29" s="23" t="s">
        <v>11</v>
      </c>
      <c r="AX29" s="23" t="s">
        <v>11</v>
      </c>
      <c r="AY29" s="23" t="s">
        <v>11</v>
      </c>
      <c r="AZ29" s="23" t="s">
        <v>11</v>
      </c>
      <c r="BB29" s="25" t="s">
        <v>11</v>
      </c>
      <c r="BC29" s="25" t="s">
        <v>11</v>
      </c>
      <c r="BD29" s="25" t="s">
        <v>11</v>
      </c>
    </row>
    <row r="30" spans="1:56" x14ac:dyDescent="0.25">
      <c r="A30" s="13">
        <v>28</v>
      </c>
      <c r="B30" s="376"/>
      <c r="C30" s="14" t="s">
        <v>345</v>
      </c>
      <c r="D30" s="15" t="s">
        <v>423</v>
      </c>
      <c r="E30" s="15" t="s">
        <v>11</v>
      </c>
      <c r="F30" s="16" t="s">
        <v>347</v>
      </c>
      <c r="G30" s="46">
        <v>45397</v>
      </c>
      <c r="H30" s="47">
        <v>45407</v>
      </c>
      <c r="I30" s="47">
        <v>45412</v>
      </c>
      <c r="J30" s="32">
        <v>45498</v>
      </c>
      <c r="K30" s="20" t="s">
        <v>140</v>
      </c>
      <c r="L30" s="23" t="s">
        <v>502</v>
      </c>
      <c r="M30" s="28" t="s">
        <v>494</v>
      </c>
      <c r="N30" s="23" t="s">
        <v>140</v>
      </c>
      <c r="O30" s="23" t="s">
        <v>140</v>
      </c>
      <c r="P30" s="23" t="s">
        <v>140</v>
      </c>
      <c r="Q30" s="23" t="s">
        <v>140</v>
      </c>
      <c r="R30" s="23" t="s">
        <v>11</v>
      </c>
      <c r="S30" s="23" t="s">
        <v>140</v>
      </c>
      <c r="T30" s="23" t="s">
        <v>11</v>
      </c>
      <c r="U30" s="23" t="s">
        <v>11</v>
      </c>
      <c r="V30" s="23" t="s">
        <v>140</v>
      </c>
      <c r="W30" s="23" t="s">
        <v>11</v>
      </c>
      <c r="X30" s="23" t="s">
        <v>11</v>
      </c>
      <c r="Y30" s="23" t="s">
        <v>11</v>
      </c>
      <c r="Z30" s="23" t="s">
        <v>11</v>
      </c>
      <c r="AA30" s="23" t="s">
        <v>11</v>
      </c>
      <c r="AB30" s="24">
        <v>0</v>
      </c>
      <c r="AC30" s="45">
        <v>24332312</v>
      </c>
      <c r="AE30" s="48" t="s">
        <v>11</v>
      </c>
      <c r="AF30" s="24">
        <f t="shared" ref="AF30:AF31" si="2">80000+45000</f>
        <v>125000</v>
      </c>
      <c r="AG30" s="24" t="s">
        <v>140</v>
      </c>
      <c r="AH30" s="24" t="s">
        <v>140</v>
      </c>
      <c r="AI30" s="24">
        <v>0</v>
      </c>
      <c r="AJ30" s="23" t="s">
        <v>11</v>
      </c>
      <c r="AK30" s="23" t="s">
        <v>11</v>
      </c>
      <c r="AL30" s="23" t="s">
        <v>481</v>
      </c>
      <c r="AM30" s="23" t="s">
        <v>481</v>
      </c>
      <c r="AN30" s="23" t="s">
        <v>481</v>
      </c>
      <c r="AO30" s="23" t="s">
        <v>11</v>
      </c>
      <c r="AP30" s="23" t="s">
        <v>481</v>
      </c>
      <c r="AQ30" s="23" t="s">
        <v>481</v>
      </c>
      <c r="AR30" s="23" t="s">
        <v>11</v>
      </c>
      <c r="AS30" s="23" t="s">
        <v>11</v>
      </c>
      <c r="AT30" s="23" t="s">
        <v>11</v>
      </c>
      <c r="AU30" s="23" t="s">
        <v>11</v>
      </c>
      <c r="AV30" s="23" t="s">
        <v>11</v>
      </c>
      <c r="AW30" s="23" t="s">
        <v>11</v>
      </c>
      <c r="AX30" s="23" t="s">
        <v>140</v>
      </c>
      <c r="AY30" s="23" t="s">
        <v>140</v>
      </c>
      <c r="AZ30" s="23" t="s">
        <v>140</v>
      </c>
      <c r="BB30" s="49"/>
      <c r="BC30" s="29" t="s">
        <v>147</v>
      </c>
      <c r="BD30" s="49" t="s">
        <v>138</v>
      </c>
    </row>
    <row r="31" spans="1:56" x14ac:dyDescent="0.25">
      <c r="A31" s="13">
        <f t="shared" si="1"/>
        <v>29</v>
      </c>
      <c r="B31" s="377"/>
      <c r="C31" s="14" t="s">
        <v>449</v>
      </c>
      <c r="D31" s="15" t="s">
        <v>416</v>
      </c>
      <c r="E31" s="15" t="s">
        <v>413</v>
      </c>
      <c r="F31" s="16" t="s">
        <v>430</v>
      </c>
      <c r="G31" s="30">
        <v>45402</v>
      </c>
      <c r="H31" s="31">
        <v>45405</v>
      </c>
      <c r="I31" s="31">
        <v>45409</v>
      </c>
      <c r="J31" s="32">
        <v>45412</v>
      </c>
      <c r="K31" s="20" t="s">
        <v>140</v>
      </c>
      <c r="L31" s="43">
        <v>45405</v>
      </c>
      <c r="M31" s="44" t="s">
        <v>494</v>
      </c>
      <c r="N31" s="23" t="s">
        <v>140</v>
      </c>
      <c r="O31" s="23" t="s">
        <v>140</v>
      </c>
      <c r="P31" s="23" t="s">
        <v>140</v>
      </c>
      <c r="Q31" s="23" t="s">
        <v>11</v>
      </c>
      <c r="R31" s="23" t="s">
        <v>140</v>
      </c>
      <c r="S31" s="23" t="s">
        <v>140</v>
      </c>
      <c r="T31" s="23" t="s">
        <v>11</v>
      </c>
      <c r="U31" s="23" t="s">
        <v>11</v>
      </c>
      <c r="V31" s="23" t="s">
        <v>140</v>
      </c>
      <c r="W31" s="23" t="s">
        <v>140</v>
      </c>
      <c r="X31" s="23" t="s">
        <v>140</v>
      </c>
      <c r="Y31" s="23" t="s">
        <v>11</v>
      </c>
      <c r="Z31" s="23" t="s">
        <v>11</v>
      </c>
      <c r="AA31" s="23" t="s">
        <v>11</v>
      </c>
      <c r="AB31" s="24">
        <v>0</v>
      </c>
      <c r="AC31" s="24">
        <v>7254181.4900000002</v>
      </c>
      <c r="AE31" s="48" t="s">
        <v>11</v>
      </c>
      <c r="AF31" s="24">
        <f t="shared" si="2"/>
        <v>125000</v>
      </c>
      <c r="AG31" s="24" t="s">
        <v>140</v>
      </c>
      <c r="AH31" s="24" t="s">
        <v>140</v>
      </c>
      <c r="AI31" s="24">
        <v>20000</v>
      </c>
      <c r="AJ31" s="23" t="s">
        <v>140</v>
      </c>
      <c r="AK31" s="23" t="s">
        <v>140</v>
      </c>
      <c r="AL31" s="23" t="s">
        <v>140</v>
      </c>
      <c r="AM31" s="23" t="s">
        <v>481</v>
      </c>
      <c r="AN31" s="23" t="s">
        <v>481</v>
      </c>
      <c r="AO31" s="23" t="s">
        <v>140</v>
      </c>
      <c r="AP31" s="23" t="s">
        <v>481</v>
      </c>
      <c r="AQ31" s="23" t="s">
        <v>481</v>
      </c>
      <c r="AR31" s="23" t="s">
        <v>140</v>
      </c>
      <c r="AS31" s="23" t="s">
        <v>140</v>
      </c>
      <c r="AT31" s="23" t="s">
        <v>140</v>
      </c>
      <c r="AU31" s="23" t="s">
        <v>11</v>
      </c>
      <c r="AV31" s="23" t="s">
        <v>11</v>
      </c>
      <c r="AW31" s="23" t="s">
        <v>11</v>
      </c>
      <c r="AX31" s="23" t="s">
        <v>500</v>
      </c>
      <c r="AY31" s="23" t="s">
        <v>500</v>
      </c>
      <c r="AZ31" s="23" t="s">
        <v>500</v>
      </c>
      <c r="BB31" s="25" t="s">
        <v>503</v>
      </c>
      <c r="BC31" s="25" t="s">
        <v>138</v>
      </c>
      <c r="BD31" s="25" t="s">
        <v>138</v>
      </c>
    </row>
    <row r="32" spans="1:56" x14ac:dyDescent="0.25">
      <c r="A32" s="13">
        <f t="shared" si="1"/>
        <v>30</v>
      </c>
      <c r="B32" s="375" t="s">
        <v>221</v>
      </c>
      <c r="C32" s="14" t="s">
        <v>280</v>
      </c>
      <c r="D32" s="15" t="s">
        <v>11</v>
      </c>
      <c r="E32" s="15" t="s">
        <v>11</v>
      </c>
      <c r="F32" s="26" t="s">
        <v>11</v>
      </c>
      <c r="G32" s="27" t="s">
        <v>11</v>
      </c>
      <c r="H32" s="27" t="s">
        <v>11</v>
      </c>
      <c r="I32" s="27" t="s">
        <v>11</v>
      </c>
      <c r="J32" s="27" t="s">
        <v>11</v>
      </c>
      <c r="K32" s="23" t="s">
        <v>11</v>
      </c>
      <c r="L32" s="23" t="s">
        <v>11</v>
      </c>
      <c r="M32" s="28" t="s">
        <v>11</v>
      </c>
      <c r="N32" s="23" t="s">
        <v>11</v>
      </c>
      <c r="O32" s="23" t="s">
        <v>11</v>
      </c>
      <c r="P32" s="23" t="s">
        <v>11</v>
      </c>
      <c r="Q32" s="23" t="s">
        <v>11</v>
      </c>
      <c r="R32" s="23" t="s">
        <v>11</v>
      </c>
      <c r="S32" s="23" t="s">
        <v>11</v>
      </c>
      <c r="T32" s="23" t="s">
        <v>11</v>
      </c>
      <c r="U32" s="23" t="s">
        <v>11</v>
      </c>
      <c r="V32" s="23" t="s">
        <v>11</v>
      </c>
      <c r="W32" s="23" t="s">
        <v>11</v>
      </c>
      <c r="X32" s="23" t="s">
        <v>11</v>
      </c>
      <c r="Y32" s="23" t="s">
        <v>11</v>
      </c>
      <c r="Z32" s="23" t="s">
        <v>11</v>
      </c>
      <c r="AA32" s="23" t="s">
        <v>11</v>
      </c>
      <c r="AB32" s="23" t="s">
        <v>11</v>
      </c>
      <c r="AC32" s="23" t="s">
        <v>11</v>
      </c>
      <c r="AE32" s="23" t="s">
        <v>11</v>
      </c>
      <c r="AF32" s="23" t="s">
        <v>11</v>
      </c>
      <c r="AG32" s="23" t="s">
        <v>11</v>
      </c>
      <c r="AH32" s="23" t="s">
        <v>11</v>
      </c>
      <c r="AI32" s="23" t="s">
        <v>11</v>
      </c>
      <c r="AJ32" s="23" t="s">
        <v>11</v>
      </c>
      <c r="AK32" s="23" t="s">
        <v>11</v>
      </c>
      <c r="AL32" s="23" t="s">
        <v>11</v>
      </c>
      <c r="AM32" s="23" t="s">
        <v>11</v>
      </c>
      <c r="AN32" s="23" t="s">
        <v>11</v>
      </c>
      <c r="AO32" s="23" t="s">
        <v>11</v>
      </c>
      <c r="AP32" s="23" t="s">
        <v>11</v>
      </c>
      <c r="AQ32" s="23" t="s">
        <v>11</v>
      </c>
      <c r="AR32" s="23" t="s">
        <v>11</v>
      </c>
      <c r="AS32" s="23" t="s">
        <v>11</v>
      </c>
      <c r="AT32" s="23" t="s">
        <v>11</v>
      </c>
      <c r="AU32" s="23" t="s">
        <v>11</v>
      </c>
      <c r="AV32" s="23" t="s">
        <v>11</v>
      </c>
      <c r="AW32" s="23" t="s">
        <v>11</v>
      </c>
      <c r="AX32" s="23" t="s">
        <v>11</v>
      </c>
      <c r="AY32" s="23" t="s">
        <v>11</v>
      </c>
      <c r="AZ32" s="23" t="s">
        <v>11</v>
      </c>
      <c r="BB32" s="29" t="s">
        <v>11</v>
      </c>
      <c r="BC32" s="29" t="s">
        <v>11</v>
      </c>
      <c r="BD32" s="29" t="s">
        <v>11</v>
      </c>
    </row>
    <row r="33" spans="1:56" x14ac:dyDescent="0.25">
      <c r="A33" s="13">
        <f t="shared" si="1"/>
        <v>31</v>
      </c>
      <c r="B33" s="376"/>
      <c r="C33" s="14" t="s">
        <v>217</v>
      </c>
      <c r="D33" s="15" t="s">
        <v>11</v>
      </c>
      <c r="E33" s="15" t="s">
        <v>11</v>
      </c>
      <c r="F33" s="26" t="s">
        <v>11</v>
      </c>
      <c r="G33" s="27" t="s">
        <v>11</v>
      </c>
      <c r="H33" s="27" t="s">
        <v>11</v>
      </c>
      <c r="I33" s="27" t="s">
        <v>11</v>
      </c>
      <c r="J33" s="27" t="s">
        <v>11</v>
      </c>
      <c r="K33" s="23" t="s">
        <v>11</v>
      </c>
      <c r="L33" s="23" t="s">
        <v>11</v>
      </c>
      <c r="M33" s="28" t="s">
        <v>11</v>
      </c>
      <c r="N33" s="23" t="s">
        <v>11</v>
      </c>
      <c r="O33" s="23" t="s">
        <v>11</v>
      </c>
      <c r="P33" s="23" t="s">
        <v>11</v>
      </c>
      <c r="Q33" s="23" t="s">
        <v>11</v>
      </c>
      <c r="R33" s="23" t="s">
        <v>11</v>
      </c>
      <c r="S33" s="23" t="s">
        <v>11</v>
      </c>
      <c r="T33" s="23" t="s">
        <v>11</v>
      </c>
      <c r="U33" s="23" t="s">
        <v>11</v>
      </c>
      <c r="V33" s="23" t="s">
        <v>11</v>
      </c>
      <c r="W33" s="23" t="s">
        <v>11</v>
      </c>
      <c r="X33" s="23" t="s">
        <v>11</v>
      </c>
      <c r="Y33" s="23" t="s">
        <v>11</v>
      </c>
      <c r="Z33" s="23" t="s">
        <v>11</v>
      </c>
      <c r="AA33" s="23" t="s">
        <v>11</v>
      </c>
      <c r="AB33" s="23" t="s">
        <v>11</v>
      </c>
      <c r="AC33" s="24" t="s">
        <v>11</v>
      </c>
      <c r="AE33" s="23" t="s">
        <v>11</v>
      </c>
      <c r="AF33" s="23" t="s">
        <v>11</v>
      </c>
      <c r="AG33" s="23" t="s">
        <v>11</v>
      </c>
      <c r="AH33" s="23" t="s">
        <v>11</v>
      </c>
      <c r="AI33" s="23" t="s">
        <v>11</v>
      </c>
      <c r="AJ33" s="23" t="s">
        <v>11</v>
      </c>
      <c r="AK33" s="23" t="s">
        <v>11</v>
      </c>
      <c r="AL33" s="23" t="s">
        <v>11</v>
      </c>
      <c r="AM33" s="23" t="s">
        <v>11</v>
      </c>
      <c r="AN33" s="23" t="s">
        <v>11</v>
      </c>
      <c r="AO33" s="23" t="s">
        <v>11</v>
      </c>
      <c r="AP33" s="23" t="s">
        <v>11</v>
      </c>
      <c r="AQ33" s="23" t="s">
        <v>11</v>
      </c>
      <c r="AR33" s="23" t="s">
        <v>11</v>
      </c>
      <c r="AS33" s="23" t="s">
        <v>11</v>
      </c>
      <c r="AT33" s="23" t="s">
        <v>11</v>
      </c>
      <c r="AU33" s="23" t="s">
        <v>11</v>
      </c>
      <c r="AV33" s="23" t="s">
        <v>11</v>
      </c>
      <c r="AW33" s="23" t="s">
        <v>11</v>
      </c>
      <c r="AX33" s="23" t="s">
        <v>11</v>
      </c>
      <c r="AY33" s="23" t="s">
        <v>11</v>
      </c>
      <c r="AZ33" s="23" t="s">
        <v>11</v>
      </c>
      <c r="BB33" s="29" t="s">
        <v>11</v>
      </c>
      <c r="BC33" s="29" t="s">
        <v>11</v>
      </c>
      <c r="BD33" s="29" t="s">
        <v>11</v>
      </c>
    </row>
    <row r="34" spans="1:56" x14ac:dyDescent="0.25">
      <c r="A34" s="13">
        <f t="shared" si="1"/>
        <v>32</v>
      </c>
      <c r="B34" s="376"/>
      <c r="C34" s="14" t="s">
        <v>223</v>
      </c>
      <c r="D34" s="15" t="s">
        <v>423</v>
      </c>
      <c r="E34" s="15" t="s">
        <v>413</v>
      </c>
      <c r="F34" s="16" t="s">
        <v>436</v>
      </c>
      <c r="G34" s="30">
        <v>45427</v>
      </c>
      <c r="H34" s="31">
        <v>45419</v>
      </c>
      <c r="I34" s="31">
        <v>45424</v>
      </c>
      <c r="J34" s="32">
        <v>45427</v>
      </c>
      <c r="K34" s="20" t="s">
        <v>140</v>
      </c>
      <c r="L34" s="21">
        <v>45429</v>
      </c>
      <c r="M34" s="22">
        <v>45504</v>
      </c>
      <c r="N34" s="23" t="s">
        <v>140</v>
      </c>
      <c r="O34" s="23" t="s">
        <v>140</v>
      </c>
      <c r="P34" s="23" t="s">
        <v>140</v>
      </c>
      <c r="Q34" s="23" t="s">
        <v>140</v>
      </c>
      <c r="R34" s="23" t="s">
        <v>11</v>
      </c>
      <c r="S34" s="23" t="s">
        <v>140</v>
      </c>
      <c r="T34" s="23" t="s">
        <v>11</v>
      </c>
      <c r="U34" s="23" t="s">
        <v>11</v>
      </c>
      <c r="V34" s="23" t="s">
        <v>140</v>
      </c>
      <c r="W34" s="23" t="s">
        <v>140</v>
      </c>
      <c r="X34" s="23" t="s">
        <v>140</v>
      </c>
      <c r="Y34" s="23" t="s">
        <v>11</v>
      </c>
      <c r="Z34" s="23" t="s">
        <v>11</v>
      </c>
      <c r="AA34" s="23" t="s">
        <v>11</v>
      </c>
      <c r="AB34" s="23">
        <v>0</v>
      </c>
      <c r="AC34" s="24">
        <v>8916707.5199999996</v>
      </c>
      <c r="AE34" s="23">
        <v>55000</v>
      </c>
      <c r="AF34" s="23">
        <v>66000</v>
      </c>
      <c r="AG34" s="23" t="s">
        <v>140</v>
      </c>
      <c r="AH34" s="23" t="s">
        <v>140</v>
      </c>
      <c r="AI34" s="23" t="s">
        <v>11</v>
      </c>
      <c r="AJ34" s="23" t="s">
        <v>148</v>
      </c>
      <c r="AK34" s="23" t="s">
        <v>148</v>
      </c>
      <c r="AL34" s="23" t="s">
        <v>11</v>
      </c>
      <c r="AM34" s="23" t="s">
        <v>11</v>
      </c>
      <c r="AN34" s="23" t="s">
        <v>11</v>
      </c>
      <c r="AO34" s="23" t="s">
        <v>140</v>
      </c>
      <c r="AP34" s="23" t="s">
        <v>148</v>
      </c>
      <c r="AQ34" s="23" t="s">
        <v>148</v>
      </c>
      <c r="AR34" s="23" t="s">
        <v>140</v>
      </c>
      <c r="AS34" s="23" t="s">
        <v>148</v>
      </c>
      <c r="AT34" s="23" t="s">
        <v>500</v>
      </c>
      <c r="AU34" s="23" t="s">
        <v>11</v>
      </c>
      <c r="AV34" s="23" t="s">
        <v>11</v>
      </c>
      <c r="AW34" s="23" t="s">
        <v>11</v>
      </c>
      <c r="AX34" s="23" t="s">
        <v>11</v>
      </c>
      <c r="AY34" s="23" t="s">
        <v>11</v>
      </c>
      <c r="AZ34" s="23" t="s">
        <v>11</v>
      </c>
      <c r="BB34" s="25">
        <v>45565</v>
      </c>
      <c r="BC34" s="25" t="s">
        <v>11</v>
      </c>
      <c r="BD34" s="25" t="s">
        <v>11</v>
      </c>
    </row>
    <row r="35" spans="1:56" x14ac:dyDescent="0.25">
      <c r="A35" s="13">
        <f t="shared" si="1"/>
        <v>33</v>
      </c>
      <c r="B35" s="376"/>
      <c r="C35" s="14" t="s">
        <v>284</v>
      </c>
      <c r="D35" s="15" t="s">
        <v>437</v>
      </c>
      <c r="E35" s="15" t="s">
        <v>426</v>
      </c>
      <c r="F35" s="16" t="s">
        <v>438</v>
      </c>
      <c r="G35" s="30">
        <v>45412</v>
      </c>
      <c r="H35" s="31">
        <v>45406</v>
      </c>
      <c r="I35" s="31">
        <v>45408</v>
      </c>
      <c r="J35" s="32">
        <v>45422</v>
      </c>
      <c r="K35" s="20" t="s">
        <v>140</v>
      </c>
      <c r="L35" s="53">
        <v>45422</v>
      </c>
      <c r="M35" s="54" t="s">
        <v>494</v>
      </c>
      <c r="N35" s="23" t="s">
        <v>140</v>
      </c>
      <c r="O35" s="23" t="s">
        <v>140</v>
      </c>
      <c r="P35" s="23" t="s">
        <v>140</v>
      </c>
      <c r="Q35" s="23" t="s">
        <v>140</v>
      </c>
      <c r="R35" s="23" t="s">
        <v>11</v>
      </c>
      <c r="S35" s="23" t="s">
        <v>140</v>
      </c>
      <c r="T35" s="23" t="s">
        <v>11</v>
      </c>
      <c r="U35" s="23" t="s">
        <v>11</v>
      </c>
      <c r="V35" s="23" t="s">
        <v>11</v>
      </c>
      <c r="W35" s="23" t="s">
        <v>140</v>
      </c>
      <c r="X35" s="23" t="s">
        <v>140</v>
      </c>
      <c r="Y35" s="23" t="s">
        <v>11</v>
      </c>
      <c r="Z35" s="23" t="s">
        <v>11</v>
      </c>
      <c r="AA35" s="23" t="s">
        <v>11</v>
      </c>
      <c r="AB35" s="24">
        <v>5186936</v>
      </c>
      <c r="AC35" s="24">
        <v>6606281.9000000004</v>
      </c>
      <c r="AE35" s="23">
        <v>55000</v>
      </c>
      <c r="AF35" s="23">
        <v>60500</v>
      </c>
      <c r="AG35" s="23" t="s">
        <v>140</v>
      </c>
      <c r="AH35" s="23" t="s">
        <v>140</v>
      </c>
      <c r="AI35" s="23">
        <v>11000</v>
      </c>
      <c r="AJ35" s="23" t="s">
        <v>140</v>
      </c>
      <c r="AK35" s="23" t="s">
        <v>140</v>
      </c>
      <c r="AL35" s="23" t="s">
        <v>481</v>
      </c>
      <c r="AM35" s="23" t="s">
        <v>481</v>
      </c>
      <c r="AN35" s="23" t="s">
        <v>481</v>
      </c>
      <c r="AO35" s="23" t="s">
        <v>148</v>
      </c>
      <c r="AP35" s="23" t="s">
        <v>148</v>
      </c>
      <c r="AQ35" s="23" t="s">
        <v>148</v>
      </c>
      <c r="AR35" s="23" t="s">
        <v>11</v>
      </c>
      <c r="AS35" s="23" t="s">
        <v>11</v>
      </c>
      <c r="AT35" s="23" t="s">
        <v>11</v>
      </c>
      <c r="AU35" s="23" t="s">
        <v>11</v>
      </c>
      <c r="AV35" s="23" t="s">
        <v>11</v>
      </c>
      <c r="AW35" s="23" t="s">
        <v>11</v>
      </c>
      <c r="AX35" s="23" t="s">
        <v>140</v>
      </c>
      <c r="AY35" s="23" t="s">
        <v>140</v>
      </c>
      <c r="AZ35" s="23" t="s">
        <v>140</v>
      </c>
      <c r="BB35" s="25">
        <v>45565</v>
      </c>
      <c r="BC35" s="25" t="s">
        <v>11</v>
      </c>
      <c r="BD35" s="25" t="s">
        <v>11</v>
      </c>
    </row>
    <row r="36" spans="1:56" x14ac:dyDescent="0.25">
      <c r="A36" s="13">
        <f t="shared" si="1"/>
        <v>34</v>
      </c>
      <c r="B36" s="376"/>
      <c r="C36" s="14" t="s">
        <v>226</v>
      </c>
      <c r="D36" s="15" t="s">
        <v>437</v>
      </c>
      <c r="E36" s="15" t="s">
        <v>413</v>
      </c>
      <c r="F36" s="26" t="s">
        <v>439</v>
      </c>
      <c r="G36" s="27">
        <v>45443</v>
      </c>
      <c r="H36" s="27">
        <v>45458</v>
      </c>
      <c r="I36" s="27">
        <v>45473</v>
      </c>
      <c r="J36" s="27">
        <v>45488</v>
      </c>
      <c r="K36" s="23" t="s">
        <v>140</v>
      </c>
      <c r="L36" s="23" t="s">
        <v>148</v>
      </c>
      <c r="M36" s="28" t="s">
        <v>148</v>
      </c>
      <c r="N36" s="23" t="s">
        <v>140</v>
      </c>
      <c r="O36" s="23" t="s">
        <v>140</v>
      </c>
      <c r="P36" s="23" t="s">
        <v>148</v>
      </c>
      <c r="Q36" s="23" t="s">
        <v>148</v>
      </c>
      <c r="R36" s="23" t="s">
        <v>11</v>
      </c>
      <c r="S36" s="23" t="s">
        <v>140</v>
      </c>
      <c r="T36" s="23" t="s">
        <v>11</v>
      </c>
      <c r="U36" s="23" t="s">
        <v>11</v>
      </c>
      <c r="V36" s="23" t="s">
        <v>11</v>
      </c>
      <c r="W36" s="23" t="s">
        <v>148</v>
      </c>
      <c r="X36" s="23" t="s">
        <v>148</v>
      </c>
      <c r="Y36" s="23" t="s">
        <v>11</v>
      </c>
      <c r="Z36" s="23" t="s">
        <v>11</v>
      </c>
      <c r="AA36" s="23" t="s">
        <v>11</v>
      </c>
      <c r="AB36" s="24">
        <v>74887</v>
      </c>
      <c r="AC36" s="24">
        <v>3083005</v>
      </c>
      <c r="AE36" s="23">
        <v>82500</v>
      </c>
      <c r="AF36" s="23">
        <v>150000</v>
      </c>
      <c r="AG36" s="23" t="s">
        <v>500</v>
      </c>
      <c r="AH36" s="23" t="s">
        <v>148</v>
      </c>
      <c r="AI36" s="23">
        <v>10000</v>
      </c>
      <c r="AJ36" s="23" t="s">
        <v>500</v>
      </c>
      <c r="AK36" s="23" t="s">
        <v>500</v>
      </c>
      <c r="AL36" s="23" t="s">
        <v>481</v>
      </c>
      <c r="AM36" s="23" t="s">
        <v>481</v>
      </c>
      <c r="AN36" s="23" t="s">
        <v>481</v>
      </c>
      <c r="AO36" s="23" t="s">
        <v>140</v>
      </c>
      <c r="AP36" s="23" t="s">
        <v>140</v>
      </c>
      <c r="AQ36" s="23" t="s">
        <v>140</v>
      </c>
      <c r="AR36" s="23" t="s">
        <v>11</v>
      </c>
      <c r="AS36" s="23" t="s">
        <v>11</v>
      </c>
      <c r="AT36" s="23" t="s">
        <v>11</v>
      </c>
      <c r="AU36" s="23" t="s">
        <v>11</v>
      </c>
      <c r="AV36" s="23" t="s">
        <v>11</v>
      </c>
      <c r="AW36" s="23" t="s">
        <v>11</v>
      </c>
      <c r="AX36" s="23" t="s">
        <v>11</v>
      </c>
      <c r="AY36" s="23" t="s">
        <v>11</v>
      </c>
      <c r="AZ36" s="23" t="s">
        <v>11</v>
      </c>
      <c r="BB36" s="29" t="s">
        <v>148</v>
      </c>
      <c r="BC36" s="29" t="s">
        <v>147</v>
      </c>
      <c r="BD36" s="29" t="s">
        <v>147</v>
      </c>
    </row>
    <row r="37" spans="1:56" x14ac:dyDescent="0.25">
      <c r="A37" s="13">
        <f t="shared" si="1"/>
        <v>35</v>
      </c>
      <c r="B37" s="376"/>
      <c r="C37" s="14" t="s">
        <v>504</v>
      </c>
      <c r="D37" s="15" t="s">
        <v>416</v>
      </c>
      <c r="E37" s="15" t="s">
        <v>417</v>
      </c>
      <c r="F37" s="16" t="s">
        <v>505</v>
      </c>
      <c r="G37" s="30">
        <v>45407</v>
      </c>
      <c r="H37" s="31">
        <v>45418</v>
      </c>
      <c r="I37" s="31">
        <v>45422</v>
      </c>
      <c r="J37" s="32">
        <v>45427</v>
      </c>
      <c r="K37" s="20" t="s">
        <v>140</v>
      </c>
      <c r="L37" s="21">
        <v>45427</v>
      </c>
      <c r="M37" s="22" t="s">
        <v>494</v>
      </c>
      <c r="N37" s="23" t="s">
        <v>140</v>
      </c>
      <c r="O37" s="23" t="s">
        <v>140</v>
      </c>
      <c r="P37" s="23" t="s">
        <v>140</v>
      </c>
      <c r="Q37" s="23" t="s">
        <v>140</v>
      </c>
      <c r="R37" s="23" t="s">
        <v>11</v>
      </c>
      <c r="S37" s="23" t="s">
        <v>140</v>
      </c>
      <c r="T37" s="23" t="s">
        <v>11</v>
      </c>
      <c r="U37" s="23" t="s">
        <v>11</v>
      </c>
      <c r="V37" s="23" t="s">
        <v>140</v>
      </c>
      <c r="W37" s="23" t="s">
        <v>148</v>
      </c>
      <c r="X37" s="23" t="s">
        <v>148</v>
      </c>
      <c r="Y37" s="23" t="s">
        <v>11</v>
      </c>
      <c r="Z37" s="23" t="s">
        <v>11</v>
      </c>
      <c r="AA37" s="23" t="s">
        <v>11</v>
      </c>
      <c r="AB37" s="24">
        <v>20673593.940000001</v>
      </c>
      <c r="AC37" s="24">
        <v>16038404.310000001</v>
      </c>
      <c r="AE37" s="23">
        <v>102850</v>
      </c>
      <c r="AF37" s="23">
        <v>113000</v>
      </c>
      <c r="AG37" s="23" t="s">
        <v>148</v>
      </c>
      <c r="AH37" s="23" t="s">
        <v>148</v>
      </c>
      <c r="AI37" s="23">
        <v>11000</v>
      </c>
      <c r="AJ37" s="23" t="s">
        <v>500</v>
      </c>
      <c r="AK37" s="23" t="s">
        <v>500</v>
      </c>
      <c r="AL37" s="23"/>
      <c r="AM37" s="23"/>
      <c r="AN37" s="23"/>
      <c r="AO37" s="23"/>
      <c r="AP37" s="23"/>
      <c r="AQ37" s="23"/>
      <c r="AR37" s="23"/>
      <c r="AS37" s="23"/>
      <c r="AT37" s="23"/>
      <c r="AU37" s="23" t="s">
        <v>177</v>
      </c>
      <c r="AV37" s="23" t="s">
        <v>11</v>
      </c>
      <c r="AW37" s="23" t="s">
        <v>11</v>
      </c>
      <c r="AX37" s="23" t="s">
        <v>140</v>
      </c>
      <c r="AY37" s="23" t="s">
        <v>140</v>
      </c>
      <c r="AZ37" s="23" t="s">
        <v>140</v>
      </c>
      <c r="BB37" s="25" t="s">
        <v>506</v>
      </c>
      <c r="BC37" s="25" t="s">
        <v>11</v>
      </c>
      <c r="BD37" s="25" t="s">
        <v>11</v>
      </c>
    </row>
    <row r="38" spans="1:56" x14ac:dyDescent="0.25">
      <c r="A38" s="13">
        <f t="shared" si="1"/>
        <v>36</v>
      </c>
      <c r="B38" s="376"/>
      <c r="C38" s="14" t="s">
        <v>230</v>
      </c>
      <c r="D38" s="15" t="s">
        <v>423</v>
      </c>
      <c r="E38" s="15" t="s">
        <v>413</v>
      </c>
      <c r="F38" s="26" t="s">
        <v>439</v>
      </c>
      <c r="G38" s="55">
        <v>45422</v>
      </c>
      <c r="H38" s="56">
        <v>45427</v>
      </c>
      <c r="I38" s="56">
        <v>45437</v>
      </c>
      <c r="J38" s="56">
        <v>45453</v>
      </c>
      <c r="K38" s="23" t="s">
        <v>140</v>
      </c>
      <c r="L38" s="21">
        <v>45523</v>
      </c>
      <c r="M38" s="28" t="s">
        <v>494</v>
      </c>
      <c r="N38" s="23" t="s">
        <v>140</v>
      </c>
      <c r="O38" s="23" t="s">
        <v>140</v>
      </c>
      <c r="P38" s="23" t="s">
        <v>140</v>
      </c>
      <c r="Q38" s="23" t="s">
        <v>148</v>
      </c>
      <c r="R38" s="23" t="s">
        <v>11</v>
      </c>
      <c r="S38" s="23" t="s">
        <v>140</v>
      </c>
      <c r="T38" s="23" t="s">
        <v>11</v>
      </c>
      <c r="U38" s="23" t="s">
        <v>11</v>
      </c>
      <c r="V38" s="23" t="s">
        <v>140</v>
      </c>
      <c r="W38" s="23" t="s">
        <v>148</v>
      </c>
      <c r="X38" s="23" t="s">
        <v>148</v>
      </c>
      <c r="Y38" s="23" t="s">
        <v>11</v>
      </c>
      <c r="Z38" s="23" t="s">
        <v>148</v>
      </c>
      <c r="AA38" s="23" t="s">
        <v>148</v>
      </c>
      <c r="AB38" s="23" t="s">
        <v>11</v>
      </c>
      <c r="AC38" s="24">
        <v>99820215</v>
      </c>
      <c r="AE38" s="23" t="s">
        <v>11</v>
      </c>
      <c r="AF38" s="23">
        <v>120000</v>
      </c>
      <c r="AG38" s="23" t="s">
        <v>140</v>
      </c>
      <c r="AH38" s="23" t="s">
        <v>140</v>
      </c>
      <c r="AI38" s="23" t="s">
        <v>148</v>
      </c>
      <c r="AJ38" s="23" t="s">
        <v>500</v>
      </c>
      <c r="AK38" s="23" t="s">
        <v>500</v>
      </c>
      <c r="AL38" s="23" t="s">
        <v>481</v>
      </c>
      <c r="AM38" s="23" t="s">
        <v>11</v>
      </c>
      <c r="AN38" s="23" t="s">
        <v>11</v>
      </c>
      <c r="AO38" s="23" t="s">
        <v>11</v>
      </c>
      <c r="AP38" s="23" t="s">
        <v>11</v>
      </c>
      <c r="AQ38" s="23" t="s">
        <v>11</v>
      </c>
      <c r="AR38" s="23" t="s">
        <v>140</v>
      </c>
      <c r="AS38" s="23" t="s">
        <v>148</v>
      </c>
      <c r="AT38" s="23" t="s">
        <v>500</v>
      </c>
      <c r="AU38" s="23" t="s">
        <v>140</v>
      </c>
      <c r="AV38" s="23" t="s">
        <v>148</v>
      </c>
      <c r="AW38" s="23" t="s">
        <v>148</v>
      </c>
      <c r="AX38" s="23" t="s">
        <v>140</v>
      </c>
      <c r="AY38" s="23" t="s">
        <v>140</v>
      </c>
      <c r="AZ38" s="23" t="s">
        <v>140</v>
      </c>
      <c r="BB38" s="29">
        <v>45657</v>
      </c>
      <c r="BC38" s="29" t="s">
        <v>11</v>
      </c>
      <c r="BD38" s="29" t="s">
        <v>11</v>
      </c>
    </row>
    <row r="39" spans="1:56" x14ac:dyDescent="0.25">
      <c r="A39" s="13">
        <f t="shared" si="1"/>
        <v>37</v>
      </c>
      <c r="B39" s="376"/>
      <c r="C39" s="14" t="s">
        <v>233</v>
      </c>
      <c r="D39" s="15" t="s">
        <v>11</v>
      </c>
      <c r="E39" s="15" t="s">
        <v>11</v>
      </c>
      <c r="F39" s="26" t="s">
        <v>11</v>
      </c>
      <c r="G39" s="27" t="s">
        <v>11</v>
      </c>
      <c r="H39" s="27" t="s">
        <v>11</v>
      </c>
      <c r="I39" s="27" t="s">
        <v>11</v>
      </c>
      <c r="J39" s="27" t="s">
        <v>11</v>
      </c>
      <c r="K39" s="23" t="s">
        <v>11</v>
      </c>
      <c r="L39" s="23" t="s">
        <v>11</v>
      </c>
      <c r="M39" s="28" t="s">
        <v>11</v>
      </c>
      <c r="N39" s="23" t="s">
        <v>11</v>
      </c>
      <c r="O39" s="23" t="s">
        <v>11</v>
      </c>
      <c r="P39" s="23" t="s">
        <v>11</v>
      </c>
      <c r="Q39" s="23" t="s">
        <v>11</v>
      </c>
      <c r="R39" s="23" t="s">
        <v>11</v>
      </c>
      <c r="S39" s="23" t="s">
        <v>11</v>
      </c>
      <c r="T39" s="23" t="s">
        <v>11</v>
      </c>
      <c r="U39" s="23" t="s">
        <v>11</v>
      </c>
      <c r="V39" s="23" t="s">
        <v>11</v>
      </c>
      <c r="W39" s="23" t="s">
        <v>11</v>
      </c>
      <c r="X39" s="23" t="s">
        <v>11</v>
      </c>
      <c r="Y39" s="23" t="s">
        <v>11</v>
      </c>
      <c r="Z39" s="23" t="s">
        <v>11</v>
      </c>
      <c r="AA39" s="23" t="s">
        <v>11</v>
      </c>
      <c r="AB39" s="23" t="s">
        <v>11</v>
      </c>
      <c r="AC39" s="24">
        <v>4682521.41</v>
      </c>
      <c r="AE39" s="23" t="s">
        <v>11</v>
      </c>
      <c r="AF39" s="23">
        <v>75000</v>
      </c>
      <c r="AG39" s="23" t="s">
        <v>11</v>
      </c>
      <c r="AH39" s="23" t="s">
        <v>11</v>
      </c>
      <c r="AI39" s="23">
        <v>20000</v>
      </c>
      <c r="AJ39" s="23" t="s">
        <v>11</v>
      </c>
      <c r="AK39" s="23" t="s">
        <v>11</v>
      </c>
      <c r="AL39" s="23" t="s">
        <v>11</v>
      </c>
      <c r="AM39" s="23" t="s">
        <v>11</v>
      </c>
      <c r="AN39" s="23" t="s">
        <v>11</v>
      </c>
      <c r="AO39" s="23" t="s">
        <v>11</v>
      </c>
      <c r="AP39" s="23" t="s">
        <v>11</v>
      </c>
      <c r="AQ39" s="23" t="s">
        <v>11</v>
      </c>
      <c r="AR39" s="23" t="s">
        <v>11</v>
      </c>
      <c r="AS39" s="23" t="s">
        <v>11</v>
      </c>
      <c r="AT39" s="23" t="s">
        <v>11</v>
      </c>
      <c r="AU39" s="23" t="s">
        <v>11</v>
      </c>
      <c r="AV39" s="23" t="s">
        <v>11</v>
      </c>
      <c r="AW39" s="23" t="s">
        <v>11</v>
      </c>
      <c r="AX39" s="23" t="s">
        <v>11</v>
      </c>
      <c r="AY39" s="23" t="s">
        <v>11</v>
      </c>
      <c r="AZ39" s="23" t="s">
        <v>11</v>
      </c>
      <c r="BB39" s="29" t="s">
        <v>11</v>
      </c>
      <c r="BC39" s="29" t="s">
        <v>11</v>
      </c>
      <c r="BD39" s="29" t="s">
        <v>11</v>
      </c>
    </row>
    <row r="40" spans="1:56" x14ac:dyDescent="0.25">
      <c r="A40" s="13">
        <f t="shared" si="1"/>
        <v>38</v>
      </c>
      <c r="B40" s="377"/>
      <c r="C40" s="14" t="s">
        <v>310</v>
      </c>
      <c r="D40" s="15" t="s">
        <v>412</v>
      </c>
      <c r="E40" s="15" t="s">
        <v>413</v>
      </c>
      <c r="F40" s="16" t="s">
        <v>440</v>
      </c>
      <c r="G40" s="30">
        <v>45413</v>
      </c>
      <c r="H40" s="31">
        <v>45418</v>
      </c>
      <c r="I40" s="31">
        <v>45421</v>
      </c>
      <c r="J40" s="32">
        <v>45432</v>
      </c>
      <c r="K40" s="20" t="s">
        <v>140</v>
      </c>
      <c r="L40" s="21">
        <v>45432</v>
      </c>
      <c r="M40" s="22">
        <v>45504</v>
      </c>
      <c r="N40" s="23" t="s">
        <v>140</v>
      </c>
      <c r="O40" s="23" t="s">
        <v>140</v>
      </c>
      <c r="P40" s="23" t="s">
        <v>140</v>
      </c>
      <c r="Q40" s="23" t="s">
        <v>140</v>
      </c>
      <c r="R40" s="23" t="s">
        <v>11</v>
      </c>
      <c r="S40" s="23" t="s">
        <v>140</v>
      </c>
      <c r="T40" s="23" t="s">
        <v>140</v>
      </c>
      <c r="U40" s="23" t="s">
        <v>11</v>
      </c>
      <c r="V40" s="23" t="s">
        <v>140</v>
      </c>
      <c r="W40" s="23" t="s">
        <v>140</v>
      </c>
      <c r="X40" s="23" t="s">
        <v>140</v>
      </c>
      <c r="Y40" s="23" t="s">
        <v>11</v>
      </c>
      <c r="Z40" s="23" t="s">
        <v>140</v>
      </c>
      <c r="AA40" s="23" t="s">
        <v>140</v>
      </c>
      <c r="AB40" s="57" t="s">
        <v>507</v>
      </c>
      <c r="AC40" s="24">
        <v>124356782</v>
      </c>
      <c r="AE40" s="23">
        <v>105000</v>
      </c>
      <c r="AF40" s="23">
        <v>126000</v>
      </c>
      <c r="AG40" s="23" t="s">
        <v>140</v>
      </c>
      <c r="AH40" s="23" t="s">
        <v>140</v>
      </c>
      <c r="AI40" s="23">
        <v>25000</v>
      </c>
      <c r="AJ40" s="23" t="s">
        <v>500</v>
      </c>
      <c r="AK40" s="23" t="s">
        <v>500</v>
      </c>
      <c r="AL40" s="23" t="s">
        <v>481</v>
      </c>
      <c r="AM40" s="23" t="s">
        <v>11</v>
      </c>
      <c r="AN40" s="23" t="s">
        <v>11</v>
      </c>
      <c r="AO40" s="23" t="s">
        <v>140</v>
      </c>
      <c r="AP40" s="23" t="s">
        <v>500</v>
      </c>
      <c r="AQ40" s="23" t="s">
        <v>148</v>
      </c>
      <c r="AR40" s="23" t="s">
        <v>140</v>
      </c>
      <c r="AS40" s="23" t="s">
        <v>500</v>
      </c>
      <c r="AT40" s="23" t="s">
        <v>148</v>
      </c>
      <c r="AU40" s="23" t="s">
        <v>140</v>
      </c>
      <c r="AV40" s="23" t="s">
        <v>500</v>
      </c>
      <c r="AW40" s="23" t="s">
        <v>500</v>
      </c>
      <c r="AX40" s="23" t="s">
        <v>140</v>
      </c>
      <c r="AY40" s="23" t="s">
        <v>140</v>
      </c>
      <c r="AZ40" s="23" t="s">
        <v>140</v>
      </c>
      <c r="BB40" s="25">
        <v>45565</v>
      </c>
      <c r="BC40" s="25" t="s">
        <v>11</v>
      </c>
      <c r="BD40" s="25" t="s">
        <v>11</v>
      </c>
    </row>
    <row r="41" spans="1:56" x14ac:dyDescent="0.25">
      <c r="A41" s="13">
        <f t="shared" si="1"/>
        <v>39</v>
      </c>
      <c r="B41" s="378" t="s">
        <v>441</v>
      </c>
      <c r="C41" s="14" t="s">
        <v>162</v>
      </c>
      <c r="D41" s="15" t="s">
        <v>423</v>
      </c>
      <c r="E41" s="15" t="s">
        <v>413</v>
      </c>
      <c r="F41" s="16" t="s">
        <v>441</v>
      </c>
      <c r="G41" s="30" t="s">
        <v>508</v>
      </c>
      <c r="H41" s="31" t="s">
        <v>508</v>
      </c>
      <c r="I41" s="31" t="s">
        <v>508</v>
      </c>
      <c r="J41" s="32" t="s">
        <v>509</v>
      </c>
      <c r="K41" s="20" t="s">
        <v>140</v>
      </c>
      <c r="L41" s="21">
        <v>45430</v>
      </c>
      <c r="M41" s="22" t="s">
        <v>494</v>
      </c>
      <c r="N41" s="23" t="s">
        <v>140</v>
      </c>
      <c r="O41" s="21" t="s">
        <v>140</v>
      </c>
      <c r="P41" s="23" t="s">
        <v>140</v>
      </c>
      <c r="Q41" s="23" t="s">
        <v>140</v>
      </c>
      <c r="R41" s="23" t="s">
        <v>140</v>
      </c>
      <c r="S41" s="23" t="s">
        <v>140</v>
      </c>
      <c r="T41" s="23" t="s">
        <v>11</v>
      </c>
      <c r="U41" s="23" t="s">
        <v>11</v>
      </c>
      <c r="V41" s="23" t="s">
        <v>11</v>
      </c>
      <c r="W41" s="23" t="s">
        <v>140</v>
      </c>
      <c r="X41" s="23" t="s">
        <v>140</v>
      </c>
      <c r="Y41" s="23" t="s">
        <v>11</v>
      </c>
      <c r="Z41" s="23" t="s">
        <v>11</v>
      </c>
      <c r="AA41" s="23" t="s">
        <v>11</v>
      </c>
      <c r="AB41" s="58">
        <v>0</v>
      </c>
      <c r="AC41" s="59" t="s">
        <v>510</v>
      </c>
      <c r="AE41" s="23" t="s">
        <v>11</v>
      </c>
      <c r="AF41" s="23">
        <v>80000</v>
      </c>
      <c r="AG41" s="23" t="s">
        <v>140</v>
      </c>
      <c r="AH41" s="23" t="s">
        <v>140</v>
      </c>
      <c r="AI41" s="23">
        <v>10000</v>
      </c>
      <c r="AJ41" s="23" t="s">
        <v>140</v>
      </c>
      <c r="AK41" s="23" t="s">
        <v>140</v>
      </c>
      <c r="AL41" s="23" t="s">
        <v>481</v>
      </c>
      <c r="AM41" s="23" t="s">
        <v>11</v>
      </c>
      <c r="AN41" s="23" t="s">
        <v>11</v>
      </c>
      <c r="AO41" s="23" t="s">
        <v>140</v>
      </c>
      <c r="AP41" s="23" t="s">
        <v>481</v>
      </c>
      <c r="AQ41" s="23" t="s">
        <v>481</v>
      </c>
      <c r="AR41" s="23"/>
      <c r="AS41" s="23"/>
      <c r="AT41" s="23"/>
      <c r="AU41" s="23" t="s">
        <v>11</v>
      </c>
      <c r="AV41" s="23" t="s">
        <v>11</v>
      </c>
      <c r="AW41" s="23"/>
      <c r="AX41" s="23" t="s">
        <v>140</v>
      </c>
      <c r="AY41" s="23" t="s">
        <v>140</v>
      </c>
      <c r="AZ41" s="23" t="s">
        <v>140</v>
      </c>
      <c r="BB41" s="25">
        <v>45576</v>
      </c>
      <c r="BC41" s="25" t="s">
        <v>11</v>
      </c>
      <c r="BD41" s="25" t="s">
        <v>11</v>
      </c>
    </row>
    <row r="42" spans="1:56" x14ac:dyDescent="0.25">
      <c r="A42" s="13">
        <f t="shared" si="1"/>
        <v>40</v>
      </c>
      <c r="B42" s="379"/>
      <c r="C42" s="14" t="s">
        <v>331</v>
      </c>
      <c r="D42" s="15" t="s">
        <v>416</v>
      </c>
      <c r="E42" s="15" t="s">
        <v>477</v>
      </c>
      <c r="F42" s="16" t="s">
        <v>441</v>
      </c>
      <c r="G42" s="30">
        <v>45468</v>
      </c>
      <c r="H42" s="31">
        <v>45468</v>
      </c>
      <c r="I42" s="31">
        <v>45473</v>
      </c>
      <c r="J42" s="32">
        <v>45443</v>
      </c>
      <c r="K42" s="20" t="s">
        <v>140</v>
      </c>
      <c r="L42" s="21">
        <v>45562</v>
      </c>
      <c r="M42" s="28" t="s">
        <v>494</v>
      </c>
      <c r="N42" s="23" t="s">
        <v>148</v>
      </c>
      <c r="O42" s="21" t="s">
        <v>140</v>
      </c>
      <c r="P42" s="21" t="s">
        <v>140</v>
      </c>
      <c r="Q42" s="21" t="s">
        <v>140</v>
      </c>
      <c r="R42" s="21" t="s">
        <v>140</v>
      </c>
      <c r="S42" s="21" t="s">
        <v>140</v>
      </c>
      <c r="T42" s="21" t="s">
        <v>140</v>
      </c>
      <c r="U42" s="21" t="s">
        <v>140</v>
      </c>
      <c r="V42" s="21" t="s">
        <v>140</v>
      </c>
      <c r="W42" s="23" t="s">
        <v>148</v>
      </c>
      <c r="X42" s="23" t="s">
        <v>148</v>
      </c>
      <c r="Y42" s="23" t="s">
        <v>11</v>
      </c>
      <c r="Z42" s="23" t="s">
        <v>148</v>
      </c>
      <c r="AA42" s="23" t="s">
        <v>148</v>
      </c>
      <c r="AB42" s="58" t="s">
        <v>511</v>
      </c>
      <c r="AC42" s="59" t="s">
        <v>512</v>
      </c>
      <c r="AE42" s="23">
        <v>175500</v>
      </c>
      <c r="AF42" s="23">
        <v>195000</v>
      </c>
      <c r="AG42" s="23" t="s">
        <v>140</v>
      </c>
      <c r="AH42" s="23" t="s">
        <v>140</v>
      </c>
      <c r="AI42" s="23" t="s">
        <v>11</v>
      </c>
      <c r="AJ42" s="23" t="s">
        <v>500</v>
      </c>
      <c r="AK42" s="23" t="s">
        <v>500</v>
      </c>
      <c r="AL42" s="23" t="s">
        <v>140</v>
      </c>
      <c r="AM42" s="23" t="s">
        <v>11</v>
      </c>
      <c r="AN42" s="23" t="s">
        <v>11</v>
      </c>
      <c r="AO42" s="23" t="s">
        <v>140</v>
      </c>
      <c r="AP42" s="23" t="s">
        <v>11</v>
      </c>
      <c r="AQ42" s="23" t="s">
        <v>11</v>
      </c>
      <c r="AR42" s="23"/>
      <c r="AS42" s="23"/>
      <c r="AT42" s="23"/>
      <c r="AU42" s="23" t="s">
        <v>500</v>
      </c>
      <c r="AV42" s="23" t="s">
        <v>500</v>
      </c>
      <c r="AW42" s="23"/>
      <c r="AX42" s="23" t="s">
        <v>500</v>
      </c>
      <c r="AY42" s="23" t="s">
        <v>500</v>
      </c>
      <c r="AZ42" s="23" t="s">
        <v>500</v>
      </c>
      <c r="BB42" s="60"/>
      <c r="BC42" s="60" t="s">
        <v>138</v>
      </c>
      <c r="BD42" s="60" t="s">
        <v>147</v>
      </c>
    </row>
    <row r="43" spans="1:56" x14ac:dyDescent="0.25">
      <c r="A43" s="13">
        <f t="shared" si="1"/>
        <v>41</v>
      </c>
      <c r="B43" s="379"/>
      <c r="C43" s="14" t="s">
        <v>336</v>
      </c>
      <c r="D43" s="15" t="s">
        <v>416</v>
      </c>
      <c r="E43" s="15" t="s">
        <v>477</v>
      </c>
      <c r="F43" s="16" t="s">
        <v>441</v>
      </c>
      <c r="G43" s="61" t="s">
        <v>513</v>
      </c>
      <c r="H43" s="61" t="s">
        <v>513</v>
      </c>
      <c r="I43" s="61" t="s">
        <v>513</v>
      </c>
      <c r="J43" s="30" t="s">
        <v>513</v>
      </c>
      <c r="K43" s="20" t="s">
        <v>140</v>
      </c>
      <c r="L43" s="21">
        <v>45538</v>
      </c>
      <c r="M43" s="28" t="s">
        <v>494</v>
      </c>
      <c r="N43" s="23" t="s">
        <v>140</v>
      </c>
      <c r="O43" s="23" t="s">
        <v>140</v>
      </c>
      <c r="P43" s="23" t="s">
        <v>140</v>
      </c>
      <c r="Q43" s="23" t="s">
        <v>140</v>
      </c>
      <c r="R43" s="23" t="s">
        <v>11</v>
      </c>
      <c r="S43" s="23" t="s">
        <v>140</v>
      </c>
      <c r="T43" s="23" t="s">
        <v>11</v>
      </c>
      <c r="U43" s="23" t="s">
        <v>11</v>
      </c>
      <c r="V43" s="23" t="s">
        <v>11</v>
      </c>
      <c r="W43" s="23" t="s">
        <v>148</v>
      </c>
      <c r="X43" s="23" t="s">
        <v>148</v>
      </c>
      <c r="Y43" s="23" t="s">
        <v>11</v>
      </c>
      <c r="Z43" s="23" t="s">
        <v>11</v>
      </c>
      <c r="AA43" s="23" t="s">
        <v>11</v>
      </c>
      <c r="AB43" s="58" t="s">
        <v>514</v>
      </c>
      <c r="AC43" s="59" t="s">
        <v>133</v>
      </c>
      <c r="AE43" s="23">
        <v>55000</v>
      </c>
      <c r="AF43" s="23">
        <v>65000</v>
      </c>
      <c r="AG43" s="23" t="s">
        <v>140</v>
      </c>
      <c r="AH43" s="23" t="s">
        <v>140</v>
      </c>
      <c r="AI43" s="23" t="s">
        <v>11</v>
      </c>
      <c r="AJ43" s="23" t="s">
        <v>500</v>
      </c>
      <c r="AK43" s="23" t="s">
        <v>500</v>
      </c>
      <c r="AL43" s="23" t="s">
        <v>140</v>
      </c>
      <c r="AM43" s="23" t="s">
        <v>11</v>
      </c>
      <c r="AN43" s="23" t="s">
        <v>11</v>
      </c>
      <c r="AO43" s="23" t="s">
        <v>140</v>
      </c>
      <c r="AP43" s="23" t="s">
        <v>11</v>
      </c>
      <c r="AQ43" s="23" t="s">
        <v>11</v>
      </c>
      <c r="AR43" s="23"/>
      <c r="AS43" s="23"/>
      <c r="AT43" s="23"/>
      <c r="AU43" s="23" t="s">
        <v>500</v>
      </c>
      <c r="AV43" s="23" t="s">
        <v>500</v>
      </c>
      <c r="AW43" s="23"/>
      <c r="AX43" s="23" t="s">
        <v>11</v>
      </c>
      <c r="AY43" s="23" t="s">
        <v>11</v>
      </c>
      <c r="AZ43" s="23" t="s">
        <v>11</v>
      </c>
      <c r="BB43" s="60"/>
      <c r="BC43" s="60" t="s">
        <v>138</v>
      </c>
      <c r="BD43" s="60" t="s">
        <v>147</v>
      </c>
    </row>
    <row r="44" spans="1:56" x14ac:dyDescent="0.25">
      <c r="A44" s="13">
        <f t="shared" si="1"/>
        <v>42</v>
      </c>
      <c r="B44" s="379"/>
      <c r="C44" s="14" t="s">
        <v>341</v>
      </c>
      <c r="D44" s="15" t="s">
        <v>423</v>
      </c>
      <c r="E44" s="15" t="s">
        <v>413</v>
      </c>
      <c r="F44" s="16" t="s">
        <v>441</v>
      </c>
      <c r="G44" s="21">
        <v>45588</v>
      </c>
      <c r="H44" s="62">
        <v>45588</v>
      </c>
      <c r="I44" s="62">
        <v>45588</v>
      </c>
      <c r="J44" s="21">
        <v>45588</v>
      </c>
      <c r="K44" s="20" t="s">
        <v>140</v>
      </c>
      <c r="L44" s="21">
        <v>45588</v>
      </c>
      <c r="M44" s="28" t="s">
        <v>494</v>
      </c>
      <c r="N44" s="23" t="s">
        <v>140</v>
      </c>
      <c r="O44" s="23" t="s">
        <v>140</v>
      </c>
      <c r="P44" s="23" t="s">
        <v>140</v>
      </c>
      <c r="Q44" s="23" t="s">
        <v>140</v>
      </c>
      <c r="R44" s="23" t="s">
        <v>140</v>
      </c>
      <c r="S44" s="23" t="s">
        <v>140</v>
      </c>
      <c r="T44" s="23" t="s">
        <v>11</v>
      </c>
      <c r="U44" s="23" t="s">
        <v>11</v>
      </c>
      <c r="V44" s="23" t="s">
        <v>11</v>
      </c>
      <c r="W44" s="23" t="s">
        <v>140</v>
      </c>
      <c r="X44" s="23" t="s">
        <v>140</v>
      </c>
      <c r="Y44" s="23" t="s">
        <v>11</v>
      </c>
      <c r="Z44" s="23" t="s">
        <v>148</v>
      </c>
      <c r="AA44" s="23" t="s">
        <v>11</v>
      </c>
      <c r="AB44" s="58">
        <v>4186789</v>
      </c>
      <c r="AC44" s="59">
        <v>5920017.3399999999</v>
      </c>
      <c r="AE44" s="23">
        <v>95000</v>
      </c>
      <c r="AF44" s="23">
        <v>100000</v>
      </c>
      <c r="AG44" s="23" t="s">
        <v>140</v>
      </c>
      <c r="AH44" s="23" t="s">
        <v>148</v>
      </c>
      <c r="AI44" s="23" t="s">
        <v>11</v>
      </c>
      <c r="AJ44" s="23" t="s">
        <v>11</v>
      </c>
      <c r="AK44" s="23" t="s">
        <v>11</v>
      </c>
      <c r="AL44" s="23" t="s">
        <v>481</v>
      </c>
      <c r="AM44" s="23" t="s">
        <v>481</v>
      </c>
      <c r="AN44" s="23" t="s">
        <v>481</v>
      </c>
      <c r="AO44" s="23" t="s">
        <v>11</v>
      </c>
      <c r="AP44" s="23" t="s">
        <v>11</v>
      </c>
      <c r="AQ44" s="23" t="s">
        <v>11</v>
      </c>
      <c r="AR44" s="23"/>
      <c r="AS44" s="23"/>
      <c r="AT44" s="23"/>
      <c r="AU44" s="23" t="s">
        <v>500</v>
      </c>
      <c r="AV44" s="23" t="s">
        <v>11</v>
      </c>
      <c r="AW44" s="23"/>
      <c r="AX44" s="23" t="s">
        <v>11</v>
      </c>
      <c r="AY44" s="23" t="s">
        <v>11</v>
      </c>
      <c r="AZ44" s="23" t="s">
        <v>11</v>
      </c>
      <c r="BB44" s="25" t="s">
        <v>515</v>
      </c>
      <c r="BC44" s="60" t="s">
        <v>138</v>
      </c>
      <c r="BD44" s="60" t="s">
        <v>147</v>
      </c>
    </row>
    <row r="45" spans="1:56" x14ac:dyDescent="0.25">
      <c r="A45" s="13">
        <f t="shared" si="1"/>
        <v>43</v>
      </c>
      <c r="B45" s="379"/>
      <c r="C45" s="14" t="s">
        <v>165</v>
      </c>
      <c r="D45" s="15" t="s">
        <v>416</v>
      </c>
      <c r="E45" s="15" t="s">
        <v>413</v>
      </c>
      <c r="F45" s="16" t="s">
        <v>441</v>
      </c>
      <c r="G45" s="63" t="s">
        <v>516</v>
      </c>
      <c r="H45" s="64" t="s">
        <v>516</v>
      </c>
      <c r="I45" s="64" t="s">
        <v>517</v>
      </c>
      <c r="J45" s="65">
        <v>45520</v>
      </c>
      <c r="K45" s="20" t="s">
        <v>140</v>
      </c>
      <c r="L45" s="21">
        <v>45520</v>
      </c>
      <c r="M45" s="28" t="s">
        <v>518</v>
      </c>
      <c r="N45" s="23" t="s">
        <v>140</v>
      </c>
      <c r="O45" s="23" t="s">
        <v>140</v>
      </c>
      <c r="P45" s="23" t="s">
        <v>140</v>
      </c>
      <c r="Q45" s="23" t="s">
        <v>140</v>
      </c>
      <c r="R45" s="23" t="s">
        <v>140</v>
      </c>
      <c r="S45" s="23" t="s">
        <v>140</v>
      </c>
      <c r="T45" s="23" t="s">
        <v>11</v>
      </c>
      <c r="U45" s="23" t="s">
        <v>11</v>
      </c>
      <c r="V45" s="23" t="s">
        <v>140</v>
      </c>
      <c r="W45" s="23" t="s">
        <v>140</v>
      </c>
      <c r="X45" s="23" t="s">
        <v>140</v>
      </c>
      <c r="Y45" s="23" t="s">
        <v>11</v>
      </c>
      <c r="Z45" s="23" t="s">
        <v>11</v>
      </c>
      <c r="AA45" s="23" t="s">
        <v>11</v>
      </c>
      <c r="AB45" s="58">
        <v>591885</v>
      </c>
      <c r="AC45" s="59">
        <v>17229003.199999999</v>
      </c>
      <c r="AE45" s="23">
        <v>80000</v>
      </c>
      <c r="AF45" s="23">
        <v>88000</v>
      </c>
      <c r="AG45" s="23" t="s">
        <v>148</v>
      </c>
      <c r="AH45" s="23" t="s">
        <v>148</v>
      </c>
      <c r="AI45" s="23">
        <v>7500</v>
      </c>
      <c r="AJ45" s="23" t="s">
        <v>140</v>
      </c>
      <c r="AK45" s="23" t="s">
        <v>500</v>
      </c>
      <c r="AL45" s="23" t="s">
        <v>481</v>
      </c>
      <c r="AM45" s="23" t="s">
        <v>481</v>
      </c>
      <c r="AN45" s="23" t="s">
        <v>481</v>
      </c>
      <c r="AO45" s="23" t="s">
        <v>140</v>
      </c>
      <c r="AP45" s="23" t="s">
        <v>481</v>
      </c>
      <c r="AQ45" s="23" t="s">
        <v>481</v>
      </c>
      <c r="AR45" s="23"/>
      <c r="AS45" s="23"/>
      <c r="AT45" s="23"/>
      <c r="AU45" s="23" t="s">
        <v>11</v>
      </c>
      <c r="AV45" s="23" t="s">
        <v>11</v>
      </c>
      <c r="AW45" s="23"/>
      <c r="AX45" s="23" t="s">
        <v>11</v>
      </c>
      <c r="AY45" s="23" t="s">
        <v>11</v>
      </c>
      <c r="AZ45" s="23" t="s">
        <v>11</v>
      </c>
      <c r="BB45" s="25" t="s">
        <v>485</v>
      </c>
      <c r="BC45" s="25" t="s">
        <v>147</v>
      </c>
      <c r="BD45" s="25" t="s">
        <v>138</v>
      </c>
    </row>
    <row r="46" spans="1:56" x14ac:dyDescent="0.25">
      <c r="A46" s="13">
        <f t="shared" si="1"/>
        <v>44</v>
      </c>
      <c r="B46" s="379"/>
      <c r="C46" s="14" t="s">
        <v>194</v>
      </c>
      <c r="D46" s="15" t="s">
        <v>11</v>
      </c>
      <c r="E46" s="15" t="s">
        <v>11</v>
      </c>
      <c r="F46" s="16" t="s">
        <v>441</v>
      </c>
      <c r="G46" s="29" t="s">
        <v>11</v>
      </c>
      <c r="H46" s="29" t="s">
        <v>11</v>
      </c>
      <c r="I46" s="29" t="s">
        <v>11</v>
      </c>
      <c r="J46" s="66" t="s">
        <v>11</v>
      </c>
      <c r="K46" s="20" t="s">
        <v>11</v>
      </c>
      <c r="L46" s="67" t="s">
        <v>11</v>
      </c>
      <c r="M46" s="28" t="s">
        <v>11</v>
      </c>
      <c r="N46" s="23" t="s">
        <v>11</v>
      </c>
      <c r="O46" s="23" t="s">
        <v>11</v>
      </c>
      <c r="P46" s="23" t="s">
        <v>11</v>
      </c>
      <c r="Q46" s="23" t="s">
        <v>11</v>
      </c>
      <c r="R46" s="23" t="s">
        <v>11</v>
      </c>
      <c r="S46" s="23" t="s">
        <v>140</v>
      </c>
      <c r="T46" s="23" t="s">
        <v>11</v>
      </c>
      <c r="U46" s="23" t="s">
        <v>11</v>
      </c>
      <c r="V46" s="23" t="s">
        <v>11</v>
      </c>
      <c r="W46" s="23" t="s">
        <v>11</v>
      </c>
      <c r="X46" s="23" t="s">
        <v>11</v>
      </c>
      <c r="Y46" s="23" t="s">
        <v>11</v>
      </c>
      <c r="Z46" s="23" t="s">
        <v>11</v>
      </c>
      <c r="AA46" s="23" t="s">
        <v>11</v>
      </c>
      <c r="AB46" s="59" t="s">
        <v>11</v>
      </c>
      <c r="AC46" s="59" t="s">
        <v>11</v>
      </c>
      <c r="AE46" s="23" t="s">
        <v>11</v>
      </c>
      <c r="AF46" s="23" t="s">
        <v>11</v>
      </c>
      <c r="AG46" s="23" t="s">
        <v>11</v>
      </c>
      <c r="AH46" s="23" t="s">
        <v>11</v>
      </c>
      <c r="AI46" s="23" t="s">
        <v>11</v>
      </c>
      <c r="AJ46" s="23" t="s">
        <v>11</v>
      </c>
      <c r="AK46" s="23" t="s">
        <v>11</v>
      </c>
      <c r="AL46" s="23" t="s">
        <v>481</v>
      </c>
      <c r="AM46" s="23" t="s">
        <v>481</v>
      </c>
      <c r="AN46" s="23" t="s">
        <v>481</v>
      </c>
      <c r="AO46" s="23" t="s">
        <v>11</v>
      </c>
      <c r="AP46" s="23" t="s">
        <v>11</v>
      </c>
      <c r="AQ46" s="23" t="s">
        <v>11</v>
      </c>
      <c r="AR46" s="23"/>
      <c r="AS46" s="23"/>
      <c r="AT46" s="23"/>
      <c r="AU46" s="23" t="s">
        <v>11</v>
      </c>
      <c r="AV46" s="23" t="s">
        <v>11</v>
      </c>
      <c r="AW46" s="23"/>
      <c r="AX46" s="23" t="s">
        <v>11</v>
      </c>
      <c r="AY46" s="23" t="s">
        <v>11</v>
      </c>
      <c r="AZ46" s="23" t="s">
        <v>11</v>
      </c>
      <c r="BB46" s="29" t="s">
        <v>11</v>
      </c>
      <c r="BC46" s="29" t="s">
        <v>11</v>
      </c>
      <c r="BD46" s="29" t="s">
        <v>11</v>
      </c>
    </row>
    <row r="47" spans="1:56" x14ac:dyDescent="0.25">
      <c r="A47" s="13">
        <v>45</v>
      </c>
      <c r="B47" s="379"/>
      <c r="C47" s="14" t="s">
        <v>337</v>
      </c>
      <c r="D47" s="15" t="s">
        <v>442</v>
      </c>
      <c r="E47" s="15" t="s">
        <v>477</v>
      </c>
      <c r="F47" s="16" t="s">
        <v>441</v>
      </c>
      <c r="G47" s="25" t="s">
        <v>519</v>
      </c>
      <c r="H47" s="25" t="s">
        <v>519</v>
      </c>
      <c r="I47" s="25" t="s">
        <v>519</v>
      </c>
      <c r="J47" s="25" t="s">
        <v>519</v>
      </c>
      <c r="K47" s="68" t="s">
        <v>140</v>
      </c>
      <c r="L47" s="25" t="s">
        <v>519</v>
      </c>
      <c r="M47" s="69" t="s">
        <v>494</v>
      </c>
      <c r="N47" s="23" t="s">
        <v>140</v>
      </c>
      <c r="O47" s="23" t="s">
        <v>140</v>
      </c>
      <c r="P47" s="21" t="s">
        <v>140</v>
      </c>
      <c r="Q47" s="21" t="s">
        <v>140</v>
      </c>
      <c r="R47" s="23" t="s">
        <v>11</v>
      </c>
      <c r="S47" s="23" t="s">
        <v>140</v>
      </c>
      <c r="T47" s="23" t="s">
        <v>11</v>
      </c>
      <c r="U47" s="23" t="s">
        <v>11</v>
      </c>
      <c r="V47" s="21" t="s">
        <v>140</v>
      </c>
      <c r="W47" s="23" t="s">
        <v>148</v>
      </c>
      <c r="X47" s="23" t="s">
        <v>148</v>
      </c>
      <c r="Y47" s="23" t="s">
        <v>11</v>
      </c>
      <c r="Z47" s="23" t="s">
        <v>11</v>
      </c>
      <c r="AA47" s="23" t="s">
        <v>11</v>
      </c>
      <c r="AB47" s="59" t="s">
        <v>133</v>
      </c>
      <c r="AC47" s="59" t="s">
        <v>133</v>
      </c>
      <c r="AE47" s="23" t="s">
        <v>11</v>
      </c>
      <c r="AF47" s="23">
        <v>70000</v>
      </c>
      <c r="AG47" s="23" t="s">
        <v>140</v>
      </c>
      <c r="AH47" s="23" t="s">
        <v>140</v>
      </c>
      <c r="AI47" s="23" t="s">
        <v>11</v>
      </c>
      <c r="AJ47" s="23" t="s">
        <v>500</v>
      </c>
      <c r="AK47" s="23" t="s">
        <v>500</v>
      </c>
      <c r="AL47" s="23" t="s">
        <v>481</v>
      </c>
      <c r="AM47" s="23" t="s">
        <v>481</v>
      </c>
      <c r="AN47" s="23" t="s">
        <v>481</v>
      </c>
      <c r="AO47" s="23" t="s">
        <v>140</v>
      </c>
      <c r="AP47" s="23" t="s">
        <v>11</v>
      </c>
      <c r="AQ47" s="23" t="s">
        <v>11</v>
      </c>
      <c r="AR47" s="23"/>
      <c r="AS47" s="23"/>
      <c r="AT47" s="23"/>
      <c r="AU47" s="23" t="s">
        <v>11</v>
      </c>
      <c r="AV47" s="23" t="s">
        <v>11</v>
      </c>
      <c r="AW47" s="23"/>
      <c r="AX47" s="23" t="s">
        <v>11</v>
      </c>
      <c r="AY47" s="23" t="s">
        <v>11</v>
      </c>
      <c r="AZ47" s="23" t="s">
        <v>11</v>
      </c>
      <c r="BB47" s="25"/>
      <c r="BC47" s="25" t="s">
        <v>138</v>
      </c>
      <c r="BD47" s="25" t="s">
        <v>138</v>
      </c>
    </row>
    <row r="48" spans="1:56" x14ac:dyDescent="0.25">
      <c r="A48" s="13">
        <v>46</v>
      </c>
      <c r="B48" s="379"/>
      <c r="C48" s="14" t="s">
        <v>293</v>
      </c>
      <c r="D48" s="15" t="s">
        <v>423</v>
      </c>
      <c r="E48" s="15" t="s">
        <v>520</v>
      </c>
      <c r="F48" s="16" t="s">
        <v>441</v>
      </c>
      <c r="G48" s="25" t="s">
        <v>521</v>
      </c>
      <c r="H48" s="25" t="s">
        <v>522</v>
      </c>
      <c r="I48" s="25" t="s">
        <v>522</v>
      </c>
      <c r="J48" s="70">
        <v>45491</v>
      </c>
      <c r="K48" s="68" t="s">
        <v>140</v>
      </c>
      <c r="L48" s="71">
        <v>45491</v>
      </c>
      <c r="M48" s="22" t="s">
        <v>494</v>
      </c>
      <c r="N48" s="23" t="s">
        <v>140</v>
      </c>
      <c r="O48" s="23" t="s">
        <v>140</v>
      </c>
      <c r="P48" s="23" t="s">
        <v>140</v>
      </c>
      <c r="Q48" s="23" t="s">
        <v>140</v>
      </c>
      <c r="R48" s="23" t="s">
        <v>140</v>
      </c>
      <c r="S48" s="23" t="s">
        <v>140</v>
      </c>
      <c r="T48" s="23" t="s">
        <v>11</v>
      </c>
      <c r="U48" s="23" t="s">
        <v>11</v>
      </c>
      <c r="V48" s="23" t="s">
        <v>140</v>
      </c>
      <c r="W48" s="23" t="s">
        <v>140</v>
      </c>
      <c r="X48" s="23" t="s">
        <v>148</v>
      </c>
      <c r="Y48" s="23" t="s">
        <v>11</v>
      </c>
      <c r="Z48" s="23" t="s">
        <v>11</v>
      </c>
      <c r="AA48" s="23" t="s">
        <v>11</v>
      </c>
      <c r="AB48" s="72" t="s">
        <v>133</v>
      </c>
      <c r="AC48" s="72" t="s">
        <v>133</v>
      </c>
      <c r="AE48" s="23" t="s">
        <v>11</v>
      </c>
      <c r="AF48" s="23">
        <v>80000</v>
      </c>
      <c r="AG48" s="23" t="s">
        <v>140</v>
      </c>
      <c r="AH48" s="23" t="s">
        <v>140</v>
      </c>
      <c r="AI48" s="23">
        <v>20000</v>
      </c>
      <c r="AJ48" s="23" t="s">
        <v>500</v>
      </c>
      <c r="AK48" s="23" t="s">
        <v>500</v>
      </c>
      <c r="AL48" s="23" t="s">
        <v>481</v>
      </c>
      <c r="AM48" s="23" t="s">
        <v>481</v>
      </c>
      <c r="AN48" s="23" t="s">
        <v>481</v>
      </c>
      <c r="AO48" s="23" t="s">
        <v>140</v>
      </c>
      <c r="AP48" s="23" t="s">
        <v>11</v>
      </c>
      <c r="AQ48" s="23" t="s">
        <v>11</v>
      </c>
      <c r="AR48" s="23"/>
      <c r="AS48" s="23"/>
      <c r="AT48" s="23"/>
      <c r="AU48" s="23" t="s">
        <v>11</v>
      </c>
      <c r="AV48" s="23" t="s">
        <v>11</v>
      </c>
      <c r="AW48" s="23"/>
      <c r="AX48" s="23" t="s">
        <v>140</v>
      </c>
      <c r="AY48" s="23" t="s">
        <v>140</v>
      </c>
      <c r="AZ48" s="23" t="s">
        <v>500</v>
      </c>
      <c r="BB48" s="25">
        <v>45576</v>
      </c>
      <c r="BC48" s="25" t="s">
        <v>138</v>
      </c>
      <c r="BD48" s="25" t="s">
        <v>138</v>
      </c>
    </row>
    <row r="49" spans="1:56" x14ac:dyDescent="0.25">
      <c r="A49" s="13">
        <v>47</v>
      </c>
      <c r="B49" s="379"/>
      <c r="C49" s="14" t="s">
        <v>523</v>
      </c>
      <c r="D49" s="15" t="s">
        <v>423</v>
      </c>
      <c r="E49" s="15" t="s">
        <v>426</v>
      </c>
      <c r="F49" s="16" t="s">
        <v>441</v>
      </c>
      <c r="G49" s="25" t="s">
        <v>524</v>
      </c>
      <c r="H49" s="25" t="s">
        <v>524</v>
      </c>
      <c r="I49" s="25" t="s">
        <v>524</v>
      </c>
      <c r="J49" s="73" t="s">
        <v>524</v>
      </c>
      <c r="K49" s="74" t="s">
        <v>140</v>
      </c>
      <c r="L49" s="75" t="s">
        <v>525</v>
      </c>
      <c r="M49" s="22" t="s">
        <v>494</v>
      </c>
      <c r="N49" s="23" t="s">
        <v>140</v>
      </c>
      <c r="O49" s="23" t="s">
        <v>140</v>
      </c>
      <c r="P49" s="23" t="s">
        <v>140</v>
      </c>
      <c r="Q49" s="23" t="s">
        <v>11</v>
      </c>
      <c r="R49" s="23" t="s">
        <v>140</v>
      </c>
      <c r="S49" s="23" t="s">
        <v>140</v>
      </c>
      <c r="T49" s="23" t="s">
        <v>11</v>
      </c>
      <c r="U49" s="23" t="s">
        <v>11</v>
      </c>
      <c r="V49" s="23" t="s">
        <v>11</v>
      </c>
      <c r="W49" s="23" t="s">
        <v>140</v>
      </c>
      <c r="X49" s="23" t="s">
        <v>140</v>
      </c>
      <c r="Y49" s="23" t="s">
        <v>11</v>
      </c>
      <c r="Z49" s="23" t="s">
        <v>11</v>
      </c>
      <c r="AA49" s="23" t="s">
        <v>11</v>
      </c>
      <c r="AB49" s="72" t="s">
        <v>133</v>
      </c>
      <c r="AC49" s="72" t="s">
        <v>133</v>
      </c>
      <c r="AE49" s="23">
        <v>25000</v>
      </c>
      <c r="AF49" s="23">
        <v>25000</v>
      </c>
      <c r="AG49" s="23" t="s">
        <v>140</v>
      </c>
      <c r="AH49" s="23" t="s">
        <v>140</v>
      </c>
      <c r="AI49" s="23" t="s">
        <v>11</v>
      </c>
      <c r="AJ49" s="23" t="s">
        <v>500</v>
      </c>
      <c r="AK49" s="23" t="s">
        <v>500</v>
      </c>
      <c r="AL49" s="23" t="s">
        <v>481</v>
      </c>
      <c r="AM49" s="23" t="s">
        <v>481</v>
      </c>
      <c r="AN49" s="23" t="s">
        <v>481</v>
      </c>
      <c r="AO49" s="23" t="s">
        <v>148</v>
      </c>
      <c r="AP49" s="23" t="s">
        <v>11</v>
      </c>
      <c r="AQ49" s="23" t="s">
        <v>11</v>
      </c>
      <c r="AR49" s="23"/>
      <c r="AS49" s="23"/>
      <c r="AT49" s="23"/>
      <c r="AU49" s="23" t="s">
        <v>11</v>
      </c>
      <c r="AV49" s="23" t="s">
        <v>11</v>
      </c>
      <c r="AW49" s="23"/>
      <c r="AX49" s="23" t="s">
        <v>11</v>
      </c>
      <c r="AY49" s="23" t="s">
        <v>11</v>
      </c>
      <c r="AZ49" s="23" t="s">
        <v>11</v>
      </c>
      <c r="BB49" s="25" t="s">
        <v>485</v>
      </c>
      <c r="BC49" s="25" t="s">
        <v>138</v>
      </c>
      <c r="BD49" s="25" t="s">
        <v>138</v>
      </c>
    </row>
    <row r="50" spans="1:56" x14ac:dyDescent="0.25">
      <c r="A50" s="13">
        <v>48</v>
      </c>
      <c r="B50" s="379"/>
      <c r="C50" s="14" t="s">
        <v>526</v>
      </c>
      <c r="D50" s="15" t="s">
        <v>11</v>
      </c>
      <c r="E50" s="15" t="s">
        <v>426</v>
      </c>
      <c r="F50" s="16" t="s">
        <v>441</v>
      </c>
      <c r="G50" s="25" t="s">
        <v>524</v>
      </c>
      <c r="H50" s="25" t="s">
        <v>524</v>
      </c>
      <c r="I50" s="25" t="s">
        <v>524</v>
      </c>
      <c r="J50" s="73" t="s">
        <v>524</v>
      </c>
      <c r="K50" s="74" t="s">
        <v>140</v>
      </c>
      <c r="L50" s="70" t="s">
        <v>525</v>
      </c>
      <c r="M50" s="69" t="s">
        <v>11</v>
      </c>
      <c r="N50" s="23" t="s">
        <v>11</v>
      </c>
      <c r="O50" s="23" t="s">
        <v>140</v>
      </c>
      <c r="P50" s="23" t="s">
        <v>11</v>
      </c>
      <c r="Q50" s="23" t="s">
        <v>11</v>
      </c>
      <c r="R50" s="23" t="s">
        <v>140</v>
      </c>
      <c r="S50" s="23" t="s">
        <v>140</v>
      </c>
      <c r="T50" s="23" t="s">
        <v>11</v>
      </c>
      <c r="U50" s="23" t="s">
        <v>11</v>
      </c>
      <c r="V50" s="23" t="s">
        <v>11</v>
      </c>
      <c r="W50" s="23" t="s">
        <v>140</v>
      </c>
      <c r="X50" s="23" t="s">
        <v>140</v>
      </c>
      <c r="Y50" s="23" t="s">
        <v>11</v>
      </c>
      <c r="Z50" s="23" t="s">
        <v>11</v>
      </c>
      <c r="AA50" s="23" t="s">
        <v>11</v>
      </c>
      <c r="AB50" s="72" t="s">
        <v>133</v>
      </c>
      <c r="AC50" s="72" t="s">
        <v>133</v>
      </c>
      <c r="AE50" s="23">
        <v>25000</v>
      </c>
      <c r="AF50" s="23">
        <v>25000</v>
      </c>
      <c r="AG50" s="23" t="s">
        <v>140</v>
      </c>
      <c r="AH50" s="23" t="s">
        <v>148</v>
      </c>
      <c r="AI50" s="23" t="s">
        <v>11</v>
      </c>
      <c r="AJ50" s="23" t="s">
        <v>500</v>
      </c>
      <c r="AK50" s="23" t="s">
        <v>500</v>
      </c>
      <c r="AL50" s="23" t="s">
        <v>481</v>
      </c>
      <c r="AM50" s="23" t="s">
        <v>481</v>
      </c>
      <c r="AN50" s="23" t="s">
        <v>481</v>
      </c>
      <c r="AO50" s="23" t="s">
        <v>148</v>
      </c>
      <c r="AP50" s="23" t="s">
        <v>11</v>
      </c>
      <c r="AQ50" s="23" t="s">
        <v>11</v>
      </c>
      <c r="AR50" s="23"/>
      <c r="AS50" s="23"/>
      <c r="AT50" s="23"/>
      <c r="AU50" s="23" t="s">
        <v>11</v>
      </c>
      <c r="AV50" s="23" t="s">
        <v>11</v>
      </c>
      <c r="AW50" s="23"/>
      <c r="AX50" s="23" t="s">
        <v>11</v>
      </c>
      <c r="AY50" s="23" t="s">
        <v>11</v>
      </c>
      <c r="AZ50" s="23" t="s">
        <v>11</v>
      </c>
      <c r="BB50" s="25" t="s">
        <v>485</v>
      </c>
      <c r="BC50" s="25" t="s">
        <v>11</v>
      </c>
      <c r="BD50" s="25" t="s">
        <v>11</v>
      </c>
    </row>
    <row r="51" spans="1:56" x14ac:dyDescent="0.25">
      <c r="A51" s="13">
        <v>49</v>
      </c>
      <c r="B51" s="379"/>
      <c r="C51" s="14" t="s">
        <v>296</v>
      </c>
      <c r="D51" s="15" t="s">
        <v>423</v>
      </c>
      <c r="E51" s="15" t="s">
        <v>426</v>
      </c>
      <c r="F51" s="16" t="s">
        <v>441</v>
      </c>
      <c r="G51" s="76" t="s">
        <v>527</v>
      </c>
      <c r="H51" s="76" t="s">
        <v>527</v>
      </c>
      <c r="I51" s="76" t="s">
        <v>527</v>
      </c>
      <c r="J51" s="42">
        <v>45537</v>
      </c>
      <c r="K51" s="20" t="s">
        <v>140</v>
      </c>
      <c r="L51" s="70">
        <v>45537</v>
      </c>
      <c r="M51" s="22" t="s">
        <v>494</v>
      </c>
      <c r="N51" s="23" t="s">
        <v>140</v>
      </c>
      <c r="O51" s="23" t="s">
        <v>140</v>
      </c>
      <c r="P51" s="23" t="s">
        <v>140</v>
      </c>
      <c r="Q51" s="23" t="s">
        <v>11</v>
      </c>
      <c r="R51" s="23" t="s">
        <v>140</v>
      </c>
      <c r="S51" s="23" t="s">
        <v>140</v>
      </c>
      <c r="T51" s="23" t="s">
        <v>11</v>
      </c>
      <c r="U51" s="23" t="s">
        <v>11</v>
      </c>
      <c r="V51" s="23" t="s">
        <v>11</v>
      </c>
      <c r="W51" s="23" t="s">
        <v>148</v>
      </c>
      <c r="X51" s="23" t="s">
        <v>148</v>
      </c>
      <c r="Y51" s="23" t="s">
        <v>11</v>
      </c>
      <c r="Z51" s="23" t="s">
        <v>11</v>
      </c>
      <c r="AA51" s="23" t="s">
        <v>11</v>
      </c>
      <c r="AB51" s="72" t="s">
        <v>133</v>
      </c>
      <c r="AC51" s="72" t="s">
        <v>133</v>
      </c>
      <c r="AE51" s="23">
        <v>0</v>
      </c>
      <c r="AF51" s="23">
        <v>80000</v>
      </c>
      <c r="AG51" s="23" t="s">
        <v>140</v>
      </c>
      <c r="AH51" s="23" t="s">
        <v>140</v>
      </c>
      <c r="AI51" s="23" t="s">
        <v>11</v>
      </c>
      <c r="AJ51" s="23" t="s">
        <v>500</v>
      </c>
      <c r="AK51" s="23" t="s">
        <v>500</v>
      </c>
      <c r="AL51" s="23" t="s">
        <v>481</v>
      </c>
      <c r="AM51" s="23" t="s">
        <v>481</v>
      </c>
      <c r="AN51" s="23" t="s">
        <v>481</v>
      </c>
      <c r="AO51" s="23" t="s">
        <v>140</v>
      </c>
      <c r="AP51" s="23" t="s">
        <v>11</v>
      </c>
      <c r="AQ51" s="23" t="s">
        <v>11</v>
      </c>
      <c r="AR51" s="23"/>
      <c r="AS51" s="23"/>
      <c r="AT51" s="23"/>
      <c r="AU51" s="23" t="s">
        <v>11</v>
      </c>
      <c r="AV51" s="23" t="s">
        <v>11</v>
      </c>
      <c r="AW51" s="23"/>
      <c r="AX51" s="23" t="s">
        <v>11</v>
      </c>
      <c r="AY51" s="23" t="s">
        <v>11</v>
      </c>
      <c r="AZ51" s="23" t="s">
        <v>11</v>
      </c>
      <c r="BB51" s="77"/>
      <c r="BC51" s="77" t="s">
        <v>138</v>
      </c>
      <c r="BD51" s="77" t="s">
        <v>138</v>
      </c>
    </row>
    <row r="52" spans="1:56" x14ac:dyDescent="0.25">
      <c r="A52" s="13">
        <v>50</v>
      </c>
      <c r="B52" s="380"/>
      <c r="C52" s="14" t="s">
        <v>528</v>
      </c>
      <c r="D52" s="15" t="s">
        <v>423</v>
      </c>
      <c r="E52" s="15" t="s">
        <v>11</v>
      </c>
      <c r="F52" s="16" t="s">
        <v>441</v>
      </c>
      <c r="G52" s="25" t="s">
        <v>529</v>
      </c>
      <c r="H52" s="25" t="s">
        <v>529</v>
      </c>
      <c r="I52" s="25" t="s">
        <v>529</v>
      </c>
      <c r="J52" s="25" t="s">
        <v>529</v>
      </c>
      <c r="K52" s="20" t="s">
        <v>11</v>
      </c>
      <c r="L52" s="23" t="s">
        <v>11</v>
      </c>
      <c r="M52" s="22" t="s">
        <v>494</v>
      </c>
      <c r="N52" s="23" t="s">
        <v>140</v>
      </c>
      <c r="O52" s="23" t="s">
        <v>140</v>
      </c>
      <c r="P52" s="23" t="s">
        <v>11</v>
      </c>
      <c r="Q52" s="23" t="s">
        <v>11</v>
      </c>
      <c r="R52" s="23" t="s">
        <v>11</v>
      </c>
      <c r="S52" s="23" t="s">
        <v>140</v>
      </c>
      <c r="T52" s="23" t="s">
        <v>11</v>
      </c>
      <c r="U52" s="23" t="s">
        <v>11</v>
      </c>
      <c r="V52" s="23" t="s">
        <v>11</v>
      </c>
      <c r="W52" s="23" t="s">
        <v>11</v>
      </c>
      <c r="X52" s="23" t="s">
        <v>11</v>
      </c>
      <c r="Y52" s="23" t="s">
        <v>11</v>
      </c>
      <c r="Z52" s="23" t="s">
        <v>11</v>
      </c>
      <c r="AA52" s="23" t="s">
        <v>11</v>
      </c>
      <c r="AB52" s="72" t="s">
        <v>133</v>
      </c>
      <c r="AC52" s="72" t="s">
        <v>133</v>
      </c>
      <c r="AE52" s="23">
        <v>6500</v>
      </c>
      <c r="AF52" s="23">
        <v>6500</v>
      </c>
      <c r="AG52" s="23" t="s">
        <v>11</v>
      </c>
      <c r="AH52" s="23" t="s">
        <v>11</v>
      </c>
      <c r="AI52" s="23" t="s">
        <v>11</v>
      </c>
      <c r="AJ52" s="23" t="s">
        <v>11</v>
      </c>
      <c r="AK52" s="23" t="s">
        <v>11</v>
      </c>
      <c r="AL52" s="23" t="s">
        <v>481</v>
      </c>
      <c r="AM52" s="23" t="s">
        <v>481</v>
      </c>
      <c r="AN52" s="23" t="s">
        <v>481</v>
      </c>
      <c r="AO52" s="23" t="s">
        <v>140</v>
      </c>
      <c r="AP52" s="23" t="s">
        <v>11</v>
      </c>
      <c r="AQ52" s="23" t="s">
        <v>11</v>
      </c>
      <c r="AR52" s="23"/>
      <c r="AS52" s="23"/>
      <c r="AT52" s="23"/>
      <c r="AU52" s="23" t="s">
        <v>11</v>
      </c>
      <c r="AV52" s="23" t="s">
        <v>11</v>
      </c>
      <c r="AW52" s="23"/>
      <c r="AX52" s="23" t="s">
        <v>11</v>
      </c>
      <c r="AY52" s="23" t="s">
        <v>11</v>
      </c>
      <c r="AZ52" s="23" t="s">
        <v>11</v>
      </c>
      <c r="BB52" s="25" t="s">
        <v>11</v>
      </c>
      <c r="BC52" s="25" t="s">
        <v>11</v>
      </c>
      <c r="BD52" s="25" t="s">
        <v>11</v>
      </c>
    </row>
    <row r="53" spans="1:56" x14ac:dyDescent="0.25">
      <c r="A53" s="13">
        <f t="shared" si="1"/>
        <v>51</v>
      </c>
      <c r="B53" s="375" t="s">
        <v>254</v>
      </c>
      <c r="C53" s="14" t="s">
        <v>250</v>
      </c>
      <c r="D53" s="15" t="s">
        <v>442</v>
      </c>
      <c r="E53" s="15" t="s">
        <v>426</v>
      </c>
      <c r="F53" s="16" t="s">
        <v>254</v>
      </c>
      <c r="G53" s="78">
        <v>45397</v>
      </c>
      <c r="H53" s="79" t="s">
        <v>516</v>
      </c>
      <c r="I53" s="79" t="s">
        <v>530</v>
      </c>
      <c r="J53" s="80">
        <v>45412</v>
      </c>
      <c r="K53" s="20" t="s">
        <v>140</v>
      </c>
      <c r="L53" s="21">
        <v>45412</v>
      </c>
      <c r="M53" s="22" t="s">
        <v>494</v>
      </c>
      <c r="N53" s="23" t="s">
        <v>140</v>
      </c>
      <c r="O53" s="23" t="s">
        <v>140</v>
      </c>
      <c r="P53" s="23" t="s">
        <v>140</v>
      </c>
      <c r="Q53" s="23" t="s">
        <v>140</v>
      </c>
      <c r="R53" s="23" t="s">
        <v>11</v>
      </c>
      <c r="S53" s="23" t="s">
        <v>140</v>
      </c>
      <c r="T53" s="23" t="s">
        <v>138</v>
      </c>
      <c r="U53" s="23" t="s">
        <v>11</v>
      </c>
      <c r="V53" s="23" t="s">
        <v>140</v>
      </c>
      <c r="W53" s="23" t="s">
        <v>140</v>
      </c>
      <c r="X53" s="23" t="s">
        <v>140</v>
      </c>
      <c r="Y53" s="23" t="s">
        <v>11</v>
      </c>
      <c r="Z53" s="23" t="s">
        <v>140</v>
      </c>
      <c r="AA53" s="23" t="s">
        <v>11</v>
      </c>
      <c r="AB53" s="23" t="s">
        <v>531</v>
      </c>
      <c r="AC53" s="23" t="s">
        <v>532</v>
      </c>
      <c r="AE53" s="23">
        <v>194910</v>
      </c>
      <c r="AF53" s="23">
        <v>225000</v>
      </c>
      <c r="AG53" s="23" t="s">
        <v>140</v>
      </c>
      <c r="AH53" s="23" t="s">
        <v>140</v>
      </c>
      <c r="AI53" s="23">
        <v>19965</v>
      </c>
      <c r="AJ53" s="23" t="s">
        <v>140</v>
      </c>
      <c r="AK53" s="23" t="s">
        <v>140</v>
      </c>
      <c r="AL53" s="23" t="s">
        <v>481</v>
      </c>
      <c r="AM53" s="23" t="s">
        <v>481</v>
      </c>
      <c r="AN53" s="23" t="s">
        <v>481</v>
      </c>
      <c r="AO53" s="23"/>
      <c r="AP53" s="23"/>
      <c r="AQ53" s="23"/>
      <c r="AR53" s="23" t="s">
        <v>140</v>
      </c>
      <c r="AS53" s="23" t="s">
        <v>140</v>
      </c>
      <c r="AT53" s="23" t="s">
        <v>140</v>
      </c>
      <c r="AU53" s="23" t="s">
        <v>140</v>
      </c>
      <c r="AV53" s="23" t="s">
        <v>140</v>
      </c>
      <c r="AW53" s="23" t="s">
        <v>140</v>
      </c>
      <c r="AX53" s="23" t="s">
        <v>140</v>
      </c>
      <c r="AY53" s="23" t="s">
        <v>140</v>
      </c>
      <c r="AZ53" s="23" t="s">
        <v>140</v>
      </c>
      <c r="BB53" s="25"/>
      <c r="BC53" s="25" t="s">
        <v>11</v>
      </c>
      <c r="BD53" s="25" t="s">
        <v>11</v>
      </c>
    </row>
    <row r="54" spans="1:56" x14ac:dyDescent="0.25">
      <c r="A54" s="13">
        <f t="shared" si="1"/>
        <v>52</v>
      </c>
      <c r="B54" s="376"/>
      <c r="C54" s="14" t="s">
        <v>444</v>
      </c>
      <c r="D54" s="15" t="s">
        <v>428</v>
      </c>
      <c r="E54" s="15" t="s">
        <v>445</v>
      </c>
      <c r="F54" s="26" t="s">
        <v>254</v>
      </c>
      <c r="G54" s="43">
        <v>45443</v>
      </c>
      <c r="H54" s="27" t="s">
        <v>533</v>
      </c>
      <c r="I54" s="27" t="s">
        <v>534</v>
      </c>
      <c r="J54" s="27">
        <v>45458</v>
      </c>
      <c r="K54" s="20" t="s">
        <v>140</v>
      </c>
      <c r="L54" s="23"/>
      <c r="M54" s="28" t="s">
        <v>494</v>
      </c>
      <c r="N54" s="23" t="s">
        <v>140</v>
      </c>
      <c r="O54" s="23" t="s">
        <v>140</v>
      </c>
      <c r="P54" s="23" t="s">
        <v>140</v>
      </c>
      <c r="Q54" s="23" t="s">
        <v>140</v>
      </c>
      <c r="R54" s="23" t="s">
        <v>11</v>
      </c>
      <c r="S54" s="23" t="s">
        <v>140</v>
      </c>
      <c r="T54" s="23" t="s">
        <v>138</v>
      </c>
      <c r="U54" s="23" t="s">
        <v>11</v>
      </c>
      <c r="V54" s="23" t="s">
        <v>140</v>
      </c>
      <c r="W54" s="23" t="s">
        <v>11</v>
      </c>
      <c r="X54" s="23" t="s">
        <v>11</v>
      </c>
      <c r="Y54" s="23" t="s">
        <v>11</v>
      </c>
      <c r="Z54" s="23" t="s">
        <v>140</v>
      </c>
      <c r="AA54" s="23" t="s">
        <v>140</v>
      </c>
      <c r="AB54" s="23">
        <v>0</v>
      </c>
      <c r="AC54" s="23" t="s">
        <v>535</v>
      </c>
      <c r="AE54" s="23" t="s">
        <v>11</v>
      </c>
      <c r="AF54" s="23">
        <v>125000</v>
      </c>
      <c r="AG54" s="23" t="s">
        <v>140</v>
      </c>
      <c r="AH54" s="23" t="s">
        <v>140</v>
      </c>
      <c r="AI54" s="23" t="s">
        <v>481</v>
      </c>
      <c r="AJ54" s="23" t="s">
        <v>11</v>
      </c>
      <c r="AK54" s="23" t="s">
        <v>11</v>
      </c>
      <c r="AL54" s="23" t="s">
        <v>481</v>
      </c>
      <c r="AM54" s="23" t="s">
        <v>481</v>
      </c>
      <c r="AN54" s="23" t="s">
        <v>481</v>
      </c>
      <c r="AO54" s="23"/>
      <c r="AP54" s="23"/>
      <c r="AQ54" s="23"/>
      <c r="AR54" s="23" t="s">
        <v>11</v>
      </c>
      <c r="AS54" s="23" t="s">
        <v>11</v>
      </c>
      <c r="AT54" s="23" t="s">
        <v>11</v>
      </c>
      <c r="AU54" s="23" t="s">
        <v>140</v>
      </c>
      <c r="AV54" s="23" t="s">
        <v>140</v>
      </c>
      <c r="AW54" s="23" t="s">
        <v>140</v>
      </c>
      <c r="AX54" s="23" t="s">
        <v>140</v>
      </c>
      <c r="AY54" s="23" t="s">
        <v>140</v>
      </c>
      <c r="AZ54" s="23" t="s">
        <v>140</v>
      </c>
      <c r="BB54" s="29"/>
      <c r="BC54" s="29" t="s">
        <v>147</v>
      </c>
      <c r="BD54" s="29" t="s">
        <v>11</v>
      </c>
    </row>
    <row r="55" spans="1:56" x14ac:dyDescent="0.25">
      <c r="A55" s="13">
        <v>52</v>
      </c>
      <c r="B55" s="376"/>
      <c r="C55" s="14" t="s">
        <v>536</v>
      </c>
      <c r="D55" s="15" t="s">
        <v>423</v>
      </c>
      <c r="E55" s="15" t="s">
        <v>11</v>
      </c>
      <c r="F55" s="16" t="s">
        <v>254</v>
      </c>
      <c r="G55" s="30" t="s">
        <v>537</v>
      </c>
      <c r="H55" s="31" t="s">
        <v>538</v>
      </c>
      <c r="I55" s="31" t="s">
        <v>538</v>
      </c>
      <c r="J55" s="32">
        <v>45412</v>
      </c>
      <c r="K55" s="20" t="s">
        <v>140</v>
      </c>
      <c r="L55" s="43">
        <v>45408</v>
      </c>
      <c r="M55" s="44">
        <v>45493</v>
      </c>
      <c r="N55" s="23" t="s">
        <v>140</v>
      </c>
      <c r="O55" s="23" t="s">
        <v>140</v>
      </c>
      <c r="P55" s="23" t="s">
        <v>140</v>
      </c>
      <c r="Q55" s="23" t="s">
        <v>140</v>
      </c>
      <c r="R55" s="23" t="s">
        <v>11</v>
      </c>
      <c r="S55" s="23" t="s">
        <v>140</v>
      </c>
      <c r="T55" s="23" t="s">
        <v>147</v>
      </c>
      <c r="U55" s="23" t="s">
        <v>140</v>
      </c>
      <c r="V55" s="23" t="s">
        <v>140</v>
      </c>
      <c r="W55" s="23" t="s">
        <v>11</v>
      </c>
      <c r="X55" s="23" t="s">
        <v>11</v>
      </c>
      <c r="Y55" s="23" t="s">
        <v>11</v>
      </c>
      <c r="Z55" s="23" t="s">
        <v>140</v>
      </c>
      <c r="AA55" s="23" t="s">
        <v>140</v>
      </c>
      <c r="AB55" s="23" t="s">
        <v>539</v>
      </c>
      <c r="AC55" s="23" t="s">
        <v>540</v>
      </c>
      <c r="AE55" s="23" t="s">
        <v>541</v>
      </c>
      <c r="AF55" s="23">
        <v>225000</v>
      </c>
      <c r="AG55" s="23" t="s">
        <v>140</v>
      </c>
      <c r="AH55" s="23" t="s">
        <v>140</v>
      </c>
      <c r="AI55" s="23">
        <v>20000</v>
      </c>
      <c r="AJ55" s="23" t="s">
        <v>140</v>
      </c>
      <c r="AK55" s="23" t="s">
        <v>140</v>
      </c>
      <c r="AL55" s="23" t="s">
        <v>481</v>
      </c>
      <c r="AM55" s="23" t="s">
        <v>481</v>
      </c>
      <c r="AN55" s="23" t="s">
        <v>481</v>
      </c>
      <c r="AO55" s="23"/>
      <c r="AP55" s="23"/>
      <c r="AQ55" s="23"/>
      <c r="AR55" s="23" t="s">
        <v>140</v>
      </c>
      <c r="AS55" s="23" t="s">
        <v>500</v>
      </c>
      <c r="AT55" s="23" t="s">
        <v>500</v>
      </c>
      <c r="AU55" s="23" t="s">
        <v>140</v>
      </c>
      <c r="AV55" s="23" t="s">
        <v>140</v>
      </c>
      <c r="AW55" s="23" t="s">
        <v>140</v>
      </c>
      <c r="AX55" s="23" t="s">
        <v>140</v>
      </c>
      <c r="AY55" s="23" t="s">
        <v>140</v>
      </c>
      <c r="AZ55" s="23" t="s">
        <v>140</v>
      </c>
      <c r="BB55" s="25"/>
      <c r="BC55" s="25" t="s">
        <v>11</v>
      </c>
      <c r="BD55" s="25" t="s">
        <v>11</v>
      </c>
    </row>
    <row r="56" spans="1:56" x14ac:dyDescent="0.25">
      <c r="A56" s="13">
        <v>53</v>
      </c>
      <c r="B56" s="377"/>
      <c r="C56" s="14" t="s">
        <v>446</v>
      </c>
      <c r="D56" s="15" t="s">
        <v>423</v>
      </c>
      <c r="E56" s="15" t="s">
        <v>426</v>
      </c>
      <c r="F56" s="16" t="s">
        <v>254</v>
      </c>
      <c r="G56" s="81"/>
      <c r="H56" s="82"/>
      <c r="I56" s="82"/>
      <c r="J56" s="83">
        <v>45443</v>
      </c>
      <c r="K56" s="20" t="s">
        <v>140</v>
      </c>
      <c r="L56" s="84">
        <v>45471</v>
      </c>
      <c r="M56" s="85">
        <v>45498</v>
      </c>
      <c r="N56" s="23" t="s">
        <v>140</v>
      </c>
      <c r="O56" s="23" t="s">
        <v>140</v>
      </c>
      <c r="P56" s="23" t="s">
        <v>140</v>
      </c>
      <c r="Q56" s="23" t="s">
        <v>140</v>
      </c>
      <c r="R56" s="23" t="s">
        <v>140</v>
      </c>
      <c r="S56" s="23" t="s">
        <v>140</v>
      </c>
      <c r="T56" s="23" t="s">
        <v>138</v>
      </c>
      <c r="U56" s="23" t="s">
        <v>11</v>
      </c>
      <c r="V56" s="23" t="s">
        <v>140</v>
      </c>
      <c r="W56" s="23" t="s">
        <v>140</v>
      </c>
      <c r="X56" s="23" t="s">
        <v>140</v>
      </c>
      <c r="Y56" s="23" t="s">
        <v>11</v>
      </c>
      <c r="Z56" s="23" t="s">
        <v>140</v>
      </c>
      <c r="AA56" s="23" t="s">
        <v>140</v>
      </c>
      <c r="AB56" s="23" t="s">
        <v>133</v>
      </c>
      <c r="AC56" s="23" t="s">
        <v>542</v>
      </c>
      <c r="AE56" s="23" t="s">
        <v>11</v>
      </c>
      <c r="AF56" s="23">
        <v>75000</v>
      </c>
      <c r="AG56" s="23" t="s">
        <v>140</v>
      </c>
      <c r="AH56" s="23" t="s">
        <v>140</v>
      </c>
      <c r="AI56" s="23">
        <v>25000</v>
      </c>
      <c r="AJ56" s="23" t="s">
        <v>443</v>
      </c>
      <c r="AK56" s="23" t="s">
        <v>140</v>
      </c>
      <c r="AL56" s="23" t="s">
        <v>481</v>
      </c>
      <c r="AM56" s="23" t="s">
        <v>481</v>
      </c>
      <c r="AN56" s="23" t="s">
        <v>481</v>
      </c>
      <c r="AO56" s="23"/>
      <c r="AP56" s="23"/>
      <c r="AQ56" s="23"/>
      <c r="AR56" s="23" t="s">
        <v>140</v>
      </c>
      <c r="AS56" s="23" t="s">
        <v>500</v>
      </c>
      <c r="AT56" s="23" t="s">
        <v>500</v>
      </c>
      <c r="AU56" s="23" t="s">
        <v>140</v>
      </c>
      <c r="AV56" s="23" t="s">
        <v>148</v>
      </c>
      <c r="AW56" s="23" t="s">
        <v>148</v>
      </c>
      <c r="AX56" s="23" t="s">
        <v>140</v>
      </c>
      <c r="AY56" s="23" t="s">
        <v>140</v>
      </c>
      <c r="AZ56" s="23" t="s">
        <v>140</v>
      </c>
      <c r="BB56" s="25"/>
      <c r="BC56" s="25" t="s">
        <v>11</v>
      </c>
      <c r="BD56" s="25" t="s">
        <v>11</v>
      </c>
    </row>
  </sheetData>
  <autoFilter ref="A2:BH56" xr:uid="{00000000-0009-0000-0000-000001000000}"/>
  <mergeCells count="6">
    <mergeCell ref="B53:B56"/>
    <mergeCell ref="B3:B9"/>
    <mergeCell ref="B10:B22"/>
    <mergeCell ref="B23:B31"/>
    <mergeCell ref="B32:B40"/>
    <mergeCell ref="B41:B52"/>
  </mergeCells>
  <conditionalFormatting sqref="P3:R7 Q8:R8 P9:R12 Q13:R13 P14:R17 P19:R22 R23 R24 R25 R26:R41 R43:R51 R53:R56">
    <cfRule type="containsText" dxfId="13363" priority="2731" operator="containsText" text="Done">
      <formula>NOT(ISERROR(SEARCH("Done",Y2)))</formula>
    </cfRule>
  </conditionalFormatting>
  <conditionalFormatting sqref="P6:R6">
    <cfRule type="containsText" dxfId="13362" priority="2732" operator="containsText" text="Done">
      <formula>NOT(ISERROR(SEARCH("Done",Y2)))</formula>
    </cfRule>
  </conditionalFormatting>
  <conditionalFormatting sqref="P7:R7">
    <cfRule type="containsText" dxfId="13361" priority="2733" operator="containsText" text="Done">
      <formula>NOT(ISERROR(SEARCH("Done",Y2)))</formula>
    </cfRule>
  </conditionalFormatting>
  <conditionalFormatting sqref="P9:R9">
    <cfRule type="containsText" dxfId="13360" priority="2734" operator="containsText" text="Done">
      <formula>NOT(ISERROR(SEARCH("Done",Y2)))</formula>
    </cfRule>
  </conditionalFormatting>
  <conditionalFormatting sqref="Q4:R4">
    <cfRule type="containsText" dxfId="13359" priority="2735" operator="containsText" text="Done">
      <formula>NOT(ISERROR(SEARCH("Done",Y2)))</formula>
    </cfRule>
  </conditionalFormatting>
  <conditionalFormatting sqref="P3:R3">
    <cfRule type="containsText" dxfId="13358" priority="2736" operator="containsText" text="Done">
      <formula>NOT(ISERROR(SEARCH("Done",Y2)))</formula>
    </cfRule>
  </conditionalFormatting>
  <conditionalFormatting sqref="P12:Q12">
    <cfRule type="containsText" dxfId="13357" priority="2737" operator="containsText" text="Done">
      <formula>NOT(ISERROR(SEARCH("Done",Y2)))</formula>
    </cfRule>
  </conditionalFormatting>
  <conditionalFormatting sqref="P12:Q12">
    <cfRule type="containsText" dxfId="13356" priority="2738" operator="containsText" text="Done">
      <formula>NOT(ISERROR(SEARCH("Done",Y2)))</formula>
    </cfRule>
  </conditionalFormatting>
  <conditionalFormatting sqref="P14:Q14">
    <cfRule type="containsText" dxfId="13355" priority="2739" operator="containsText" text="Done">
      <formula>NOT(ISERROR(SEARCH("Done",Y2)))</formula>
    </cfRule>
  </conditionalFormatting>
  <conditionalFormatting sqref="P14:Q14">
    <cfRule type="containsText" dxfId="13354" priority="2740" operator="containsText" text="Done">
      <formula>NOT(ISERROR(SEARCH("Done",Y2)))</formula>
    </cfRule>
  </conditionalFormatting>
  <conditionalFormatting sqref="P15:Q15">
    <cfRule type="containsText" dxfId="13353" priority="2741" operator="containsText" text="Done">
      <formula>NOT(ISERROR(SEARCH("Done",Y2)))</formula>
    </cfRule>
  </conditionalFormatting>
  <conditionalFormatting sqref="P15:Q15">
    <cfRule type="containsText" dxfId="13352" priority="2742" operator="containsText" text="Done">
      <formula>NOT(ISERROR(SEARCH("Done",Y2)))</formula>
    </cfRule>
  </conditionalFormatting>
  <conditionalFormatting sqref="P18:Q18">
    <cfRule type="containsText" dxfId="13351" priority="2743" operator="containsText" text="Done">
      <formula>NOT(ISERROR(SEARCH("Done",Y2)))</formula>
    </cfRule>
  </conditionalFormatting>
  <conditionalFormatting sqref="P18:Q18">
    <cfRule type="containsText" dxfId="13350" priority="2744" operator="containsText" text="Done">
      <formula>NOT(ISERROR(SEARCH("Done",Y2)))</formula>
    </cfRule>
  </conditionalFormatting>
  <conditionalFormatting sqref="R17">
    <cfRule type="containsText" dxfId="13349" priority="2745" operator="containsText" text="Done">
      <formula>NOT(ISERROR(SEARCH("Done",Y2)))</formula>
    </cfRule>
  </conditionalFormatting>
  <conditionalFormatting sqref="S17">
    <cfRule type="containsText" dxfId="13348" priority="2746" operator="containsText" text="Done">
      <formula>NOT(ISERROR(SEARCH("Done",Y2)))</formula>
    </cfRule>
  </conditionalFormatting>
  <conditionalFormatting sqref="T17">
    <cfRule type="containsText" dxfId="13347" priority="2747" operator="containsText" text="Done">
      <formula>NOT(ISERROR(SEARCH("Done",Y2)))</formula>
    </cfRule>
  </conditionalFormatting>
  <conditionalFormatting sqref="U17">
    <cfRule type="containsText" dxfId="13346" priority="2748" operator="containsText" text="Done">
      <formula>NOT(ISERROR(SEARCH("Done",Y2)))</formula>
    </cfRule>
  </conditionalFormatting>
  <conditionalFormatting sqref="V17">
    <cfRule type="containsText" dxfId="13345" priority="2749" operator="containsText" text="Done">
      <formula>NOT(ISERROR(SEARCH("Done",Y2)))</formula>
    </cfRule>
  </conditionalFormatting>
  <conditionalFormatting sqref="W17">
    <cfRule type="containsText" dxfId="13344" priority="2750" operator="containsText" text="Done">
      <formula>NOT(ISERROR(SEARCH("Done",Y2)))</formula>
    </cfRule>
  </conditionalFormatting>
  <conditionalFormatting sqref="X17">
    <cfRule type="containsText" dxfId="13343" priority="2751" operator="containsText" text="Done">
      <formula>NOT(ISERROR(SEARCH("Done",Y2)))</formula>
    </cfRule>
  </conditionalFormatting>
  <conditionalFormatting sqref="Y17">
    <cfRule type="containsText" dxfId="13342" priority="2752" operator="containsText" text="Done">
      <formula>NOT(ISERROR(SEARCH("Done",Y2)))</formula>
    </cfRule>
  </conditionalFormatting>
  <conditionalFormatting sqref="Z17">
    <cfRule type="containsText" dxfId="13341" priority="2753" operator="containsText" text="Done">
      <formula>NOT(ISERROR(SEARCH("Done",Y2)))</formula>
    </cfRule>
  </conditionalFormatting>
  <conditionalFormatting sqref="AA17">
    <cfRule type="containsText" dxfId="13340" priority="2754" operator="containsText" text="Done">
      <formula>NOT(ISERROR(SEARCH("Done",Y2)))</formula>
    </cfRule>
  </conditionalFormatting>
  <conditionalFormatting sqref="AB17">
    <cfRule type="containsText" dxfId="13339" priority="2755" operator="containsText" text="Done">
      <formula>NOT(ISERROR(SEARCH("Done",Y2)))</formula>
    </cfRule>
  </conditionalFormatting>
  <conditionalFormatting sqref="AC17">
    <cfRule type="containsText" dxfId="13338" priority="2756" operator="containsText" text="Done">
      <formula>NOT(ISERROR(SEARCH("Done",Y2)))</formula>
    </cfRule>
  </conditionalFormatting>
  <conditionalFormatting sqref="AF17">
    <cfRule type="containsText" dxfId="13337" priority="2757" operator="containsText" text="Done">
      <formula>NOT(ISERROR(SEARCH("Done",Y2)))</formula>
    </cfRule>
  </conditionalFormatting>
  <conditionalFormatting sqref="AH17">
    <cfRule type="containsText" dxfId="13336" priority="2758" operator="containsText" text="Done">
      <formula>NOT(ISERROR(SEARCH("Done",Y2)))</formula>
    </cfRule>
  </conditionalFormatting>
  <conditionalFormatting sqref="AI17">
    <cfRule type="containsText" dxfId="13335" priority="2759" operator="containsText" text="Done">
      <formula>NOT(ISERROR(SEARCH("Done",Y2)))</formula>
    </cfRule>
  </conditionalFormatting>
  <conditionalFormatting sqref="AJ17">
    <cfRule type="containsText" dxfId="13334" priority="2760" operator="containsText" text="Done">
      <formula>NOT(ISERROR(SEARCH("Done",Y2)))</formula>
    </cfRule>
  </conditionalFormatting>
  <conditionalFormatting sqref="AK17">
    <cfRule type="containsText" dxfId="13333" priority="2761" operator="containsText" text="Done">
      <formula>NOT(ISERROR(SEARCH("Done",Y2)))</formula>
    </cfRule>
  </conditionalFormatting>
  <conditionalFormatting sqref="AL17">
    <cfRule type="containsText" dxfId="13332" priority="2762" operator="containsText" text="Done">
      <formula>NOT(ISERROR(SEARCH("Done",Y2)))</formula>
    </cfRule>
  </conditionalFormatting>
  <conditionalFormatting sqref="AM17">
    <cfRule type="containsText" dxfId="13331" priority="2763" operator="containsText" text="Done">
      <formula>NOT(ISERROR(SEARCH("Done",Y2)))</formula>
    </cfRule>
  </conditionalFormatting>
  <conditionalFormatting sqref="AN17">
    <cfRule type="containsText" dxfId="13330" priority="2764" operator="containsText" text="Done">
      <formula>NOT(ISERROR(SEARCH("Done",Y2)))</formula>
    </cfRule>
  </conditionalFormatting>
  <conditionalFormatting sqref="AO17">
    <cfRule type="containsText" dxfId="13329" priority="2765" operator="containsText" text="Done">
      <formula>NOT(ISERROR(SEARCH("Done",Y2)))</formula>
    </cfRule>
  </conditionalFormatting>
  <conditionalFormatting sqref="AP17">
    <cfRule type="containsText" dxfId="13328" priority="2766" operator="containsText" text="Done">
      <formula>NOT(ISERROR(SEARCH("Done",Y2)))</formula>
    </cfRule>
  </conditionalFormatting>
  <conditionalFormatting sqref="AQ17">
    <cfRule type="containsText" dxfId="13327" priority="2767" operator="containsText" text="Done">
      <formula>NOT(ISERROR(SEARCH("Done",Y2)))</formula>
    </cfRule>
  </conditionalFormatting>
  <conditionalFormatting sqref="AR17">
    <cfRule type="containsText" dxfId="13326" priority="2768" operator="containsText" text="Done">
      <formula>NOT(ISERROR(SEARCH("Done",Y2)))</formula>
    </cfRule>
  </conditionalFormatting>
  <conditionalFormatting sqref="AS17">
    <cfRule type="containsText" dxfId="13325" priority="2769" operator="containsText" text="Done">
      <formula>NOT(ISERROR(SEARCH("Done",Y2)))</formula>
    </cfRule>
  </conditionalFormatting>
  <conditionalFormatting sqref="AT17">
    <cfRule type="containsText" dxfId="13324" priority="2770" operator="containsText" text="Done">
      <formula>NOT(ISERROR(SEARCH("Done",Y2)))</formula>
    </cfRule>
  </conditionalFormatting>
  <conditionalFormatting sqref="AU17">
    <cfRule type="containsText" dxfId="13323" priority="2771" operator="containsText" text="Done">
      <formula>NOT(ISERROR(SEARCH("Done",Y2)))</formula>
    </cfRule>
  </conditionalFormatting>
  <conditionalFormatting sqref="AV17">
    <cfRule type="containsText" dxfId="13322" priority="2772" operator="containsText" text="Done">
      <formula>NOT(ISERROR(SEARCH("Done",Y2)))</formula>
    </cfRule>
  </conditionalFormatting>
  <conditionalFormatting sqref="AW17">
    <cfRule type="containsText" dxfId="13321" priority="2773" operator="containsText" text="Done">
      <formula>NOT(ISERROR(SEARCH("Done",Y2)))</formula>
    </cfRule>
  </conditionalFormatting>
  <conditionalFormatting sqref="AX17">
    <cfRule type="containsText" dxfId="13320" priority="2774" operator="containsText" text="Done">
      <formula>NOT(ISERROR(SEARCH("Done",Y2)))</formula>
    </cfRule>
  </conditionalFormatting>
  <conditionalFormatting sqref="AY17">
    <cfRule type="containsText" dxfId="13319" priority="2775" operator="containsText" text="Done">
      <formula>NOT(ISERROR(SEARCH("Done",Y2)))</formula>
    </cfRule>
  </conditionalFormatting>
  <conditionalFormatting sqref="AZ17">
    <cfRule type="containsText" dxfId="13318" priority="2776" operator="containsText" text="Done">
      <formula>NOT(ISERROR(SEARCH("Done",Y2)))</formula>
    </cfRule>
  </conditionalFormatting>
  <conditionalFormatting sqref="BB17">
    <cfRule type="containsText" dxfId="13317" priority="2777" operator="containsText" text="Done">
      <formula>NOT(ISERROR(SEARCH("Done",Y2)))</formula>
    </cfRule>
  </conditionalFormatting>
  <conditionalFormatting sqref="P11:R11">
    <cfRule type="containsText" dxfId="13316" priority="2778" operator="containsText" text="Done">
      <formula>NOT(ISERROR(SEARCH("Done",Y2)))</formula>
    </cfRule>
  </conditionalFormatting>
  <conditionalFormatting sqref="P13:R13">
    <cfRule type="containsText" dxfId="13315" priority="2779" operator="containsText" text="Done">
      <formula>NOT(ISERROR(SEARCH("Done",Y2)))</formula>
    </cfRule>
  </conditionalFormatting>
  <conditionalFormatting sqref="P19:R19">
    <cfRule type="containsText" dxfId="13314" priority="2780" operator="containsText" text="Done">
      <formula>NOT(ISERROR(SEARCH("Done",Y2)))</formula>
    </cfRule>
  </conditionalFormatting>
  <conditionalFormatting sqref="Q20:S20">
    <cfRule type="containsText" dxfId="13313" priority="2781" operator="containsText" text="Done">
      <formula>NOT(ISERROR(SEARCH("Done",Y2)))</formula>
    </cfRule>
  </conditionalFormatting>
  <conditionalFormatting sqref="Q21:S21">
    <cfRule type="containsText" dxfId="13312" priority="2782" operator="containsText" text="Done">
      <formula>NOT(ISERROR(SEARCH("Done",Y2)))</formula>
    </cfRule>
  </conditionalFormatting>
  <conditionalFormatting sqref="R30">
    <cfRule type="containsText" dxfId="13311" priority="2783" operator="containsText" text="Done">
      <formula>NOT(ISERROR(SEARCH("Done",Y2)))</formula>
    </cfRule>
  </conditionalFormatting>
  <conditionalFormatting sqref="R43">
    <cfRule type="containsText" dxfId="13310" priority="2784" operator="containsText" text="Done">
      <formula>NOT(ISERROR(SEARCH("Done",Y2)))</formula>
    </cfRule>
  </conditionalFormatting>
  <conditionalFormatting sqref="R50">
    <cfRule type="containsText" dxfId="13309" priority="2785" operator="containsText" text="Done">
      <formula>NOT(ISERROR(SEARCH("Done",Y2)))</formula>
    </cfRule>
  </conditionalFormatting>
  <conditionalFormatting sqref="T40">
    <cfRule type="containsText" dxfId="13308" priority="2786" operator="containsText" text="Done">
      <formula>NOT(ISERROR(SEARCH("Done",Y2)))</formula>
    </cfRule>
  </conditionalFormatting>
  <conditionalFormatting sqref="P3:R7 Q8:R8 P9:R12 Q13:R13 P14:R17 P19:R22 R23 R24 R25 R26:R41 R43:R51 R53:R56">
    <cfRule type="containsText" dxfId="13307" priority="2729" operator="containsText" text="Pending">
      <formula>NOT(ISERROR(SEARCH("Pending",Y2)))</formula>
    </cfRule>
  </conditionalFormatting>
  <conditionalFormatting sqref="P6:R6">
    <cfRule type="containsText" dxfId="13306" priority="2787" operator="containsText" text="Pending">
      <formula>NOT(ISERROR(SEARCH("Pending",Y2)))</formula>
    </cfRule>
  </conditionalFormatting>
  <conditionalFormatting sqref="P7:R7">
    <cfRule type="containsText" dxfId="13305" priority="2788" operator="containsText" text="Pending">
      <formula>NOT(ISERROR(SEARCH("Pending",Y2)))</formula>
    </cfRule>
  </conditionalFormatting>
  <conditionalFormatting sqref="P9:R9">
    <cfRule type="containsText" dxfId="13304" priority="2789" operator="containsText" text="Pending">
      <formula>NOT(ISERROR(SEARCH("Pending",Y2)))</formula>
    </cfRule>
  </conditionalFormatting>
  <conditionalFormatting sqref="Q4:R4">
    <cfRule type="containsText" dxfId="13303" priority="2790" operator="containsText" text="Pending">
      <formula>NOT(ISERROR(SEARCH("Pending",Y2)))</formula>
    </cfRule>
  </conditionalFormatting>
  <conditionalFormatting sqref="P3:R3">
    <cfRule type="containsText" dxfId="13302" priority="2791" operator="containsText" text="Pending">
      <formula>NOT(ISERROR(SEARCH("Pending",Y2)))</formula>
    </cfRule>
  </conditionalFormatting>
  <conditionalFormatting sqref="P12:Q12">
    <cfRule type="containsText" dxfId="13301" priority="2792" operator="containsText" text="Pending">
      <formula>NOT(ISERROR(SEARCH("Pending",Y2)))</formula>
    </cfRule>
  </conditionalFormatting>
  <conditionalFormatting sqref="P12:Q12">
    <cfRule type="containsText" dxfId="13300" priority="2793" operator="containsText" text="Pending">
      <formula>NOT(ISERROR(SEARCH("Pending",Y2)))</formula>
    </cfRule>
  </conditionalFormatting>
  <conditionalFormatting sqref="P14:Q14">
    <cfRule type="containsText" dxfId="13299" priority="2794" operator="containsText" text="Pending">
      <formula>NOT(ISERROR(SEARCH("Pending",Y2)))</formula>
    </cfRule>
  </conditionalFormatting>
  <conditionalFormatting sqref="P14:Q14">
    <cfRule type="containsText" dxfId="13298" priority="2795" operator="containsText" text="Pending">
      <formula>NOT(ISERROR(SEARCH("Pending",Y2)))</formula>
    </cfRule>
  </conditionalFormatting>
  <conditionalFormatting sqref="P15:Q15">
    <cfRule type="containsText" dxfId="13297" priority="2796" operator="containsText" text="Pending">
      <formula>NOT(ISERROR(SEARCH("Pending",Y2)))</formula>
    </cfRule>
  </conditionalFormatting>
  <conditionalFormatting sqref="P15:Q15">
    <cfRule type="containsText" dxfId="13296" priority="2797" operator="containsText" text="Pending">
      <formula>NOT(ISERROR(SEARCH("Pending",Y2)))</formula>
    </cfRule>
  </conditionalFormatting>
  <conditionalFormatting sqref="P18:Q18">
    <cfRule type="containsText" dxfId="13295" priority="2798" operator="containsText" text="Pending">
      <formula>NOT(ISERROR(SEARCH("Pending",Y2)))</formula>
    </cfRule>
  </conditionalFormatting>
  <conditionalFormatting sqref="P18:Q18">
    <cfRule type="containsText" dxfId="13294" priority="2799" operator="containsText" text="Pending">
      <formula>NOT(ISERROR(SEARCH("Pending",Y2)))</formula>
    </cfRule>
  </conditionalFormatting>
  <conditionalFormatting sqref="R17">
    <cfRule type="containsText" dxfId="13293" priority="2800" operator="containsText" text="Pending">
      <formula>NOT(ISERROR(SEARCH("Pending",Y2)))</formula>
    </cfRule>
  </conditionalFormatting>
  <conditionalFormatting sqref="S17">
    <cfRule type="containsText" dxfId="13292" priority="2801" operator="containsText" text="Pending">
      <formula>NOT(ISERROR(SEARCH("Pending",Y2)))</formula>
    </cfRule>
  </conditionalFormatting>
  <conditionalFormatting sqref="T17">
    <cfRule type="containsText" dxfId="13291" priority="2802" operator="containsText" text="Pending">
      <formula>NOT(ISERROR(SEARCH("Pending",Y2)))</formula>
    </cfRule>
  </conditionalFormatting>
  <conditionalFormatting sqref="U17">
    <cfRule type="containsText" dxfId="13290" priority="2803" operator="containsText" text="Pending">
      <formula>NOT(ISERROR(SEARCH("Pending",Y2)))</formula>
    </cfRule>
  </conditionalFormatting>
  <conditionalFormatting sqref="V17">
    <cfRule type="containsText" dxfId="13289" priority="2804" operator="containsText" text="Pending">
      <formula>NOT(ISERROR(SEARCH("Pending",Y2)))</formula>
    </cfRule>
  </conditionalFormatting>
  <conditionalFormatting sqref="W17">
    <cfRule type="containsText" dxfId="13288" priority="2805" operator="containsText" text="Pending">
      <formula>NOT(ISERROR(SEARCH("Pending",Y2)))</formula>
    </cfRule>
  </conditionalFormatting>
  <conditionalFormatting sqref="X17">
    <cfRule type="containsText" dxfId="13287" priority="2806" operator="containsText" text="Pending">
      <formula>NOT(ISERROR(SEARCH("Pending",Y2)))</formula>
    </cfRule>
  </conditionalFormatting>
  <conditionalFormatting sqref="Y17">
    <cfRule type="containsText" dxfId="13286" priority="2807" operator="containsText" text="Pending">
      <formula>NOT(ISERROR(SEARCH("Pending",Y2)))</formula>
    </cfRule>
  </conditionalFormatting>
  <conditionalFormatting sqref="Z17">
    <cfRule type="containsText" dxfId="13285" priority="2808" operator="containsText" text="Pending">
      <formula>NOT(ISERROR(SEARCH("Pending",Y2)))</formula>
    </cfRule>
  </conditionalFormatting>
  <conditionalFormatting sqref="AA17">
    <cfRule type="containsText" dxfId="13284" priority="2809" operator="containsText" text="Pending">
      <formula>NOT(ISERROR(SEARCH("Pending",Y2)))</formula>
    </cfRule>
  </conditionalFormatting>
  <conditionalFormatting sqref="AB17">
    <cfRule type="containsText" dxfId="13283" priority="2810" operator="containsText" text="Pending">
      <formula>NOT(ISERROR(SEARCH("Pending",Y2)))</formula>
    </cfRule>
  </conditionalFormatting>
  <conditionalFormatting sqref="AC17">
    <cfRule type="containsText" dxfId="13282" priority="2811" operator="containsText" text="Pending">
      <formula>NOT(ISERROR(SEARCH("Pending",Y2)))</formula>
    </cfRule>
  </conditionalFormatting>
  <conditionalFormatting sqref="AF17">
    <cfRule type="containsText" dxfId="13281" priority="2812" operator="containsText" text="Pending">
      <formula>NOT(ISERROR(SEARCH("Pending",Y2)))</formula>
    </cfRule>
  </conditionalFormatting>
  <conditionalFormatting sqref="AH17">
    <cfRule type="containsText" dxfId="13280" priority="2813" operator="containsText" text="Pending">
      <formula>NOT(ISERROR(SEARCH("Pending",Y2)))</formula>
    </cfRule>
  </conditionalFormatting>
  <conditionalFormatting sqref="AI17">
    <cfRule type="containsText" dxfId="13279" priority="2814" operator="containsText" text="Pending">
      <formula>NOT(ISERROR(SEARCH("Pending",Y2)))</formula>
    </cfRule>
  </conditionalFormatting>
  <conditionalFormatting sqref="AJ17">
    <cfRule type="containsText" dxfId="13278" priority="2815" operator="containsText" text="Pending">
      <formula>NOT(ISERROR(SEARCH("Pending",Y2)))</formula>
    </cfRule>
  </conditionalFormatting>
  <conditionalFormatting sqref="AK17">
    <cfRule type="containsText" dxfId="13277" priority="2816" operator="containsText" text="Pending">
      <formula>NOT(ISERROR(SEARCH("Pending",Y2)))</formula>
    </cfRule>
  </conditionalFormatting>
  <conditionalFormatting sqref="AL17">
    <cfRule type="containsText" dxfId="13276" priority="2817" operator="containsText" text="Pending">
      <formula>NOT(ISERROR(SEARCH("Pending",Y2)))</formula>
    </cfRule>
  </conditionalFormatting>
  <conditionalFormatting sqref="AM17">
    <cfRule type="containsText" dxfId="13275" priority="2818" operator="containsText" text="Pending">
      <formula>NOT(ISERROR(SEARCH("Pending",Y2)))</formula>
    </cfRule>
  </conditionalFormatting>
  <conditionalFormatting sqref="AN17">
    <cfRule type="containsText" dxfId="13274" priority="2819" operator="containsText" text="Pending">
      <formula>NOT(ISERROR(SEARCH("Pending",Y2)))</formula>
    </cfRule>
  </conditionalFormatting>
  <conditionalFormatting sqref="AO17">
    <cfRule type="containsText" dxfId="13273" priority="2820" operator="containsText" text="Pending">
      <formula>NOT(ISERROR(SEARCH("Pending",Y2)))</formula>
    </cfRule>
  </conditionalFormatting>
  <conditionalFormatting sqref="AP17">
    <cfRule type="containsText" dxfId="13272" priority="2821" operator="containsText" text="Pending">
      <formula>NOT(ISERROR(SEARCH("Pending",Y2)))</formula>
    </cfRule>
  </conditionalFormatting>
  <conditionalFormatting sqref="AQ17">
    <cfRule type="containsText" dxfId="13271" priority="2822" operator="containsText" text="Pending">
      <formula>NOT(ISERROR(SEARCH("Pending",Y2)))</formula>
    </cfRule>
  </conditionalFormatting>
  <conditionalFormatting sqref="AR17">
    <cfRule type="containsText" dxfId="13270" priority="2823" operator="containsText" text="Pending">
      <formula>NOT(ISERROR(SEARCH("Pending",Y2)))</formula>
    </cfRule>
  </conditionalFormatting>
  <conditionalFormatting sqref="AS17">
    <cfRule type="containsText" dxfId="13269" priority="2824" operator="containsText" text="Pending">
      <formula>NOT(ISERROR(SEARCH("Pending",Y2)))</formula>
    </cfRule>
  </conditionalFormatting>
  <conditionalFormatting sqref="AT17">
    <cfRule type="containsText" dxfId="13268" priority="2825" operator="containsText" text="Pending">
      <formula>NOT(ISERROR(SEARCH("Pending",Y2)))</formula>
    </cfRule>
  </conditionalFormatting>
  <conditionalFormatting sqref="AU17">
    <cfRule type="containsText" dxfId="13267" priority="2826" operator="containsText" text="Pending">
      <formula>NOT(ISERROR(SEARCH("Pending",Y2)))</formula>
    </cfRule>
  </conditionalFormatting>
  <conditionalFormatting sqref="AV17">
    <cfRule type="containsText" dxfId="13266" priority="2827" operator="containsText" text="Pending">
      <formula>NOT(ISERROR(SEARCH("Pending",Y2)))</formula>
    </cfRule>
  </conditionalFormatting>
  <conditionalFormatting sqref="AW17">
    <cfRule type="containsText" dxfId="13265" priority="2828" operator="containsText" text="Pending">
      <formula>NOT(ISERROR(SEARCH("Pending",Y2)))</formula>
    </cfRule>
  </conditionalFormatting>
  <conditionalFormatting sqref="AX17">
    <cfRule type="containsText" dxfId="13264" priority="2829" operator="containsText" text="Pending">
      <formula>NOT(ISERROR(SEARCH("Pending",Y2)))</formula>
    </cfRule>
  </conditionalFormatting>
  <conditionalFormatting sqref="AY17">
    <cfRule type="containsText" dxfId="13263" priority="2830" operator="containsText" text="Pending">
      <formula>NOT(ISERROR(SEARCH("Pending",Y2)))</formula>
    </cfRule>
  </conditionalFormatting>
  <conditionalFormatting sqref="AZ17">
    <cfRule type="containsText" dxfId="13262" priority="2831" operator="containsText" text="Pending">
      <formula>NOT(ISERROR(SEARCH("Pending",Y2)))</formula>
    </cfRule>
  </conditionalFormatting>
  <conditionalFormatting sqref="BB17">
    <cfRule type="containsText" dxfId="13261" priority="2832" operator="containsText" text="Pending">
      <formula>NOT(ISERROR(SEARCH("Pending",Y2)))</formula>
    </cfRule>
  </conditionalFormatting>
  <conditionalFormatting sqref="P11:R11">
    <cfRule type="containsText" dxfId="13260" priority="2833" operator="containsText" text="Pending">
      <formula>NOT(ISERROR(SEARCH("Pending",Y2)))</formula>
    </cfRule>
  </conditionalFormatting>
  <conditionalFormatting sqref="P13:R13">
    <cfRule type="containsText" dxfId="13259" priority="2834" operator="containsText" text="Pending">
      <formula>NOT(ISERROR(SEARCH("Pending",Y2)))</formula>
    </cfRule>
  </conditionalFormatting>
  <conditionalFormatting sqref="P19:R19">
    <cfRule type="containsText" dxfId="13258" priority="2835" operator="containsText" text="Pending">
      <formula>NOT(ISERROR(SEARCH("Pending",Y2)))</formula>
    </cfRule>
  </conditionalFormatting>
  <conditionalFormatting sqref="Q20:S20">
    <cfRule type="containsText" dxfId="13257" priority="2836" operator="containsText" text="Pending">
      <formula>NOT(ISERROR(SEARCH("Pending",Y2)))</formula>
    </cfRule>
  </conditionalFormatting>
  <conditionalFormatting sqref="Q21:S21">
    <cfRule type="containsText" dxfId="13256" priority="2837" operator="containsText" text="Pending">
      <formula>NOT(ISERROR(SEARCH("Pending",Y2)))</formula>
    </cfRule>
  </conditionalFormatting>
  <conditionalFormatting sqref="R30">
    <cfRule type="containsText" dxfId="13255" priority="2838" operator="containsText" text="Pending">
      <formula>NOT(ISERROR(SEARCH("Pending",Y2)))</formula>
    </cfRule>
  </conditionalFormatting>
  <conditionalFormatting sqref="R43">
    <cfRule type="containsText" dxfId="13254" priority="2839" operator="containsText" text="Pending">
      <formula>NOT(ISERROR(SEARCH("Pending",Y2)))</formula>
    </cfRule>
  </conditionalFormatting>
  <conditionalFormatting sqref="R50">
    <cfRule type="containsText" dxfId="13253" priority="2840" operator="containsText" text="Pending">
      <formula>NOT(ISERROR(SEARCH("Pending",Y2)))</formula>
    </cfRule>
  </conditionalFormatting>
  <conditionalFormatting sqref="T40">
    <cfRule type="containsText" dxfId="13252" priority="2841" operator="containsText" text="Pending">
      <formula>NOT(ISERROR(SEARCH("Pending",Y2)))</formula>
    </cfRule>
  </conditionalFormatting>
  <conditionalFormatting sqref="P3:R7 Q8:R8 P9:R12 Q13:R13 P14:R17 P19:R22 R23 R24 R25 R26:R41 R43:R51 R53:R56">
    <cfRule type="containsText" dxfId="13251" priority="2727" operator="containsText" text="NA">
      <formula>NOT(ISERROR(SEARCH("NA",Y2)))</formula>
    </cfRule>
  </conditionalFormatting>
  <conditionalFormatting sqref="P6:R6">
    <cfRule type="containsText" dxfId="13250" priority="2842" operator="containsText" text="NA">
      <formula>NOT(ISERROR(SEARCH("NA",Y2)))</formula>
    </cfRule>
  </conditionalFormatting>
  <conditionalFormatting sqref="P7:R7">
    <cfRule type="containsText" dxfId="13249" priority="2843" operator="containsText" text="NA">
      <formula>NOT(ISERROR(SEARCH("NA",Y2)))</formula>
    </cfRule>
  </conditionalFormatting>
  <conditionalFormatting sqref="P9:R9">
    <cfRule type="containsText" dxfId="13248" priority="2844" operator="containsText" text="NA">
      <formula>NOT(ISERROR(SEARCH("NA",Y2)))</formula>
    </cfRule>
  </conditionalFormatting>
  <conditionalFormatting sqref="Q4:R4">
    <cfRule type="containsText" dxfId="13247" priority="2845" operator="containsText" text="NA">
      <formula>NOT(ISERROR(SEARCH("NA",Y2)))</formula>
    </cfRule>
  </conditionalFormatting>
  <conditionalFormatting sqref="P3:R3">
    <cfRule type="containsText" dxfId="13246" priority="2846" operator="containsText" text="NA">
      <formula>NOT(ISERROR(SEARCH("NA",Y2)))</formula>
    </cfRule>
  </conditionalFormatting>
  <conditionalFormatting sqref="P12:Q12">
    <cfRule type="containsText" dxfId="13245" priority="2847" operator="containsText" text="NA">
      <formula>NOT(ISERROR(SEARCH("NA",Y2)))</formula>
    </cfRule>
  </conditionalFormatting>
  <conditionalFormatting sqref="P12:Q12">
    <cfRule type="containsText" dxfId="13244" priority="2848" operator="containsText" text="NA">
      <formula>NOT(ISERROR(SEARCH("NA",Y2)))</formula>
    </cfRule>
  </conditionalFormatting>
  <conditionalFormatting sqref="P14:Q14">
    <cfRule type="containsText" dxfId="13243" priority="2849" operator="containsText" text="NA">
      <formula>NOT(ISERROR(SEARCH("NA",Y2)))</formula>
    </cfRule>
  </conditionalFormatting>
  <conditionalFormatting sqref="P14:Q14">
    <cfRule type="containsText" dxfId="13242" priority="2850" operator="containsText" text="NA">
      <formula>NOT(ISERROR(SEARCH("NA",Y2)))</formula>
    </cfRule>
  </conditionalFormatting>
  <conditionalFormatting sqref="P15:Q15">
    <cfRule type="containsText" dxfId="13241" priority="2851" operator="containsText" text="NA">
      <formula>NOT(ISERROR(SEARCH("NA",Y2)))</formula>
    </cfRule>
  </conditionalFormatting>
  <conditionalFormatting sqref="P15:Q15">
    <cfRule type="containsText" dxfId="13240" priority="2852" operator="containsText" text="NA">
      <formula>NOT(ISERROR(SEARCH("NA",Y2)))</formula>
    </cfRule>
  </conditionalFormatting>
  <conditionalFormatting sqref="P18:Q18">
    <cfRule type="containsText" dxfId="13239" priority="2853" operator="containsText" text="NA">
      <formula>NOT(ISERROR(SEARCH("NA",Y2)))</formula>
    </cfRule>
  </conditionalFormatting>
  <conditionalFormatting sqref="P18:Q18">
    <cfRule type="containsText" dxfId="13238" priority="2854" operator="containsText" text="NA">
      <formula>NOT(ISERROR(SEARCH("NA",Y2)))</formula>
    </cfRule>
  </conditionalFormatting>
  <conditionalFormatting sqref="R17">
    <cfRule type="containsText" dxfId="13237" priority="2855" operator="containsText" text="NA">
      <formula>NOT(ISERROR(SEARCH("NA",Y2)))</formula>
    </cfRule>
  </conditionalFormatting>
  <conditionalFormatting sqref="S17">
    <cfRule type="containsText" dxfId="13236" priority="2856" operator="containsText" text="NA">
      <formula>NOT(ISERROR(SEARCH("NA",Y2)))</formula>
    </cfRule>
  </conditionalFormatting>
  <conditionalFormatting sqref="T17">
    <cfRule type="containsText" dxfId="13235" priority="2857" operator="containsText" text="NA">
      <formula>NOT(ISERROR(SEARCH("NA",Y2)))</formula>
    </cfRule>
  </conditionalFormatting>
  <conditionalFormatting sqref="U17">
    <cfRule type="containsText" dxfId="13234" priority="2858" operator="containsText" text="NA">
      <formula>NOT(ISERROR(SEARCH("NA",Y2)))</formula>
    </cfRule>
  </conditionalFormatting>
  <conditionalFormatting sqref="V17">
    <cfRule type="containsText" dxfId="13233" priority="2859" operator="containsText" text="NA">
      <formula>NOT(ISERROR(SEARCH("NA",Y2)))</formula>
    </cfRule>
  </conditionalFormatting>
  <conditionalFormatting sqref="W17">
    <cfRule type="containsText" dxfId="13232" priority="2860" operator="containsText" text="NA">
      <formula>NOT(ISERROR(SEARCH("NA",Y2)))</formula>
    </cfRule>
  </conditionalFormatting>
  <conditionalFormatting sqref="X17">
    <cfRule type="containsText" dxfId="13231" priority="2861" operator="containsText" text="NA">
      <formula>NOT(ISERROR(SEARCH("NA",Y2)))</formula>
    </cfRule>
  </conditionalFormatting>
  <conditionalFormatting sqref="Y17">
    <cfRule type="containsText" dxfId="13230" priority="2862" operator="containsText" text="NA">
      <formula>NOT(ISERROR(SEARCH("NA",Y2)))</formula>
    </cfRule>
  </conditionalFormatting>
  <conditionalFormatting sqref="Z17">
    <cfRule type="containsText" dxfId="13229" priority="2863" operator="containsText" text="NA">
      <formula>NOT(ISERROR(SEARCH("NA",Y2)))</formula>
    </cfRule>
  </conditionalFormatting>
  <conditionalFormatting sqref="AA17">
    <cfRule type="containsText" dxfId="13228" priority="2864" operator="containsText" text="NA">
      <formula>NOT(ISERROR(SEARCH("NA",Y2)))</formula>
    </cfRule>
  </conditionalFormatting>
  <conditionalFormatting sqref="AB17">
    <cfRule type="containsText" dxfId="13227" priority="2865" operator="containsText" text="NA">
      <formula>NOT(ISERROR(SEARCH("NA",Y2)))</formula>
    </cfRule>
  </conditionalFormatting>
  <conditionalFormatting sqref="AC17">
    <cfRule type="containsText" dxfId="13226" priority="2866" operator="containsText" text="NA">
      <formula>NOT(ISERROR(SEARCH("NA",Y2)))</formula>
    </cfRule>
  </conditionalFormatting>
  <conditionalFormatting sqref="AF17">
    <cfRule type="containsText" dxfId="13225" priority="2867" operator="containsText" text="NA">
      <formula>NOT(ISERROR(SEARCH("NA",Y2)))</formula>
    </cfRule>
  </conditionalFormatting>
  <conditionalFormatting sqref="AH17">
    <cfRule type="containsText" dxfId="13224" priority="2868" operator="containsText" text="NA">
      <formula>NOT(ISERROR(SEARCH("NA",Y2)))</formula>
    </cfRule>
  </conditionalFormatting>
  <conditionalFormatting sqref="AI17">
    <cfRule type="containsText" dxfId="13223" priority="2869" operator="containsText" text="NA">
      <formula>NOT(ISERROR(SEARCH("NA",Y2)))</formula>
    </cfRule>
  </conditionalFormatting>
  <conditionalFormatting sqref="AJ17">
    <cfRule type="containsText" dxfId="13222" priority="2870" operator="containsText" text="NA">
      <formula>NOT(ISERROR(SEARCH("NA",Y2)))</formula>
    </cfRule>
  </conditionalFormatting>
  <conditionalFormatting sqref="AK17">
    <cfRule type="containsText" dxfId="13221" priority="2871" operator="containsText" text="NA">
      <formula>NOT(ISERROR(SEARCH("NA",Y2)))</formula>
    </cfRule>
  </conditionalFormatting>
  <conditionalFormatting sqref="AL17">
    <cfRule type="containsText" dxfId="13220" priority="2872" operator="containsText" text="NA">
      <formula>NOT(ISERROR(SEARCH("NA",Y2)))</formula>
    </cfRule>
  </conditionalFormatting>
  <conditionalFormatting sqref="AM17">
    <cfRule type="containsText" dxfId="13219" priority="2873" operator="containsText" text="NA">
      <formula>NOT(ISERROR(SEARCH("NA",Y2)))</formula>
    </cfRule>
  </conditionalFormatting>
  <conditionalFormatting sqref="AN17">
    <cfRule type="containsText" dxfId="13218" priority="2874" operator="containsText" text="NA">
      <formula>NOT(ISERROR(SEARCH("NA",Y2)))</formula>
    </cfRule>
  </conditionalFormatting>
  <conditionalFormatting sqref="AO17">
    <cfRule type="containsText" dxfId="13217" priority="2875" operator="containsText" text="NA">
      <formula>NOT(ISERROR(SEARCH("NA",Y2)))</formula>
    </cfRule>
  </conditionalFormatting>
  <conditionalFormatting sqref="AP17">
    <cfRule type="containsText" dxfId="13216" priority="2876" operator="containsText" text="NA">
      <formula>NOT(ISERROR(SEARCH("NA",Y2)))</formula>
    </cfRule>
  </conditionalFormatting>
  <conditionalFormatting sqref="AQ17">
    <cfRule type="containsText" dxfId="13215" priority="2877" operator="containsText" text="NA">
      <formula>NOT(ISERROR(SEARCH("NA",Y2)))</formula>
    </cfRule>
  </conditionalFormatting>
  <conditionalFormatting sqref="AR17">
    <cfRule type="containsText" dxfId="13214" priority="2878" operator="containsText" text="NA">
      <formula>NOT(ISERROR(SEARCH("NA",Y2)))</formula>
    </cfRule>
  </conditionalFormatting>
  <conditionalFormatting sqref="AS17">
    <cfRule type="containsText" dxfId="13213" priority="2879" operator="containsText" text="NA">
      <formula>NOT(ISERROR(SEARCH("NA",Y2)))</formula>
    </cfRule>
  </conditionalFormatting>
  <conditionalFormatting sqref="AT17">
    <cfRule type="containsText" dxfId="13212" priority="2880" operator="containsText" text="NA">
      <formula>NOT(ISERROR(SEARCH("NA",Y2)))</formula>
    </cfRule>
  </conditionalFormatting>
  <conditionalFormatting sqref="AU17">
    <cfRule type="containsText" dxfId="13211" priority="2881" operator="containsText" text="NA">
      <formula>NOT(ISERROR(SEARCH("NA",Y2)))</formula>
    </cfRule>
  </conditionalFormatting>
  <conditionalFormatting sqref="AV17">
    <cfRule type="containsText" dxfId="13210" priority="2882" operator="containsText" text="NA">
      <formula>NOT(ISERROR(SEARCH("NA",Y2)))</formula>
    </cfRule>
  </conditionalFormatting>
  <conditionalFormatting sqref="AW17">
    <cfRule type="containsText" dxfId="13209" priority="2883" operator="containsText" text="NA">
      <formula>NOT(ISERROR(SEARCH("NA",Y2)))</formula>
    </cfRule>
  </conditionalFormatting>
  <conditionalFormatting sqref="AX17">
    <cfRule type="containsText" dxfId="13208" priority="2884" operator="containsText" text="NA">
      <formula>NOT(ISERROR(SEARCH("NA",Y2)))</formula>
    </cfRule>
  </conditionalFormatting>
  <conditionalFormatting sqref="AY17">
    <cfRule type="containsText" dxfId="13207" priority="2885" operator="containsText" text="NA">
      <formula>NOT(ISERROR(SEARCH("NA",Y2)))</formula>
    </cfRule>
  </conditionalFormatting>
  <conditionalFormatting sqref="AZ17">
    <cfRule type="containsText" dxfId="13206" priority="2886" operator="containsText" text="NA">
      <formula>NOT(ISERROR(SEARCH("NA",Y2)))</formula>
    </cfRule>
  </conditionalFormatting>
  <conditionalFormatting sqref="BB17">
    <cfRule type="containsText" dxfId="13205" priority="2887" operator="containsText" text="NA">
      <formula>NOT(ISERROR(SEARCH("NA",Y2)))</formula>
    </cfRule>
  </conditionalFormatting>
  <conditionalFormatting sqref="P11:R11">
    <cfRule type="containsText" dxfId="13204" priority="2888" operator="containsText" text="NA">
      <formula>NOT(ISERROR(SEARCH("NA",Y2)))</formula>
    </cfRule>
  </conditionalFormatting>
  <conditionalFormatting sqref="P13:R13">
    <cfRule type="containsText" dxfId="13203" priority="2889" operator="containsText" text="NA">
      <formula>NOT(ISERROR(SEARCH("NA",Y2)))</formula>
    </cfRule>
  </conditionalFormatting>
  <conditionalFormatting sqref="P19:R19">
    <cfRule type="containsText" dxfId="13202" priority="2890" operator="containsText" text="NA">
      <formula>NOT(ISERROR(SEARCH("NA",Y2)))</formula>
    </cfRule>
  </conditionalFormatting>
  <conditionalFormatting sqref="Q20:S20">
    <cfRule type="containsText" dxfId="13201" priority="2891" operator="containsText" text="NA">
      <formula>NOT(ISERROR(SEARCH("NA",Y2)))</formula>
    </cfRule>
  </conditionalFormatting>
  <conditionalFormatting sqref="Q21:S21">
    <cfRule type="containsText" dxfId="13200" priority="2892" operator="containsText" text="NA">
      <formula>NOT(ISERROR(SEARCH("NA",Y2)))</formula>
    </cfRule>
  </conditionalFormatting>
  <conditionalFormatting sqref="R30">
    <cfRule type="containsText" dxfId="13199" priority="2893" operator="containsText" text="NA">
      <formula>NOT(ISERROR(SEARCH("NA",Y2)))</formula>
    </cfRule>
  </conditionalFormatting>
  <conditionalFormatting sqref="R43">
    <cfRule type="containsText" dxfId="13198" priority="2894" operator="containsText" text="NA">
      <formula>NOT(ISERROR(SEARCH("NA",Y2)))</formula>
    </cfRule>
  </conditionalFormatting>
  <conditionalFormatting sqref="R50">
    <cfRule type="containsText" dxfId="13197" priority="2895" operator="containsText" text="NA">
      <formula>NOT(ISERROR(SEARCH("NA",Y2)))</formula>
    </cfRule>
  </conditionalFormatting>
  <conditionalFormatting sqref="T40">
    <cfRule type="containsText" dxfId="13196" priority="2896" operator="containsText" text="NA">
      <formula>NOT(ISERROR(SEARCH("NA",Y2)))</formula>
    </cfRule>
  </conditionalFormatting>
  <conditionalFormatting sqref="U3:Y16 X18:Y18 U19:Y40 W41:Y52 U53:Y56">
    <cfRule type="containsText" dxfId="13195" priority="2718" operator="containsText" text="Done">
      <formula>NOT(ISERROR(SEARCH("Done",AA2)))</formula>
    </cfRule>
  </conditionalFormatting>
  <conditionalFormatting sqref="U6:Y6">
    <cfRule type="containsText" dxfId="13194" priority="2897" operator="containsText" text="Done">
      <formula>NOT(ISERROR(SEARCH("Done",AA2)))</formula>
    </cfRule>
  </conditionalFormatting>
  <conditionalFormatting sqref="U7:Y7">
    <cfRule type="containsText" dxfId="13193" priority="2898" operator="containsText" text="Done">
      <formula>NOT(ISERROR(SEARCH("Done",AA2)))</formula>
    </cfRule>
  </conditionalFormatting>
  <conditionalFormatting sqref="U9:Y9">
    <cfRule type="containsText" dxfId="13192" priority="2899" operator="containsText" text="Done">
      <formula>NOT(ISERROR(SEARCH("Done",AA2)))</formula>
    </cfRule>
  </conditionalFormatting>
  <conditionalFormatting sqref="U4:Y4">
    <cfRule type="containsText" dxfId="13191" priority="2900" operator="containsText" text="Done">
      <formula>NOT(ISERROR(SEARCH("Done",AA2)))</formula>
    </cfRule>
  </conditionalFormatting>
  <conditionalFormatting sqref="U3:Y3">
    <cfRule type="containsText" dxfId="13190" priority="2901" operator="containsText" text="Done">
      <formula>NOT(ISERROR(SEARCH("Done",AA2)))</formula>
    </cfRule>
  </conditionalFormatting>
  <conditionalFormatting sqref="U30">
    <cfRule type="containsText" dxfId="13189" priority="2902" operator="containsText" text="Done">
      <formula>NOT(ISERROR(SEARCH("Done",AA2)))</formula>
    </cfRule>
  </conditionalFormatting>
  <conditionalFormatting sqref="U29">
    <cfRule type="containsText" dxfId="13188" priority="2903" operator="containsText" text="Done">
      <formula>NOT(ISERROR(SEARCH("Done",AA2)))</formula>
    </cfRule>
  </conditionalFormatting>
  <conditionalFormatting sqref="U28">
    <cfRule type="containsText" dxfId="13187" priority="2904" operator="containsText" text="Done">
      <formula>NOT(ISERROR(SEARCH("Done",AA2)))</formula>
    </cfRule>
  </conditionalFormatting>
  <conditionalFormatting sqref="U26">
    <cfRule type="containsText" dxfId="13186" priority="2905" operator="containsText" text="Done">
      <formula>NOT(ISERROR(SEARCH("Done",AA2)))</formula>
    </cfRule>
  </conditionalFormatting>
  <conditionalFormatting sqref="U54">
    <cfRule type="containsText" dxfId="13185" priority="2906" operator="containsText" text="Done">
      <formula>NOT(ISERROR(SEARCH("Done",AA2)))</formula>
    </cfRule>
  </conditionalFormatting>
  <conditionalFormatting sqref="U55">
    <cfRule type="containsText" dxfId="13184" priority="2907" operator="containsText" text="Done">
      <formula>NOT(ISERROR(SEARCH("Done",AA2)))</formula>
    </cfRule>
  </conditionalFormatting>
  <conditionalFormatting sqref="U56">
    <cfRule type="containsText" dxfId="13183" priority="2908" operator="containsText" text="Done">
      <formula>NOT(ISERROR(SEARCH("Done",AA2)))</formula>
    </cfRule>
  </conditionalFormatting>
  <conditionalFormatting sqref="V54">
    <cfRule type="containsText" dxfId="13182" priority="2909" operator="containsText" text="Done">
      <formula>NOT(ISERROR(SEARCH("Done",AA2)))</formula>
    </cfRule>
  </conditionalFormatting>
  <conditionalFormatting sqref="X53">
    <cfRule type="containsText" dxfId="13181" priority="2910" operator="containsText" text="Done">
      <formula>NOT(ISERROR(SEARCH("Done",AA2)))</formula>
    </cfRule>
  </conditionalFormatting>
  <conditionalFormatting sqref="W54">
    <cfRule type="containsText" dxfId="13180" priority="2911" operator="containsText" text="Done">
      <formula>NOT(ISERROR(SEARCH("Done",AA2)))</formula>
    </cfRule>
  </conditionalFormatting>
  <conditionalFormatting sqref="W56">
    <cfRule type="containsText" dxfId="13179" priority="2912" operator="containsText" text="Done">
      <formula>NOT(ISERROR(SEARCH("Done",AA2)))</formula>
    </cfRule>
  </conditionalFormatting>
  <conditionalFormatting sqref="Y55">
    <cfRule type="containsText" dxfId="13178" priority="2913" operator="containsText" text="Done">
      <formula>NOT(ISERROR(SEARCH("Done",AA2)))</formula>
    </cfRule>
  </conditionalFormatting>
  <conditionalFormatting sqref="U11:Y11">
    <cfRule type="containsText" dxfId="13177" priority="2914" operator="containsText" text="Done">
      <formula>NOT(ISERROR(SEARCH("Done",AA2)))</formula>
    </cfRule>
  </conditionalFormatting>
  <conditionalFormatting sqref="U13:Y13">
    <cfRule type="containsText" dxfId="13176" priority="2915" operator="containsText" text="Done">
      <formula>NOT(ISERROR(SEARCH("Done",AA2)))</formula>
    </cfRule>
  </conditionalFormatting>
  <conditionalFormatting sqref="U19:Y19">
    <cfRule type="containsText" dxfId="13175" priority="2916" operator="containsText" text="Done">
      <formula>NOT(ISERROR(SEARCH("Done",AA2)))</formula>
    </cfRule>
  </conditionalFormatting>
  <conditionalFormatting sqref="V20:Z20">
    <cfRule type="containsText" dxfId="13174" priority="2917" operator="containsText" text="Done">
      <formula>NOT(ISERROR(SEARCH("Done",AA2)))</formula>
    </cfRule>
  </conditionalFormatting>
  <conditionalFormatting sqref="V21:Z21">
    <cfRule type="containsText" dxfId="13173" priority="2918" operator="containsText" text="Done">
      <formula>NOT(ISERROR(SEARCH("Done",AA2)))</formula>
    </cfRule>
  </conditionalFormatting>
  <conditionalFormatting sqref="W34:X34">
    <cfRule type="containsText" dxfId="13172" priority="2919" operator="containsText" text="Done">
      <formula>NOT(ISERROR(SEARCH("Done",AA2)))</formula>
    </cfRule>
  </conditionalFormatting>
  <conditionalFormatting sqref="W35:X35">
    <cfRule type="containsText" dxfId="13171" priority="2920" operator="containsText" text="Done">
      <formula>NOT(ISERROR(SEARCH("Done",AA2)))</formula>
    </cfRule>
  </conditionalFormatting>
  <conditionalFormatting sqref="W38">
    <cfRule type="containsText" dxfId="13170" priority="2921" operator="containsText" text="Done">
      <formula>NOT(ISERROR(SEARCH("Done",AA2)))</formula>
    </cfRule>
  </conditionalFormatting>
  <conditionalFormatting sqref="X38">
    <cfRule type="containsText" dxfId="13169" priority="2922" operator="containsText" text="Done">
      <formula>NOT(ISERROR(SEARCH("Done",AA2)))</formula>
    </cfRule>
  </conditionalFormatting>
  <conditionalFormatting sqref="Z38:AA38">
    <cfRule type="containsText" dxfId="13168" priority="2923" operator="containsText" text="Done">
      <formula>NOT(ISERROR(SEARCH("Done",AA2)))</formula>
    </cfRule>
  </conditionalFormatting>
  <conditionalFormatting sqref="Z38">
    <cfRule type="containsText" dxfId="13167" priority="2924" operator="containsText" text="Done">
      <formula>NOT(ISERROR(SEARCH("Done",AA2)))</formula>
    </cfRule>
  </conditionalFormatting>
  <conditionalFormatting sqref="AA38">
    <cfRule type="containsText" dxfId="13166" priority="2925" operator="containsText" text="Done">
      <formula>NOT(ISERROR(SEARCH("Done",AA2)))</formula>
    </cfRule>
  </conditionalFormatting>
  <conditionalFormatting sqref="W41">
    <cfRule type="containsText" dxfId="13165" priority="2926" operator="containsText" text="Done">
      <formula>NOT(ISERROR(SEARCH("Done",AA2)))</formula>
    </cfRule>
  </conditionalFormatting>
  <conditionalFormatting sqref="W41">
    <cfRule type="containsText" dxfId="13164" priority="2927" operator="containsText" text="Done">
      <formula>NOT(ISERROR(SEARCH("Done",AA2)))</formula>
    </cfRule>
  </conditionalFormatting>
  <conditionalFormatting sqref="X41:X52">
    <cfRule type="containsText" dxfId="13163" priority="2928" operator="containsText" text="Done">
      <formula>NOT(ISERROR(SEARCH("Done",AA2)))</formula>
    </cfRule>
  </conditionalFormatting>
  <conditionalFormatting sqref="X41">
    <cfRule type="containsText" dxfId="13162" priority="2929" operator="containsText" text="Done">
      <formula>NOT(ISERROR(SEARCH("Done",AA2)))</formula>
    </cfRule>
  </conditionalFormatting>
  <conditionalFormatting sqref="X41">
    <cfRule type="containsText" dxfId="13161" priority="2930" operator="containsText" text="Done">
      <formula>NOT(ISERROR(SEARCH("Done",AA2)))</formula>
    </cfRule>
  </conditionalFormatting>
  <conditionalFormatting sqref="Y42">
    <cfRule type="containsText" dxfId="13160" priority="2931" operator="containsText" text="Done">
      <formula>NOT(ISERROR(SEARCH("Done",AA2)))</formula>
    </cfRule>
  </conditionalFormatting>
  <conditionalFormatting sqref="Z42">
    <cfRule type="containsText" dxfId="13159" priority="2932" operator="containsText" text="Done">
      <formula>NOT(ISERROR(SEARCH("Done",AA2)))</formula>
    </cfRule>
  </conditionalFormatting>
  <conditionalFormatting sqref="Z42">
    <cfRule type="containsText" dxfId="13158" priority="2933" operator="containsText" text="Done">
      <formula>NOT(ISERROR(SEARCH("Done",AA2)))</formula>
    </cfRule>
  </conditionalFormatting>
  <conditionalFormatting sqref="Z47:Z52">
    <cfRule type="containsText" dxfId="13157" priority="2934" operator="containsText" text="Done">
      <formula>NOT(ISERROR(SEARCH("Done",AA2)))</formula>
    </cfRule>
  </conditionalFormatting>
  <conditionalFormatting sqref="AA42">
    <cfRule type="containsText" dxfId="13156" priority="2935" operator="containsText" text="Done">
      <formula>NOT(ISERROR(SEARCH("Done",AA2)))</formula>
    </cfRule>
  </conditionalFormatting>
  <conditionalFormatting sqref="AA42">
    <cfRule type="containsText" dxfId="13155" priority="2936" operator="containsText" text="Done">
      <formula>NOT(ISERROR(SEARCH("Done",AA2)))</formula>
    </cfRule>
  </conditionalFormatting>
  <conditionalFormatting sqref="AA47:AA52">
    <cfRule type="containsText" dxfId="13154" priority="2937" operator="containsText" text="Done">
      <formula>NOT(ISERROR(SEARCH("Done",AA2)))</formula>
    </cfRule>
  </conditionalFormatting>
  <conditionalFormatting sqref="V26">
    <cfRule type="containsText" dxfId="13153" priority="2938" operator="containsText" text="Done">
      <formula>NOT(ISERROR(SEARCH("Done",AA2)))</formula>
    </cfRule>
  </conditionalFormatting>
  <conditionalFormatting sqref="V30">
    <cfRule type="containsText" dxfId="13152" priority="2939" operator="containsText" text="Done">
      <formula>NOT(ISERROR(SEARCH("Done",AA2)))</formula>
    </cfRule>
  </conditionalFormatting>
  <conditionalFormatting sqref="V31">
    <cfRule type="containsText" dxfId="13151" priority="2940" operator="containsText" text="Done">
      <formula>NOT(ISERROR(SEARCH("Done",AA2)))</formula>
    </cfRule>
  </conditionalFormatting>
  <conditionalFormatting sqref="W26:X26">
    <cfRule type="containsText" dxfId="13150" priority="2941" operator="containsText" text="Done">
      <formula>NOT(ISERROR(SEARCH("Done",AA2)))</formula>
    </cfRule>
  </conditionalFormatting>
  <conditionalFormatting sqref="W29:X29">
    <cfRule type="containsText" dxfId="13149" priority="2942" operator="containsText" text="Done">
      <formula>NOT(ISERROR(SEARCH("Done",AA2)))</formula>
    </cfRule>
  </conditionalFormatting>
  <conditionalFormatting sqref="W31:X31">
    <cfRule type="containsText" dxfId="13148" priority="2943" operator="containsText" text="Done">
      <formula>NOT(ISERROR(SEARCH("Done",AA2)))</formula>
    </cfRule>
  </conditionalFormatting>
  <conditionalFormatting sqref="Y25">
    <cfRule type="containsText" dxfId="13147" priority="2944" operator="containsText" text="Done">
      <formula>NOT(ISERROR(SEARCH("Done",AA2)))</formula>
    </cfRule>
  </conditionalFormatting>
  <conditionalFormatting sqref="Y26">
    <cfRule type="containsText" dxfId="13146" priority="2945" operator="containsText" text="Done">
      <formula>NOT(ISERROR(SEARCH("Done",AA2)))</formula>
    </cfRule>
  </conditionalFormatting>
  <conditionalFormatting sqref="Y28">
    <cfRule type="containsText" dxfId="13145" priority="2946" operator="containsText" text="Done">
      <formula>NOT(ISERROR(SEARCH("Done",AA2)))</formula>
    </cfRule>
  </conditionalFormatting>
  <conditionalFormatting sqref="Y30">
    <cfRule type="containsText" dxfId="13144" priority="2947" operator="containsText" text="Done">
      <formula>NOT(ISERROR(SEARCH("Done",AA2)))</formula>
    </cfRule>
  </conditionalFormatting>
  <conditionalFormatting sqref="Y31">
    <cfRule type="containsText" dxfId="13143" priority="2948" operator="containsText" text="Done">
      <formula>NOT(ISERROR(SEARCH("Done",AA2)))</formula>
    </cfRule>
  </conditionalFormatting>
  <conditionalFormatting sqref="X26">
    <cfRule type="containsText" dxfId="13142" priority="2949" operator="containsText" text="Done">
      <formula>NOT(ISERROR(SEARCH("Done",AA2)))</formula>
    </cfRule>
  </conditionalFormatting>
  <conditionalFormatting sqref="X26">
    <cfRule type="containsText" dxfId="13141" priority="2950" operator="containsText" text="Done">
      <formula>NOT(ISERROR(SEARCH("Done",AA2)))</formula>
    </cfRule>
  </conditionalFormatting>
  <conditionalFormatting sqref="W30">
    <cfRule type="containsText" dxfId="13140" priority="2951" operator="containsText" text="Done">
      <formula>NOT(ISERROR(SEARCH("Done",AA2)))</formula>
    </cfRule>
  </conditionalFormatting>
  <conditionalFormatting sqref="W30">
    <cfRule type="containsText" dxfId="13139" priority="2952" operator="containsText" text="Done">
      <formula>NOT(ISERROR(SEARCH("Done",AA2)))</formula>
    </cfRule>
  </conditionalFormatting>
  <conditionalFormatting sqref="X30">
    <cfRule type="containsText" dxfId="13138" priority="2953" operator="containsText" text="Done">
      <formula>NOT(ISERROR(SEARCH("Done",AA2)))</formula>
    </cfRule>
  </conditionalFormatting>
  <conditionalFormatting sqref="X30">
    <cfRule type="containsText" dxfId="13137" priority="2954" operator="containsText" text="Done">
      <formula>NOT(ISERROR(SEARCH("Done",AA2)))</formula>
    </cfRule>
  </conditionalFormatting>
  <conditionalFormatting sqref="W22">
    <cfRule type="containsText" dxfId="13136" priority="2955" operator="containsText" text="Done">
      <formula>NOT(ISERROR(SEARCH("Done",AA2)))</formula>
    </cfRule>
  </conditionalFormatting>
  <conditionalFormatting sqref="X22">
    <cfRule type="containsText" dxfId="13135" priority="2956" operator="containsText" text="Done">
      <formula>NOT(ISERROR(SEARCH("Done",AA2)))</formula>
    </cfRule>
  </conditionalFormatting>
  <conditionalFormatting sqref="T25">
    <cfRule type="containsText" dxfId="13134" priority="2957" operator="containsText" text="Done">
      <formula>NOT(ISERROR(SEARCH("Done",AA2)))</formula>
    </cfRule>
  </conditionalFormatting>
  <conditionalFormatting sqref="T27">
    <cfRule type="containsText" dxfId="13133" priority="2958" operator="containsText" text="Done">
      <formula>NOT(ISERROR(SEARCH("Done",AA2)))</formula>
    </cfRule>
  </conditionalFormatting>
  <conditionalFormatting sqref="Z44">
    <cfRule type="containsText" dxfId="13132" priority="2959" operator="containsText" text="Done">
      <formula>NOT(ISERROR(SEARCH("Done",AA2)))</formula>
    </cfRule>
  </conditionalFormatting>
  <conditionalFormatting sqref="Z44">
    <cfRule type="containsText" dxfId="13131" priority="2960" operator="containsText" text="Done">
      <formula>NOT(ISERROR(SEARCH("Done",AA2)))</formula>
    </cfRule>
  </conditionalFormatting>
  <conditionalFormatting sqref="W44:X44">
    <cfRule type="containsText" dxfId="13130" priority="2961" operator="containsText" text="Done">
      <formula>NOT(ISERROR(SEARCH("Done",AA2)))</formula>
    </cfRule>
  </conditionalFormatting>
  <conditionalFormatting sqref="X44">
    <cfRule type="containsText" dxfId="13129" priority="2962" operator="containsText" text="Done">
      <formula>NOT(ISERROR(SEARCH("Done",AA2)))</formula>
    </cfRule>
  </conditionalFormatting>
  <conditionalFormatting sqref="U3:Y16 X18:Y18 U19:Y40 W41:Y52 U53:Y56">
    <cfRule type="containsText" dxfId="13128" priority="2716" operator="containsText" text="Pending">
      <formula>NOT(ISERROR(SEARCH("Pending",AA2)))</formula>
    </cfRule>
  </conditionalFormatting>
  <conditionalFormatting sqref="U6:Y6">
    <cfRule type="containsText" dxfId="13127" priority="2963" operator="containsText" text="Pending">
      <formula>NOT(ISERROR(SEARCH("Pending",AA2)))</formula>
    </cfRule>
  </conditionalFormatting>
  <conditionalFormatting sqref="U7:Y7">
    <cfRule type="containsText" dxfId="13126" priority="2964" operator="containsText" text="Pending">
      <formula>NOT(ISERROR(SEARCH("Pending",AA2)))</formula>
    </cfRule>
  </conditionalFormatting>
  <conditionalFormatting sqref="U9:Y9">
    <cfRule type="containsText" dxfId="13125" priority="2965" operator="containsText" text="Pending">
      <formula>NOT(ISERROR(SEARCH("Pending",AA2)))</formula>
    </cfRule>
  </conditionalFormatting>
  <conditionalFormatting sqref="U4:Y4">
    <cfRule type="containsText" dxfId="13124" priority="2966" operator="containsText" text="Pending">
      <formula>NOT(ISERROR(SEARCH("Pending",AA2)))</formula>
    </cfRule>
  </conditionalFormatting>
  <conditionalFormatting sqref="U3:Y3">
    <cfRule type="containsText" dxfId="13123" priority="2967" operator="containsText" text="Pending">
      <formula>NOT(ISERROR(SEARCH("Pending",AA2)))</formula>
    </cfRule>
  </conditionalFormatting>
  <conditionalFormatting sqref="U30">
    <cfRule type="containsText" dxfId="13122" priority="2968" operator="containsText" text="Pending">
      <formula>NOT(ISERROR(SEARCH("Pending",AA2)))</formula>
    </cfRule>
  </conditionalFormatting>
  <conditionalFormatting sqref="U29">
    <cfRule type="containsText" dxfId="13121" priority="2969" operator="containsText" text="Pending">
      <formula>NOT(ISERROR(SEARCH("Pending",AA2)))</formula>
    </cfRule>
  </conditionalFormatting>
  <conditionalFormatting sqref="U28">
    <cfRule type="containsText" dxfId="13120" priority="2970" operator="containsText" text="Pending">
      <formula>NOT(ISERROR(SEARCH("Pending",AA2)))</formula>
    </cfRule>
  </conditionalFormatting>
  <conditionalFormatting sqref="U26">
    <cfRule type="containsText" dxfId="13119" priority="2971" operator="containsText" text="Pending">
      <formula>NOT(ISERROR(SEARCH("Pending",AA2)))</formula>
    </cfRule>
  </conditionalFormatting>
  <conditionalFormatting sqref="U54">
    <cfRule type="containsText" dxfId="13118" priority="2972" operator="containsText" text="Pending">
      <formula>NOT(ISERROR(SEARCH("Pending",AA2)))</formula>
    </cfRule>
  </conditionalFormatting>
  <conditionalFormatting sqref="U55">
    <cfRule type="containsText" dxfId="13117" priority="2973" operator="containsText" text="Pending">
      <formula>NOT(ISERROR(SEARCH("Pending",AA2)))</formula>
    </cfRule>
  </conditionalFormatting>
  <conditionalFormatting sqref="U56">
    <cfRule type="containsText" dxfId="13116" priority="2974" operator="containsText" text="Pending">
      <formula>NOT(ISERROR(SEARCH("Pending",AA2)))</formula>
    </cfRule>
  </conditionalFormatting>
  <conditionalFormatting sqref="V54">
    <cfRule type="containsText" dxfId="13115" priority="2975" operator="containsText" text="Pending">
      <formula>NOT(ISERROR(SEARCH("Pending",AA2)))</formula>
    </cfRule>
  </conditionalFormatting>
  <conditionalFormatting sqref="X53">
    <cfRule type="containsText" dxfId="13114" priority="2976" operator="containsText" text="Pending">
      <formula>NOT(ISERROR(SEARCH("Pending",AA2)))</formula>
    </cfRule>
  </conditionalFormatting>
  <conditionalFormatting sqref="W54">
    <cfRule type="containsText" dxfId="13113" priority="2977" operator="containsText" text="Pending">
      <formula>NOT(ISERROR(SEARCH("Pending",AA2)))</formula>
    </cfRule>
  </conditionalFormatting>
  <conditionalFormatting sqref="W56">
    <cfRule type="containsText" dxfId="13112" priority="2978" operator="containsText" text="Pending">
      <formula>NOT(ISERROR(SEARCH("Pending",AA2)))</formula>
    </cfRule>
  </conditionalFormatting>
  <conditionalFormatting sqref="Y55">
    <cfRule type="containsText" dxfId="13111" priority="2979" operator="containsText" text="Pending">
      <formula>NOT(ISERROR(SEARCH("Pending",AA2)))</formula>
    </cfRule>
  </conditionalFormatting>
  <conditionalFormatting sqref="U11:Y11">
    <cfRule type="containsText" dxfId="13110" priority="2980" operator="containsText" text="Pending">
      <formula>NOT(ISERROR(SEARCH("Pending",AA2)))</formula>
    </cfRule>
  </conditionalFormatting>
  <conditionalFormatting sqref="U13:Y13">
    <cfRule type="containsText" dxfId="13109" priority="2981" operator="containsText" text="Pending">
      <formula>NOT(ISERROR(SEARCH("Pending",AA2)))</formula>
    </cfRule>
  </conditionalFormatting>
  <conditionalFormatting sqref="U19:Y19">
    <cfRule type="containsText" dxfId="13108" priority="2982" operator="containsText" text="Pending">
      <formula>NOT(ISERROR(SEARCH("Pending",AA2)))</formula>
    </cfRule>
  </conditionalFormatting>
  <conditionalFormatting sqref="V20:Z20">
    <cfRule type="containsText" dxfId="13107" priority="2983" operator="containsText" text="Pending">
      <formula>NOT(ISERROR(SEARCH("Pending",AA2)))</formula>
    </cfRule>
  </conditionalFormatting>
  <conditionalFormatting sqref="V21:Z21">
    <cfRule type="containsText" dxfId="13106" priority="2984" operator="containsText" text="Pending">
      <formula>NOT(ISERROR(SEARCH("Pending",AA2)))</formula>
    </cfRule>
  </conditionalFormatting>
  <conditionalFormatting sqref="W34:X34">
    <cfRule type="containsText" dxfId="13105" priority="2985" operator="containsText" text="Pending">
      <formula>NOT(ISERROR(SEARCH("Pending",AA2)))</formula>
    </cfRule>
  </conditionalFormatting>
  <conditionalFormatting sqref="W35:X35">
    <cfRule type="containsText" dxfId="13104" priority="2986" operator="containsText" text="Pending">
      <formula>NOT(ISERROR(SEARCH("Pending",AA2)))</formula>
    </cfRule>
  </conditionalFormatting>
  <conditionalFormatting sqref="W38">
    <cfRule type="containsText" dxfId="13103" priority="2987" operator="containsText" text="Pending">
      <formula>NOT(ISERROR(SEARCH("Pending",AA2)))</formula>
    </cfRule>
  </conditionalFormatting>
  <conditionalFormatting sqref="X38">
    <cfRule type="containsText" dxfId="13102" priority="2988" operator="containsText" text="Pending">
      <formula>NOT(ISERROR(SEARCH("Pending",AA2)))</formula>
    </cfRule>
  </conditionalFormatting>
  <conditionalFormatting sqref="Z38:AA38">
    <cfRule type="containsText" dxfId="13101" priority="2989" operator="containsText" text="Pending">
      <formula>NOT(ISERROR(SEARCH("Pending",AA2)))</formula>
    </cfRule>
  </conditionalFormatting>
  <conditionalFormatting sqref="Z38">
    <cfRule type="containsText" dxfId="13100" priority="2990" operator="containsText" text="Pending">
      <formula>NOT(ISERROR(SEARCH("Pending",AA2)))</formula>
    </cfRule>
  </conditionalFormatting>
  <conditionalFormatting sqref="AA38">
    <cfRule type="containsText" dxfId="13099" priority="2991" operator="containsText" text="Pending">
      <formula>NOT(ISERROR(SEARCH("Pending",AA2)))</formula>
    </cfRule>
  </conditionalFormatting>
  <conditionalFormatting sqref="W41">
    <cfRule type="containsText" dxfId="13098" priority="2992" operator="containsText" text="Pending">
      <formula>NOT(ISERROR(SEARCH("Pending",AA2)))</formula>
    </cfRule>
  </conditionalFormatting>
  <conditionalFormatting sqref="W41">
    <cfRule type="containsText" dxfId="13097" priority="2993" operator="containsText" text="Pending">
      <formula>NOT(ISERROR(SEARCH("Pending",AA2)))</formula>
    </cfRule>
  </conditionalFormatting>
  <conditionalFormatting sqref="X41:X52">
    <cfRule type="containsText" dxfId="13096" priority="2994" operator="containsText" text="Pending">
      <formula>NOT(ISERROR(SEARCH("Pending",AA2)))</formula>
    </cfRule>
  </conditionalFormatting>
  <conditionalFormatting sqref="X41">
    <cfRule type="containsText" dxfId="13095" priority="2995" operator="containsText" text="Pending">
      <formula>NOT(ISERROR(SEARCH("Pending",AA2)))</formula>
    </cfRule>
  </conditionalFormatting>
  <conditionalFormatting sqref="X41">
    <cfRule type="containsText" dxfId="13094" priority="2996" operator="containsText" text="Pending">
      <formula>NOT(ISERROR(SEARCH("Pending",AA2)))</formula>
    </cfRule>
  </conditionalFormatting>
  <conditionalFormatting sqref="Y42">
    <cfRule type="containsText" dxfId="13093" priority="2997" operator="containsText" text="Pending">
      <formula>NOT(ISERROR(SEARCH("Pending",AA2)))</formula>
    </cfRule>
  </conditionalFormatting>
  <conditionalFormatting sqref="Z42">
    <cfRule type="containsText" dxfId="13092" priority="2998" operator="containsText" text="Pending">
      <formula>NOT(ISERROR(SEARCH("Pending",AA2)))</formula>
    </cfRule>
  </conditionalFormatting>
  <conditionalFormatting sqref="Z42">
    <cfRule type="containsText" dxfId="13091" priority="2999" operator="containsText" text="Pending">
      <formula>NOT(ISERROR(SEARCH("Pending",AA2)))</formula>
    </cfRule>
  </conditionalFormatting>
  <conditionalFormatting sqref="Z47:Z52">
    <cfRule type="containsText" dxfId="13090" priority="3000" operator="containsText" text="Pending">
      <formula>NOT(ISERROR(SEARCH("Pending",AA2)))</formula>
    </cfRule>
  </conditionalFormatting>
  <conditionalFormatting sqref="AA42">
    <cfRule type="containsText" dxfId="13089" priority="3001" operator="containsText" text="Pending">
      <formula>NOT(ISERROR(SEARCH("Pending",AA2)))</formula>
    </cfRule>
  </conditionalFormatting>
  <conditionalFormatting sqref="AA42">
    <cfRule type="containsText" dxfId="13088" priority="3002" operator="containsText" text="Pending">
      <formula>NOT(ISERROR(SEARCH("Pending",AA2)))</formula>
    </cfRule>
  </conditionalFormatting>
  <conditionalFormatting sqref="AA47:AA52">
    <cfRule type="containsText" dxfId="13087" priority="3003" operator="containsText" text="Pending">
      <formula>NOT(ISERROR(SEARCH("Pending",AA2)))</formula>
    </cfRule>
  </conditionalFormatting>
  <conditionalFormatting sqref="V26">
    <cfRule type="containsText" dxfId="13086" priority="3004" operator="containsText" text="Pending">
      <formula>NOT(ISERROR(SEARCH("Pending",AA2)))</formula>
    </cfRule>
  </conditionalFormatting>
  <conditionalFormatting sqref="V30">
    <cfRule type="containsText" dxfId="13085" priority="3005" operator="containsText" text="Pending">
      <formula>NOT(ISERROR(SEARCH("Pending",AA2)))</formula>
    </cfRule>
  </conditionalFormatting>
  <conditionalFormatting sqref="V31">
    <cfRule type="containsText" dxfId="13084" priority="3006" operator="containsText" text="Pending">
      <formula>NOT(ISERROR(SEARCH("Pending",AA2)))</formula>
    </cfRule>
  </conditionalFormatting>
  <conditionalFormatting sqref="W26:X26">
    <cfRule type="containsText" dxfId="13083" priority="3007" operator="containsText" text="Pending">
      <formula>NOT(ISERROR(SEARCH("Pending",AA2)))</formula>
    </cfRule>
  </conditionalFormatting>
  <conditionalFormatting sqref="W29:X29">
    <cfRule type="containsText" dxfId="13082" priority="3008" operator="containsText" text="Pending">
      <formula>NOT(ISERROR(SEARCH("Pending",AA2)))</formula>
    </cfRule>
  </conditionalFormatting>
  <conditionalFormatting sqref="W31:X31">
    <cfRule type="containsText" dxfId="13081" priority="3009" operator="containsText" text="Pending">
      <formula>NOT(ISERROR(SEARCH("Pending",AA2)))</formula>
    </cfRule>
  </conditionalFormatting>
  <conditionalFormatting sqref="Y25">
    <cfRule type="containsText" dxfId="13080" priority="3010" operator="containsText" text="Pending">
      <formula>NOT(ISERROR(SEARCH("Pending",AA2)))</formula>
    </cfRule>
  </conditionalFormatting>
  <conditionalFormatting sqref="Y26">
    <cfRule type="containsText" dxfId="13079" priority="3011" operator="containsText" text="Pending">
      <formula>NOT(ISERROR(SEARCH("Pending",AA2)))</formula>
    </cfRule>
  </conditionalFormatting>
  <conditionalFormatting sqref="Y28">
    <cfRule type="containsText" dxfId="13078" priority="3012" operator="containsText" text="Pending">
      <formula>NOT(ISERROR(SEARCH("Pending",AA2)))</formula>
    </cfRule>
  </conditionalFormatting>
  <conditionalFormatting sqref="Y30">
    <cfRule type="containsText" dxfId="13077" priority="3013" operator="containsText" text="Pending">
      <formula>NOT(ISERROR(SEARCH("Pending",AA2)))</formula>
    </cfRule>
  </conditionalFormatting>
  <conditionalFormatting sqref="Y31">
    <cfRule type="containsText" dxfId="13076" priority="3014" operator="containsText" text="Pending">
      <formula>NOT(ISERROR(SEARCH("Pending",AA2)))</formula>
    </cfRule>
  </conditionalFormatting>
  <conditionalFormatting sqref="X26">
    <cfRule type="containsText" dxfId="13075" priority="3015" operator="containsText" text="Pending">
      <formula>NOT(ISERROR(SEARCH("Pending",AA2)))</formula>
    </cfRule>
  </conditionalFormatting>
  <conditionalFormatting sqref="X26">
    <cfRule type="containsText" dxfId="13074" priority="3016" operator="containsText" text="Pending">
      <formula>NOT(ISERROR(SEARCH("Pending",AA2)))</formula>
    </cfRule>
  </conditionalFormatting>
  <conditionalFormatting sqref="W30">
    <cfRule type="containsText" dxfId="13073" priority="3017" operator="containsText" text="Pending">
      <formula>NOT(ISERROR(SEARCH("Pending",AA2)))</formula>
    </cfRule>
  </conditionalFormatting>
  <conditionalFormatting sqref="W30">
    <cfRule type="containsText" dxfId="13072" priority="3018" operator="containsText" text="Pending">
      <formula>NOT(ISERROR(SEARCH("Pending",AA2)))</formula>
    </cfRule>
  </conditionalFormatting>
  <conditionalFormatting sqref="X30">
    <cfRule type="containsText" dxfId="13071" priority="3019" operator="containsText" text="Pending">
      <formula>NOT(ISERROR(SEARCH("Pending",AA2)))</formula>
    </cfRule>
  </conditionalFormatting>
  <conditionalFormatting sqref="X30">
    <cfRule type="containsText" dxfId="13070" priority="3020" operator="containsText" text="Pending">
      <formula>NOT(ISERROR(SEARCH("Pending",AA2)))</formula>
    </cfRule>
  </conditionalFormatting>
  <conditionalFormatting sqref="W22">
    <cfRule type="containsText" dxfId="13069" priority="3021" operator="containsText" text="Pending">
      <formula>NOT(ISERROR(SEARCH("Pending",AA2)))</formula>
    </cfRule>
  </conditionalFormatting>
  <conditionalFormatting sqref="X22">
    <cfRule type="containsText" dxfId="13068" priority="3022" operator="containsText" text="Pending">
      <formula>NOT(ISERROR(SEARCH("Pending",AA2)))</formula>
    </cfRule>
  </conditionalFormatting>
  <conditionalFormatting sqref="T25">
    <cfRule type="containsText" dxfId="13067" priority="3023" operator="containsText" text="Pending">
      <formula>NOT(ISERROR(SEARCH("Pending",AA2)))</formula>
    </cfRule>
  </conditionalFormatting>
  <conditionalFormatting sqref="T27">
    <cfRule type="containsText" dxfId="13066" priority="3024" operator="containsText" text="Pending">
      <formula>NOT(ISERROR(SEARCH("Pending",AA2)))</formula>
    </cfRule>
  </conditionalFormatting>
  <conditionalFormatting sqref="Z44">
    <cfRule type="containsText" dxfId="13065" priority="3025" operator="containsText" text="Pending">
      <formula>NOT(ISERROR(SEARCH("Pending",AA2)))</formula>
    </cfRule>
  </conditionalFormatting>
  <conditionalFormatting sqref="Z44">
    <cfRule type="containsText" dxfId="13064" priority="3026" operator="containsText" text="Pending">
      <formula>NOT(ISERROR(SEARCH("Pending",AA2)))</formula>
    </cfRule>
  </conditionalFormatting>
  <conditionalFormatting sqref="W44:X44">
    <cfRule type="containsText" dxfId="13063" priority="3027" operator="containsText" text="Pending">
      <formula>NOT(ISERROR(SEARCH("Pending",AA2)))</formula>
    </cfRule>
  </conditionalFormatting>
  <conditionalFormatting sqref="X44">
    <cfRule type="containsText" dxfId="13062" priority="3028" operator="containsText" text="Pending">
      <formula>NOT(ISERROR(SEARCH("Pending",AA2)))</formula>
    </cfRule>
  </conditionalFormatting>
  <conditionalFormatting sqref="U3:Y16 X18:Y18 U19:Y40 W41:Y52 U53:Y56">
    <cfRule type="containsText" dxfId="13061" priority="2714" operator="containsText" text="NA">
      <formula>NOT(ISERROR(SEARCH("NA",AA2)))</formula>
    </cfRule>
  </conditionalFormatting>
  <conditionalFormatting sqref="U6:Y6">
    <cfRule type="containsText" dxfId="13060" priority="3029" operator="containsText" text="NA">
      <formula>NOT(ISERROR(SEARCH("NA",AA2)))</formula>
    </cfRule>
  </conditionalFormatting>
  <conditionalFormatting sqref="U7:Y7">
    <cfRule type="containsText" dxfId="13059" priority="3030" operator="containsText" text="NA">
      <formula>NOT(ISERROR(SEARCH("NA",AA2)))</formula>
    </cfRule>
  </conditionalFormatting>
  <conditionalFormatting sqref="U9:Y9">
    <cfRule type="containsText" dxfId="13058" priority="3031" operator="containsText" text="NA">
      <formula>NOT(ISERROR(SEARCH("NA",AA2)))</formula>
    </cfRule>
  </conditionalFormatting>
  <conditionalFormatting sqref="U4:Y4">
    <cfRule type="containsText" dxfId="13057" priority="3032" operator="containsText" text="NA">
      <formula>NOT(ISERROR(SEARCH("NA",AA2)))</formula>
    </cfRule>
  </conditionalFormatting>
  <conditionalFormatting sqref="U3:Y3">
    <cfRule type="containsText" dxfId="13056" priority="3033" operator="containsText" text="NA">
      <formula>NOT(ISERROR(SEARCH("NA",AA2)))</formula>
    </cfRule>
  </conditionalFormatting>
  <conditionalFormatting sqref="U30">
    <cfRule type="containsText" dxfId="13055" priority="3034" operator="containsText" text="NA">
      <formula>NOT(ISERROR(SEARCH("NA",AA2)))</formula>
    </cfRule>
  </conditionalFormatting>
  <conditionalFormatting sqref="U29">
    <cfRule type="containsText" dxfId="13054" priority="3035" operator="containsText" text="NA">
      <formula>NOT(ISERROR(SEARCH("NA",AA2)))</formula>
    </cfRule>
  </conditionalFormatting>
  <conditionalFormatting sqref="U28">
    <cfRule type="containsText" dxfId="13053" priority="3036" operator="containsText" text="NA">
      <formula>NOT(ISERROR(SEARCH("NA",AA2)))</formula>
    </cfRule>
  </conditionalFormatting>
  <conditionalFormatting sqref="U26">
    <cfRule type="containsText" dxfId="13052" priority="3037" operator="containsText" text="NA">
      <formula>NOT(ISERROR(SEARCH("NA",AA2)))</formula>
    </cfRule>
  </conditionalFormatting>
  <conditionalFormatting sqref="U54">
    <cfRule type="containsText" dxfId="13051" priority="3038" operator="containsText" text="NA">
      <formula>NOT(ISERROR(SEARCH("NA",AA2)))</formula>
    </cfRule>
  </conditionalFormatting>
  <conditionalFormatting sqref="U55">
    <cfRule type="containsText" dxfId="13050" priority="3039" operator="containsText" text="NA">
      <formula>NOT(ISERROR(SEARCH("NA",AA2)))</formula>
    </cfRule>
  </conditionalFormatting>
  <conditionalFormatting sqref="U56">
    <cfRule type="containsText" dxfId="13049" priority="3040" operator="containsText" text="NA">
      <formula>NOT(ISERROR(SEARCH("NA",AA2)))</formula>
    </cfRule>
  </conditionalFormatting>
  <conditionalFormatting sqref="V54">
    <cfRule type="containsText" dxfId="13048" priority="3041" operator="containsText" text="NA">
      <formula>NOT(ISERROR(SEARCH("NA",AA2)))</formula>
    </cfRule>
  </conditionalFormatting>
  <conditionalFormatting sqref="X53">
    <cfRule type="containsText" dxfId="13047" priority="3042" operator="containsText" text="NA">
      <formula>NOT(ISERROR(SEARCH("NA",AA2)))</formula>
    </cfRule>
  </conditionalFormatting>
  <conditionalFormatting sqref="W54">
    <cfRule type="containsText" dxfId="13046" priority="3043" operator="containsText" text="NA">
      <formula>NOT(ISERROR(SEARCH("NA",AA2)))</formula>
    </cfRule>
  </conditionalFormatting>
  <conditionalFormatting sqref="W56">
    <cfRule type="containsText" dxfId="13045" priority="3044" operator="containsText" text="NA">
      <formula>NOT(ISERROR(SEARCH("NA",AA2)))</formula>
    </cfRule>
  </conditionalFormatting>
  <conditionalFormatting sqref="Y55">
    <cfRule type="containsText" dxfId="13044" priority="3045" operator="containsText" text="NA">
      <formula>NOT(ISERROR(SEARCH("NA",AA2)))</formula>
    </cfRule>
  </conditionalFormatting>
  <conditionalFormatting sqref="U11:Y11">
    <cfRule type="containsText" dxfId="13043" priority="3046" operator="containsText" text="NA">
      <formula>NOT(ISERROR(SEARCH("NA",AA2)))</formula>
    </cfRule>
  </conditionalFormatting>
  <conditionalFormatting sqref="U13:Y13">
    <cfRule type="containsText" dxfId="13042" priority="3047" operator="containsText" text="NA">
      <formula>NOT(ISERROR(SEARCH("NA",AA2)))</formula>
    </cfRule>
  </conditionalFormatting>
  <conditionalFormatting sqref="U19:Y19">
    <cfRule type="containsText" dxfId="13041" priority="3048" operator="containsText" text="NA">
      <formula>NOT(ISERROR(SEARCH("NA",AA2)))</formula>
    </cfRule>
  </conditionalFormatting>
  <conditionalFormatting sqref="V20:Z20">
    <cfRule type="containsText" dxfId="13040" priority="3049" operator="containsText" text="NA">
      <formula>NOT(ISERROR(SEARCH("NA",AA2)))</formula>
    </cfRule>
  </conditionalFormatting>
  <conditionalFormatting sqref="V21:Z21">
    <cfRule type="containsText" dxfId="13039" priority="3050" operator="containsText" text="NA">
      <formula>NOT(ISERROR(SEARCH("NA",AA2)))</formula>
    </cfRule>
  </conditionalFormatting>
  <conditionalFormatting sqref="W34:X34">
    <cfRule type="containsText" dxfId="13038" priority="3051" operator="containsText" text="NA">
      <formula>NOT(ISERROR(SEARCH("NA",AA2)))</formula>
    </cfRule>
  </conditionalFormatting>
  <conditionalFormatting sqref="W35:X35">
    <cfRule type="containsText" dxfId="13037" priority="3052" operator="containsText" text="NA">
      <formula>NOT(ISERROR(SEARCH("NA",AA2)))</formula>
    </cfRule>
  </conditionalFormatting>
  <conditionalFormatting sqref="W38">
    <cfRule type="containsText" dxfId="13036" priority="3053" operator="containsText" text="NA">
      <formula>NOT(ISERROR(SEARCH("NA",AA2)))</formula>
    </cfRule>
  </conditionalFormatting>
  <conditionalFormatting sqref="X38">
    <cfRule type="containsText" dxfId="13035" priority="3054" operator="containsText" text="NA">
      <formula>NOT(ISERROR(SEARCH("NA",AA2)))</formula>
    </cfRule>
  </conditionalFormatting>
  <conditionalFormatting sqref="Z38:AA38">
    <cfRule type="containsText" dxfId="13034" priority="3055" operator="containsText" text="NA">
      <formula>NOT(ISERROR(SEARCH("NA",AA2)))</formula>
    </cfRule>
  </conditionalFormatting>
  <conditionalFormatting sqref="Z38">
    <cfRule type="containsText" dxfId="13033" priority="3056" operator="containsText" text="NA">
      <formula>NOT(ISERROR(SEARCH("NA",AA2)))</formula>
    </cfRule>
  </conditionalFormatting>
  <conditionalFormatting sqref="AA38">
    <cfRule type="containsText" dxfId="13032" priority="3057" operator="containsText" text="NA">
      <formula>NOT(ISERROR(SEARCH("NA",AA2)))</formula>
    </cfRule>
  </conditionalFormatting>
  <conditionalFormatting sqref="W41">
    <cfRule type="containsText" dxfId="13031" priority="3058" operator="containsText" text="NA">
      <formula>NOT(ISERROR(SEARCH("NA",AA2)))</formula>
    </cfRule>
  </conditionalFormatting>
  <conditionalFormatting sqref="W41">
    <cfRule type="containsText" dxfId="13030" priority="3059" operator="containsText" text="NA">
      <formula>NOT(ISERROR(SEARCH("NA",AA2)))</formula>
    </cfRule>
  </conditionalFormatting>
  <conditionalFormatting sqref="X41:X52">
    <cfRule type="containsText" dxfId="13029" priority="3060" operator="containsText" text="NA">
      <formula>NOT(ISERROR(SEARCH("NA",AA2)))</formula>
    </cfRule>
  </conditionalFormatting>
  <conditionalFormatting sqref="X41">
    <cfRule type="containsText" dxfId="13028" priority="3061" operator="containsText" text="NA">
      <formula>NOT(ISERROR(SEARCH("NA",AA2)))</formula>
    </cfRule>
  </conditionalFormatting>
  <conditionalFormatting sqref="X41">
    <cfRule type="containsText" dxfId="13027" priority="3062" operator="containsText" text="NA">
      <formula>NOT(ISERROR(SEARCH("NA",AA2)))</formula>
    </cfRule>
  </conditionalFormatting>
  <conditionalFormatting sqref="Y42">
    <cfRule type="containsText" dxfId="13026" priority="3063" operator="containsText" text="NA">
      <formula>NOT(ISERROR(SEARCH("NA",AA2)))</formula>
    </cfRule>
  </conditionalFormatting>
  <conditionalFormatting sqref="Z42">
    <cfRule type="containsText" dxfId="13025" priority="3064" operator="containsText" text="NA">
      <formula>NOT(ISERROR(SEARCH("NA",AA2)))</formula>
    </cfRule>
  </conditionalFormatting>
  <conditionalFormatting sqref="Z42">
    <cfRule type="containsText" dxfId="13024" priority="3065" operator="containsText" text="NA">
      <formula>NOT(ISERROR(SEARCH("NA",AA2)))</formula>
    </cfRule>
  </conditionalFormatting>
  <conditionalFormatting sqref="Z47:Z52">
    <cfRule type="containsText" dxfId="13023" priority="3066" operator="containsText" text="NA">
      <formula>NOT(ISERROR(SEARCH("NA",AA2)))</formula>
    </cfRule>
  </conditionalFormatting>
  <conditionalFormatting sqref="AA42">
    <cfRule type="containsText" dxfId="13022" priority="3067" operator="containsText" text="NA">
      <formula>NOT(ISERROR(SEARCH("NA",AA2)))</formula>
    </cfRule>
  </conditionalFormatting>
  <conditionalFormatting sqref="AA42">
    <cfRule type="containsText" dxfId="13021" priority="3068" operator="containsText" text="NA">
      <formula>NOT(ISERROR(SEARCH("NA",AA2)))</formula>
    </cfRule>
  </conditionalFormatting>
  <conditionalFormatting sqref="AA47:AA52">
    <cfRule type="containsText" dxfId="13020" priority="3069" operator="containsText" text="NA">
      <formula>NOT(ISERROR(SEARCH("NA",AA2)))</formula>
    </cfRule>
  </conditionalFormatting>
  <conditionalFormatting sqref="V26">
    <cfRule type="containsText" dxfId="13019" priority="3070" operator="containsText" text="NA">
      <formula>NOT(ISERROR(SEARCH("NA",AA2)))</formula>
    </cfRule>
  </conditionalFormatting>
  <conditionalFormatting sqref="V30">
    <cfRule type="containsText" dxfId="13018" priority="3071" operator="containsText" text="NA">
      <formula>NOT(ISERROR(SEARCH("NA",AA2)))</formula>
    </cfRule>
  </conditionalFormatting>
  <conditionalFormatting sqref="V31">
    <cfRule type="containsText" dxfId="13017" priority="3072" operator="containsText" text="NA">
      <formula>NOT(ISERROR(SEARCH("NA",AA2)))</formula>
    </cfRule>
  </conditionalFormatting>
  <conditionalFormatting sqref="W26:X26">
    <cfRule type="containsText" dxfId="13016" priority="3073" operator="containsText" text="NA">
      <formula>NOT(ISERROR(SEARCH("NA",AA2)))</formula>
    </cfRule>
  </conditionalFormatting>
  <conditionalFormatting sqref="W29:X29">
    <cfRule type="containsText" dxfId="13015" priority="3074" operator="containsText" text="NA">
      <formula>NOT(ISERROR(SEARCH("NA",AA2)))</formula>
    </cfRule>
  </conditionalFormatting>
  <conditionalFormatting sqref="W31:X31">
    <cfRule type="containsText" dxfId="13014" priority="3075" operator="containsText" text="NA">
      <formula>NOT(ISERROR(SEARCH("NA",AA2)))</formula>
    </cfRule>
  </conditionalFormatting>
  <conditionalFormatting sqref="Y25">
    <cfRule type="containsText" dxfId="13013" priority="3076" operator="containsText" text="NA">
      <formula>NOT(ISERROR(SEARCH("NA",AA2)))</formula>
    </cfRule>
  </conditionalFormatting>
  <conditionalFormatting sqref="Y26">
    <cfRule type="containsText" dxfId="13012" priority="3077" operator="containsText" text="NA">
      <formula>NOT(ISERROR(SEARCH("NA",AA2)))</formula>
    </cfRule>
  </conditionalFormatting>
  <conditionalFormatting sqref="Y28">
    <cfRule type="containsText" dxfId="13011" priority="3078" operator="containsText" text="NA">
      <formula>NOT(ISERROR(SEARCH("NA",AA2)))</formula>
    </cfRule>
  </conditionalFormatting>
  <conditionalFormatting sqref="Y30">
    <cfRule type="containsText" dxfId="13010" priority="3079" operator="containsText" text="NA">
      <formula>NOT(ISERROR(SEARCH("NA",AA2)))</formula>
    </cfRule>
  </conditionalFormatting>
  <conditionalFormatting sqref="Y31">
    <cfRule type="containsText" dxfId="13009" priority="3080" operator="containsText" text="NA">
      <formula>NOT(ISERROR(SEARCH("NA",AA2)))</formula>
    </cfRule>
  </conditionalFormatting>
  <conditionalFormatting sqref="X26">
    <cfRule type="containsText" dxfId="13008" priority="3081" operator="containsText" text="NA">
      <formula>NOT(ISERROR(SEARCH("NA",AA2)))</formula>
    </cfRule>
  </conditionalFormatting>
  <conditionalFormatting sqref="X26">
    <cfRule type="containsText" dxfId="13007" priority="3082" operator="containsText" text="NA">
      <formula>NOT(ISERROR(SEARCH("NA",AA2)))</formula>
    </cfRule>
  </conditionalFormatting>
  <conditionalFormatting sqref="W30">
    <cfRule type="containsText" dxfId="13006" priority="3083" operator="containsText" text="NA">
      <formula>NOT(ISERROR(SEARCH("NA",AA2)))</formula>
    </cfRule>
  </conditionalFormatting>
  <conditionalFormatting sqref="W30">
    <cfRule type="containsText" dxfId="13005" priority="3084" operator="containsText" text="NA">
      <formula>NOT(ISERROR(SEARCH("NA",AA2)))</formula>
    </cfRule>
  </conditionalFormatting>
  <conditionalFormatting sqref="X30">
    <cfRule type="containsText" dxfId="13004" priority="3085" operator="containsText" text="NA">
      <formula>NOT(ISERROR(SEARCH("NA",AA2)))</formula>
    </cfRule>
  </conditionalFormatting>
  <conditionalFormatting sqref="X30">
    <cfRule type="containsText" dxfId="13003" priority="3086" operator="containsText" text="NA">
      <formula>NOT(ISERROR(SEARCH("NA",AA2)))</formula>
    </cfRule>
  </conditionalFormatting>
  <conditionalFormatting sqref="W22">
    <cfRule type="containsText" dxfId="13002" priority="3087" operator="containsText" text="NA">
      <formula>NOT(ISERROR(SEARCH("NA",AA2)))</formula>
    </cfRule>
  </conditionalFormatting>
  <conditionalFormatting sqref="X22">
    <cfRule type="containsText" dxfId="13001" priority="3088" operator="containsText" text="NA">
      <formula>NOT(ISERROR(SEARCH("NA",AA2)))</formula>
    </cfRule>
  </conditionalFormatting>
  <conditionalFormatting sqref="T25">
    <cfRule type="containsText" dxfId="13000" priority="3089" operator="containsText" text="NA">
      <formula>NOT(ISERROR(SEARCH("NA",AA2)))</formula>
    </cfRule>
  </conditionalFormatting>
  <conditionalFormatting sqref="T27">
    <cfRule type="containsText" dxfId="12999" priority="3090" operator="containsText" text="NA">
      <formula>NOT(ISERROR(SEARCH("NA",AA2)))</formula>
    </cfRule>
  </conditionalFormatting>
  <conditionalFormatting sqref="Z44">
    <cfRule type="containsText" dxfId="12998" priority="3091" operator="containsText" text="NA">
      <formula>NOT(ISERROR(SEARCH("NA",AA2)))</formula>
    </cfRule>
  </conditionalFormatting>
  <conditionalFormatting sqref="Z44">
    <cfRule type="containsText" dxfId="12997" priority="3092" operator="containsText" text="NA">
      <formula>NOT(ISERROR(SEARCH("NA",AA2)))</formula>
    </cfRule>
  </conditionalFormatting>
  <conditionalFormatting sqref="W44:X44">
    <cfRule type="containsText" dxfId="12996" priority="3093" operator="containsText" text="NA">
      <formula>NOT(ISERROR(SEARCH("NA",AA2)))</formula>
    </cfRule>
  </conditionalFormatting>
  <conditionalFormatting sqref="X44">
    <cfRule type="containsText" dxfId="12995" priority="3094" operator="containsText" text="NA">
      <formula>NOT(ISERROR(SEARCH("NA",AA2)))</formula>
    </cfRule>
  </conditionalFormatting>
  <conditionalFormatting sqref="Z3:Z16 Z18:Z37 Z39:Z41 Z43 Z45:Z46 Z53:Z56">
    <cfRule type="containsText" dxfId="12994" priority="2062" operator="containsText" text="Done">
      <formula>NOT(ISERROR(SEARCH("Done",AG2)))</formula>
    </cfRule>
  </conditionalFormatting>
  <conditionalFormatting sqref="Z6">
    <cfRule type="containsText" dxfId="12993" priority="3095" operator="containsText" text="Done">
      <formula>NOT(ISERROR(SEARCH("Done",AG2)))</formula>
    </cfRule>
  </conditionalFormatting>
  <conditionalFormatting sqref="Z7">
    <cfRule type="containsText" dxfId="12992" priority="3096" operator="containsText" text="Done">
      <formula>NOT(ISERROR(SEARCH("Done",AG2)))</formula>
    </cfRule>
  </conditionalFormatting>
  <conditionalFormatting sqref="Z9">
    <cfRule type="containsText" dxfId="12991" priority="3097" operator="containsText" text="Done">
      <formula>NOT(ISERROR(SEARCH("Done",AG2)))</formula>
    </cfRule>
  </conditionalFormatting>
  <conditionalFormatting sqref="Z4">
    <cfRule type="containsText" dxfId="12990" priority="3098" operator="containsText" text="Done">
      <formula>NOT(ISERROR(SEARCH("Done",AG2)))</formula>
    </cfRule>
  </conditionalFormatting>
  <conditionalFormatting sqref="Z3">
    <cfRule type="containsText" dxfId="12989" priority="3099" operator="containsText" text="Done">
      <formula>NOT(ISERROR(SEARCH("Done",AG2)))</formula>
    </cfRule>
  </conditionalFormatting>
  <conditionalFormatting sqref="Z53">
    <cfRule type="containsText" dxfId="12988" priority="3100" operator="containsText" text="Done">
      <formula>NOT(ISERROR(SEARCH("Done",AG2)))</formula>
    </cfRule>
  </conditionalFormatting>
  <conditionalFormatting sqref="AA53">
    <cfRule type="containsText" dxfId="12987" priority="3101" operator="containsText" text="Done">
      <formula>NOT(ISERROR(SEARCH("Done",AG2)))</formula>
    </cfRule>
  </conditionalFormatting>
  <conditionalFormatting sqref="AA53">
    <cfRule type="containsText" dxfId="12986" priority="3102" operator="containsText" text="Done">
      <formula>NOT(ISERROR(SEARCH("Done",AG2)))</formula>
    </cfRule>
  </conditionalFormatting>
  <conditionalFormatting sqref="AA54">
    <cfRule type="containsText" dxfId="12985" priority="3103" operator="containsText" text="Done">
      <formula>NOT(ISERROR(SEARCH("Done",AG2)))</formula>
    </cfRule>
  </conditionalFormatting>
  <conditionalFormatting sqref="AA54">
    <cfRule type="containsText" dxfId="12984" priority="3104" operator="containsText" text="Done">
      <formula>NOT(ISERROR(SEARCH("Done",AG2)))</formula>
    </cfRule>
  </conditionalFormatting>
  <conditionalFormatting sqref="AA56">
    <cfRule type="containsText" dxfId="12983" priority="3105" operator="containsText" text="Done">
      <formula>NOT(ISERROR(SEARCH("Done",AG2)))</formula>
    </cfRule>
  </conditionalFormatting>
  <conditionalFormatting sqref="AA56">
    <cfRule type="containsText" dxfId="12982" priority="3106" operator="containsText" text="Done">
      <formula>NOT(ISERROR(SEARCH("Done",AG2)))</formula>
    </cfRule>
  </conditionalFormatting>
  <conditionalFormatting sqref="AA55">
    <cfRule type="containsText" dxfId="12981" priority="3107" operator="containsText" text="Done">
      <formula>NOT(ISERROR(SEARCH("Done",AG2)))</formula>
    </cfRule>
  </conditionalFormatting>
  <conditionalFormatting sqref="AA55">
    <cfRule type="containsText" dxfId="12980" priority="3108" operator="containsText" text="Done">
      <formula>NOT(ISERROR(SEARCH("Done",AG2)))</formula>
    </cfRule>
  </conditionalFormatting>
  <conditionalFormatting sqref="Z11">
    <cfRule type="containsText" dxfId="12979" priority="3109" operator="containsText" text="Done">
      <formula>NOT(ISERROR(SEARCH("Done",AG2)))</formula>
    </cfRule>
  </conditionalFormatting>
  <conditionalFormatting sqref="Z13">
    <cfRule type="containsText" dxfId="12978" priority="3110" operator="containsText" text="Done">
      <formula>NOT(ISERROR(SEARCH("Done",AG2)))</formula>
    </cfRule>
  </conditionalFormatting>
  <conditionalFormatting sqref="Z19">
    <cfRule type="containsText" dxfId="12977" priority="3111" operator="containsText" text="Done">
      <formula>NOT(ISERROR(SEARCH("Done",AG2)))</formula>
    </cfRule>
  </conditionalFormatting>
  <conditionalFormatting sqref="AA20">
    <cfRule type="containsText" dxfId="12976" priority="3112" operator="containsText" text="Done">
      <formula>NOT(ISERROR(SEARCH("Done",AG2)))</formula>
    </cfRule>
  </conditionalFormatting>
  <conditionalFormatting sqref="AA21">
    <cfRule type="containsText" dxfId="12975" priority="3113" operator="containsText" text="Done">
      <formula>NOT(ISERROR(SEARCH("Done",AG2)))</formula>
    </cfRule>
  </conditionalFormatting>
  <conditionalFormatting sqref="AA41 AA43:AA46">
    <cfRule type="containsText" dxfId="12974" priority="3114" operator="containsText" text="Done">
      <formula>NOT(ISERROR(SEARCH("Done",AG2)))</formula>
    </cfRule>
  </conditionalFormatting>
  <conditionalFormatting sqref="Z29">
    <cfRule type="containsText" dxfId="12973" priority="3115" operator="containsText" text="Done">
      <formula>NOT(ISERROR(SEARCH("Done",AG2)))</formula>
    </cfRule>
  </conditionalFormatting>
  <conditionalFormatting sqref="Z30">
    <cfRule type="containsText" dxfId="12972" priority="3116" operator="containsText" text="Done">
      <formula>NOT(ISERROR(SEARCH("Done",AG2)))</formula>
    </cfRule>
  </conditionalFormatting>
  <conditionalFormatting sqref="Z31">
    <cfRule type="containsText" dxfId="12971" priority="3117" operator="containsText" text="Done">
      <formula>NOT(ISERROR(SEARCH("Done",AG2)))</formula>
    </cfRule>
  </conditionalFormatting>
  <conditionalFormatting sqref="Z3:Z16 Z18:Z37 Z39:Z41 Z43 Z45:Z46 Z53:Z56">
    <cfRule type="containsText" dxfId="12970" priority="2059" operator="containsText" text="Pending">
      <formula>NOT(ISERROR(SEARCH("Pending",AG2)))</formula>
    </cfRule>
  </conditionalFormatting>
  <conditionalFormatting sqref="Z6">
    <cfRule type="containsText" dxfId="12969" priority="3118" operator="containsText" text="Pending">
      <formula>NOT(ISERROR(SEARCH("Pending",AG2)))</formula>
    </cfRule>
  </conditionalFormatting>
  <conditionalFormatting sqref="Z7">
    <cfRule type="containsText" dxfId="12968" priority="3119" operator="containsText" text="Pending">
      <formula>NOT(ISERROR(SEARCH("Pending",AG2)))</formula>
    </cfRule>
  </conditionalFormatting>
  <conditionalFormatting sqref="Z9">
    <cfRule type="containsText" dxfId="12967" priority="3120" operator="containsText" text="Pending">
      <formula>NOT(ISERROR(SEARCH("Pending",AG2)))</formula>
    </cfRule>
  </conditionalFormatting>
  <conditionalFormatting sqref="Z4">
    <cfRule type="containsText" dxfId="12966" priority="3121" operator="containsText" text="Pending">
      <formula>NOT(ISERROR(SEARCH("Pending",AG2)))</formula>
    </cfRule>
  </conditionalFormatting>
  <conditionalFormatting sqref="Z3">
    <cfRule type="containsText" dxfId="12965" priority="3122" operator="containsText" text="Pending">
      <formula>NOT(ISERROR(SEARCH("Pending",AG2)))</formula>
    </cfRule>
  </conditionalFormatting>
  <conditionalFormatting sqref="Z53">
    <cfRule type="containsText" dxfId="12964" priority="3123" operator="containsText" text="Pending">
      <formula>NOT(ISERROR(SEARCH("Pending",AG2)))</formula>
    </cfRule>
  </conditionalFormatting>
  <conditionalFormatting sqref="AA53">
    <cfRule type="containsText" dxfId="12963" priority="3124" operator="containsText" text="Pending">
      <formula>NOT(ISERROR(SEARCH("Pending",AG2)))</formula>
    </cfRule>
  </conditionalFormatting>
  <conditionalFormatting sqref="AA53">
    <cfRule type="containsText" dxfId="12962" priority="3125" operator="containsText" text="Pending">
      <formula>NOT(ISERROR(SEARCH("Pending",AG2)))</formula>
    </cfRule>
  </conditionalFormatting>
  <conditionalFormatting sqref="AA54">
    <cfRule type="containsText" dxfId="12961" priority="3126" operator="containsText" text="Pending">
      <formula>NOT(ISERROR(SEARCH("Pending",AG2)))</formula>
    </cfRule>
  </conditionalFormatting>
  <conditionalFormatting sqref="AA54">
    <cfRule type="containsText" dxfId="12960" priority="3127" operator="containsText" text="Pending">
      <formula>NOT(ISERROR(SEARCH("Pending",AG2)))</formula>
    </cfRule>
  </conditionalFormatting>
  <conditionalFormatting sqref="AA56">
    <cfRule type="containsText" dxfId="12959" priority="3128" operator="containsText" text="Pending">
      <formula>NOT(ISERROR(SEARCH("Pending",AG2)))</formula>
    </cfRule>
  </conditionalFormatting>
  <conditionalFormatting sqref="AA56">
    <cfRule type="containsText" dxfId="12958" priority="3129" operator="containsText" text="Pending">
      <formula>NOT(ISERROR(SEARCH("Pending",AG2)))</formula>
    </cfRule>
  </conditionalFormatting>
  <conditionalFormatting sqref="AA55">
    <cfRule type="containsText" dxfId="12957" priority="3130" operator="containsText" text="Pending">
      <formula>NOT(ISERROR(SEARCH("Pending",AG2)))</formula>
    </cfRule>
  </conditionalFormatting>
  <conditionalFormatting sqref="AA55">
    <cfRule type="containsText" dxfId="12956" priority="3131" operator="containsText" text="Pending">
      <formula>NOT(ISERROR(SEARCH("Pending",AG2)))</formula>
    </cfRule>
  </conditionalFormatting>
  <conditionalFormatting sqref="Z11">
    <cfRule type="containsText" dxfId="12955" priority="3132" operator="containsText" text="Pending">
      <formula>NOT(ISERROR(SEARCH("Pending",AG2)))</formula>
    </cfRule>
  </conditionalFormatting>
  <conditionalFormatting sqref="Z13">
    <cfRule type="containsText" dxfId="12954" priority="3133" operator="containsText" text="Pending">
      <formula>NOT(ISERROR(SEARCH("Pending",AG2)))</formula>
    </cfRule>
  </conditionalFormatting>
  <conditionalFormatting sqref="Z19">
    <cfRule type="containsText" dxfId="12953" priority="3134" operator="containsText" text="Pending">
      <formula>NOT(ISERROR(SEARCH("Pending",AG2)))</formula>
    </cfRule>
  </conditionalFormatting>
  <conditionalFormatting sqref="AA20">
    <cfRule type="containsText" dxfId="12952" priority="3135" operator="containsText" text="Pending">
      <formula>NOT(ISERROR(SEARCH("Pending",AG2)))</formula>
    </cfRule>
  </conditionalFormatting>
  <conditionalFormatting sqref="AA21">
    <cfRule type="containsText" dxfId="12951" priority="3136" operator="containsText" text="Pending">
      <formula>NOT(ISERROR(SEARCH("Pending",AG2)))</formula>
    </cfRule>
  </conditionalFormatting>
  <conditionalFormatting sqref="AA41 AA43:AA46">
    <cfRule type="containsText" dxfId="12950" priority="3137" operator="containsText" text="Pending">
      <formula>NOT(ISERROR(SEARCH("Pending",AG2)))</formula>
    </cfRule>
  </conditionalFormatting>
  <conditionalFormatting sqref="Z29">
    <cfRule type="containsText" dxfId="12949" priority="3138" operator="containsText" text="Pending">
      <formula>NOT(ISERROR(SEARCH("Pending",AG2)))</formula>
    </cfRule>
  </conditionalFormatting>
  <conditionalFormatting sqref="Z30">
    <cfRule type="containsText" dxfId="12948" priority="3139" operator="containsText" text="Pending">
      <formula>NOT(ISERROR(SEARCH("Pending",AG2)))</formula>
    </cfRule>
  </conditionalFormatting>
  <conditionalFormatting sqref="Z31">
    <cfRule type="containsText" dxfId="12947" priority="3140" operator="containsText" text="Pending">
      <formula>NOT(ISERROR(SEARCH("Pending",AG2)))</formula>
    </cfRule>
  </conditionalFormatting>
  <conditionalFormatting sqref="Z3:Z16 Z18:Z37 Z39:Z41 Z43 Z45:Z46 Z53:Z56">
    <cfRule type="containsText" dxfId="12946" priority="2056" operator="containsText" text="NA">
      <formula>NOT(ISERROR(SEARCH("NA",AG2)))</formula>
    </cfRule>
  </conditionalFormatting>
  <conditionalFormatting sqref="Z6">
    <cfRule type="containsText" dxfId="12945" priority="3141" operator="containsText" text="NA">
      <formula>NOT(ISERROR(SEARCH("NA",AG2)))</formula>
    </cfRule>
  </conditionalFormatting>
  <conditionalFormatting sqref="Z7">
    <cfRule type="containsText" dxfId="12944" priority="3142" operator="containsText" text="NA">
      <formula>NOT(ISERROR(SEARCH("NA",AG2)))</formula>
    </cfRule>
  </conditionalFormatting>
  <conditionalFormatting sqref="Z9">
    <cfRule type="containsText" dxfId="12943" priority="3143" operator="containsText" text="NA">
      <formula>NOT(ISERROR(SEARCH("NA",AG2)))</formula>
    </cfRule>
  </conditionalFormatting>
  <conditionalFormatting sqref="Z4">
    <cfRule type="containsText" dxfId="12942" priority="3144" operator="containsText" text="NA">
      <formula>NOT(ISERROR(SEARCH("NA",AG2)))</formula>
    </cfRule>
  </conditionalFormatting>
  <conditionalFormatting sqref="Z3">
    <cfRule type="containsText" dxfId="12941" priority="3145" operator="containsText" text="NA">
      <formula>NOT(ISERROR(SEARCH("NA",AG2)))</formula>
    </cfRule>
  </conditionalFormatting>
  <conditionalFormatting sqref="Z53">
    <cfRule type="containsText" dxfId="12940" priority="3146" operator="containsText" text="NA">
      <formula>NOT(ISERROR(SEARCH("NA",AG2)))</formula>
    </cfRule>
  </conditionalFormatting>
  <conditionalFormatting sqref="AA53">
    <cfRule type="containsText" dxfId="12939" priority="3147" operator="containsText" text="NA">
      <formula>NOT(ISERROR(SEARCH("NA",AG2)))</formula>
    </cfRule>
  </conditionalFormatting>
  <conditionalFormatting sqref="AA53">
    <cfRule type="containsText" dxfId="12938" priority="3148" operator="containsText" text="NA">
      <formula>NOT(ISERROR(SEARCH("NA",AG2)))</formula>
    </cfRule>
  </conditionalFormatting>
  <conditionalFormatting sqref="AA54">
    <cfRule type="containsText" dxfId="12937" priority="3149" operator="containsText" text="NA">
      <formula>NOT(ISERROR(SEARCH("NA",AG2)))</formula>
    </cfRule>
  </conditionalFormatting>
  <conditionalFormatting sqref="AA54">
    <cfRule type="containsText" dxfId="12936" priority="3150" operator="containsText" text="NA">
      <formula>NOT(ISERROR(SEARCH("NA",AG2)))</formula>
    </cfRule>
  </conditionalFormatting>
  <conditionalFormatting sqref="AA56">
    <cfRule type="containsText" dxfId="12935" priority="3151" operator="containsText" text="NA">
      <formula>NOT(ISERROR(SEARCH("NA",AG2)))</formula>
    </cfRule>
  </conditionalFormatting>
  <conditionalFormatting sqref="AA56">
    <cfRule type="containsText" dxfId="12934" priority="3152" operator="containsText" text="NA">
      <formula>NOT(ISERROR(SEARCH("NA",AG2)))</formula>
    </cfRule>
  </conditionalFormatting>
  <conditionalFormatting sqref="AA55">
    <cfRule type="containsText" dxfId="12933" priority="3153" operator="containsText" text="NA">
      <formula>NOT(ISERROR(SEARCH("NA",AG2)))</formula>
    </cfRule>
  </conditionalFormatting>
  <conditionalFormatting sqref="AA55">
    <cfRule type="containsText" dxfId="12932" priority="3154" operator="containsText" text="NA">
      <formula>NOT(ISERROR(SEARCH("NA",AG2)))</formula>
    </cfRule>
  </conditionalFormatting>
  <conditionalFormatting sqref="Z11">
    <cfRule type="containsText" dxfId="12931" priority="3155" operator="containsText" text="NA">
      <formula>NOT(ISERROR(SEARCH("NA",AG2)))</formula>
    </cfRule>
  </conditionalFormatting>
  <conditionalFormatting sqref="Z13">
    <cfRule type="containsText" dxfId="12930" priority="3156" operator="containsText" text="NA">
      <formula>NOT(ISERROR(SEARCH("NA",AG2)))</formula>
    </cfRule>
  </conditionalFormatting>
  <conditionalFormatting sqref="Z19">
    <cfRule type="containsText" dxfId="12929" priority="3157" operator="containsText" text="NA">
      <formula>NOT(ISERROR(SEARCH("NA",AG2)))</formula>
    </cfRule>
  </conditionalFormatting>
  <conditionalFormatting sqref="AA20">
    <cfRule type="containsText" dxfId="12928" priority="3158" operator="containsText" text="NA">
      <formula>NOT(ISERROR(SEARCH("NA",AG2)))</formula>
    </cfRule>
  </conditionalFormatting>
  <conditionalFormatting sqref="AA21">
    <cfRule type="containsText" dxfId="12927" priority="3159" operator="containsText" text="NA">
      <formula>NOT(ISERROR(SEARCH("NA",AG2)))</formula>
    </cfRule>
  </conditionalFormatting>
  <conditionalFormatting sqref="AA41 AA43:AA46">
    <cfRule type="containsText" dxfId="12926" priority="3160" operator="containsText" text="NA">
      <formula>NOT(ISERROR(SEARCH("NA",AG2)))</formula>
    </cfRule>
  </conditionalFormatting>
  <conditionalFormatting sqref="Z29">
    <cfRule type="containsText" dxfId="12925" priority="3161" operator="containsText" text="NA">
      <formula>NOT(ISERROR(SEARCH("NA",AG2)))</formula>
    </cfRule>
  </conditionalFormatting>
  <conditionalFormatting sqref="Z30">
    <cfRule type="containsText" dxfId="12924" priority="3162" operator="containsText" text="NA">
      <formula>NOT(ISERROR(SEARCH("NA",AG2)))</formula>
    </cfRule>
  </conditionalFormatting>
  <conditionalFormatting sqref="Z31">
    <cfRule type="containsText" dxfId="12923" priority="3163" operator="containsText" text="NA">
      <formula>NOT(ISERROR(SEARCH("NA",AG2)))</formula>
    </cfRule>
  </conditionalFormatting>
  <conditionalFormatting sqref="S3:S16 S18:S41 S43:S56 O3:O12 O14:O22 O25">
    <cfRule type="containsText" dxfId="12922" priority="27" operator="containsText" text="Done">
      <formula>NOT(ISERROR(SEARCH("Done",W2)))</formula>
    </cfRule>
  </conditionalFormatting>
  <conditionalFormatting sqref="S6 O6">
    <cfRule type="containsText" dxfId="12921" priority="3164" operator="containsText" text="Done">
      <formula>NOT(ISERROR(SEARCH("Done",W2)))</formula>
    </cfRule>
  </conditionalFormatting>
  <conditionalFormatting sqref="S7 O7">
    <cfRule type="containsText" dxfId="12920" priority="3165" operator="containsText" text="Done">
      <formula>NOT(ISERROR(SEARCH("Done",W2)))</formula>
    </cfRule>
  </conditionalFormatting>
  <conditionalFormatting sqref="S9 O9">
    <cfRule type="containsText" dxfId="12919" priority="3166" operator="containsText" text="Done">
      <formula>NOT(ISERROR(SEARCH("Done",W2)))</formula>
    </cfRule>
  </conditionalFormatting>
  <conditionalFormatting sqref="P8">
    <cfRule type="containsText" dxfId="12918" priority="3167" operator="containsText" text="Done">
      <formula>NOT(ISERROR(SEARCH("Done",W2)))</formula>
    </cfRule>
  </conditionalFormatting>
  <conditionalFormatting sqref="S4 O4">
    <cfRule type="containsText" dxfId="12917" priority="3168" operator="containsText" text="Done">
      <formula>NOT(ISERROR(SEARCH("Done",W2)))</formula>
    </cfRule>
  </conditionalFormatting>
  <conditionalFormatting sqref="P4">
    <cfRule type="containsText" dxfId="12916" priority="3169" operator="containsText" text="Done">
      <formula>NOT(ISERROR(SEARCH("Done",W2)))</formula>
    </cfRule>
  </conditionalFormatting>
  <conditionalFormatting sqref="S3 O3">
    <cfRule type="containsText" dxfId="12915" priority="3170" operator="containsText" text="Done">
      <formula>NOT(ISERROR(SEARCH("Done",W2)))</formula>
    </cfRule>
  </conditionalFormatting>
  <conditionalFormatting sqref="K3 K4 K5 K6 K7 K8 K9 L3 L4 L5 L6 L7 L8 L9 N3 N4 N5 N6 N7 N8 N9">
    <cfRule type="containsText" dxfId="12914" priority="3171" operator="containsText" text="Done">
      <formula>NOT(ISERROR(SEARCH("Done",W2)))</formula>
    </cfRule>
  </conditionalFormatting>
  <conditionalFormatting sqref="R18">
    <cfRule type="containsText" dxfId="12913" priority="3172" operator="containsText" text="Done">
      <formula>NOT(ISERROR(SEARCH("Done",W2)))</formula>
    </cfRule>
  </conditionalFormatting>
  <conditionalFormatting sqref="S18">
    <cfRule type="containsText" dxfId="12912" priority="3173" operator="containsText" text="Done">
      <formula>NOT(ISERROR(SEARCH("Done",W2)))</formula>
    </cfRule>
  </conditionalFormatting>
  <conditionalFormatting sqref="T18">
    <cfRule type="containsText" dxfId="12911" priority="3174" operator="containsText" text="Done">
      <formula>NOT(ISERROR(SEARCH("Done",W2)))</formula>
    </cfRule>
  </conditionalFormatting>
  <conditionalFormatting sqref="U18">
    <cfRule type="containsText" dxfId="12910" priority="3175" operator="containsText" text="Done">
      <formula>NOT(ISERROR(SEARCH("Done",W2)))</formula>
    </cfRule>
  </conditionalFormatting>
  <conditionalFormatting sqref="V18">
    <cfRule type="containsText" dxfId="12909" priority="3176" operator="containsText" text="Done">
      <formula>NOT(ISERROR(SEARCH("Done",W2)))</formula>
    </cfRule>
  </conditionalFormatting>
  <conditionalFormatting sqref="W18">
    <cfRule type="containsText" dxfId="12908" priority="3177" operator="containsText" text="Done">
      <formula>NOT(ISERROR(SEARCH("Done",W2)))</formula>
    </cfRule>
  </conditionalFormatting>
  <conditionalFormatting sqref="O25">
    <cfRule type="containsText" dxfId="12907" priority="3178" operator="containsText" text="Done">
      <formula>NOT(ISERROR(SEARCH("Done",W2)))</formula>
    </cfRule>
  </conditionalFormatting>
  <conditionalFormatting sqref="N25">
    <cfRule type="containsText" dxfId="12906" priority="3179" operator="containsText" text="Done">
      <formula>NOT(ISERROR(SEARCH("Done",W2)))</formula>
    </cfRule>
  </conditionalFormatting>
  <conditionalFormatting sqref="N23">
    <cfRule type="containsText" dxfId="12905" priority="3180" operator="containsText" text="Done">
      <formula>NOT(ISERROR(SEARCH("Done",W2)))</formula>
    </cfRule>
  </conditionalFormatting>
  <conditionalFormatting sqref="Q25">
    <cfRule type="containsText" dxfId="12904" priority="3181" operator="containsText" text="Done">
      <formula>NOT(ISERROR(SEARCH("Done",W2)))</formula>
    </cfRule>
  </conditionalFormatting>
  <conditionalFormatting sqref="Q25">
    <cfRule type="containsText" dxfId="12903" priority="3182" operator="containsText" text="Done">
      <formula>NOT(ISERROR(SEARCH("Done",W2)))</formula>
    </cfRule>
  </conditionalFormatting>
  <conditionalFormatting sqref="L3">
    <cfRule type="containsText" dxfId="12902" priority="3183" operator="containsText" text="Done">
      <formula>NOT(ISERROR(SEARCH("Done",W2)))</formula>
    </cfRule>
  </conditionalFormatting>
  <conditionalFormatting sqref="O12">
    <cfRule type="containsText" dxfId="12901" priority="3184" operator="containsText" text="Done">
      <formula>NOT(ISERROR(SEARCH("Done",W2)))</formula>
    </cfRule>
  </conditionalFormatting>
  <conditionalFormatting sqref="O12">
    <cfRule type="containsText" dxfId="12900" priority="3185" operator="containsText" text="Done">
      <formula>NOT(ISERROR(SEARCH("Done",W2)))</formula>
    </cfRule>
  </conditionalFormatting>
  <conditionalFormatting sqref="N12">
    <cfRule type="containsText" dxfId="12899" priority="3186" operator="containsText" text="Done">
      <formula>NOT(ISERROR(SEARCH("Done",W2)))</formula>
    </cfRule>
  </conditionalFormatting>
  <conditionalFormatting sqref="O14">
    <cfRule type="containsText" dxfId="12898" priority="3187" operator="containsText" text="Done">
      <formula>NOT(ISERROR(SEARCH("Done",W2)))</formula>
    </cfRule>
  </conditionalFormatting>
  <conditionalFormatting sqref="O14">
    <cfRule type="containsText" dxfId="12897" priority="3188" operator="containsText" text="Done">
      <formula>NOT(ISERROR(SEARCH("Done",W2)))</formula>
    </cfRule>
  </conditionalFormatting>
  <conditionalFormatting sqref="N14">
    <cfRule type="containsText" dxfId="12896" priority="3189" operator="containsText" text="Done">
      <formula>NOT(ISERROR(SEARCH("Done",W2)))</formula>
    </cfRule>
  </conditionalFormatting>
  <conditionalFormatting sqref="O15">
    <cfRule type="containsText" dxfId="12895" priority="3190" operator="containsText" text="Done">
      <formula>NOT(ISERROR(SEARCH("Done",W2)))</formula>
    </cfRule>
  </conditionalFormatting>
  <conditionalFormatting sqref="O15">
    <cfRule type="containsText" dxfId="12894" priority="3191" operator="containsText" text="Done">
      <formula>NOT(ISERROR(SEARCH("Done",W2)))</formula>
    </cfRule>
  </conditionalFormatting>
  <conditionalFormatting sqref="N15">
    <cfRule type="containsText" dxfId="12893" priority="3192" operator="containsText" text="Done">
      <formula>NOT(ISERROR(SEARCH("Done",W2)))</formula>
    </cfRule>
  </conditionalFormatting>
  <conditionalFormatting sqref="O18">
    <cfRule type="containsText" dxfId="12892" priority="3193" operator="containsText" text="Done">
      <formula>NOT(ISERROR(SEARCH("Done",W2)))</formula>
    </cfRule>
  </conditionalFormatting>
  <conditionalFormatting sqref="O18">
    <cfRule type="containsText" dxfId="12891" priority="3194" operator="containsText" text="Done">
      <formula>NOT(ISERROR(SEARCH("Done",W2)))</formula>
    </cfRule>
  </conditionalFormatting>
  <conditionalFormatting sqref="N18">
    <cfRule type="containsText" dxfId="12890" priority="3195" operator="containsText" text="Done">
      <formula>NOT(ISERROR(SEARCH("Done",W2)))</formula>
    </cfRule>
  </conditionalFormatting>
  <conditionalFormatting sqref="S12">
    <cfRule type="containsText" dxfId="12889" priority="3196" operator="containsText" text="Done">
      <formula>NOT(ISERROR(SEARCH("Done",W2)))</formula>
    </cfRule>
  </conditionalFormatting>
  <conditionalFormatting sqref="S12">
    <cfRule type="containsText" dxfId="12888" priority="3197" operator="containsText" text="Done">
      <formula>NOT(ISERROR(SEARCH("Done",W2)))</formula>
    </cfRule>
  </conditionalFormatting>
  <conditionalFormatting sqref="S14">
    <cfRule type="containsText" dxfId="12887" priority="3198" operator="containsText" text="Done">
      <formula>NOT(ISERROR(SEARCH("Done",W2)))</formula>
    </cfRule>
  </conditionalFormatting>
  <conditionalFormatting sqref="S14">
    <cfRule type="containsText" dxfId="12886" priority="3199" operator="containsText" text="Done">
      <formula>NOT(ISERROR(SEARCH("Done",W2)))</formula>
    </cfRule>
  </conditionalFormatting>
  <conditionalFormatting sqref="S15">
    <cfRule type="containsText" dxfId="12885" priority="3200" operator="containsText" text="Done">
      <formula>NOT(ISERROR(SEARCH("Done",W2)))</formula>
    </cfRule>
  </conditionalFormatting>
  <conditionalFormatting sqref="S15">
    <cfRule type="containsText" dxfId="12884" priority="3201" operator="containsText" text="Done">
      <formula>NOT(ISERROR(SEARCH("Done",W2)))</formula>
    </cfRule>
  </conditionalFormatting>
  <conditionalFormatting sqref="K10 L10 K11 L11">
    <cfRule type="containsText" dxfId="12883" priority="3202" operator="containsText" text="Done">
      <formula>NOT(ISERROR(SEARCH("Done",W2)))</formula>
    </cfRule>
  </conditionalFormatting>
  <conditionalFormatting sqref="K13 L13">
    <cfRule type="containsText" dxfId="12882" priority="3203" operator="containsText" text="Done">
      <formula>NOT(ISERROR(SEARCH("Done",W2)))</formula>
    </cfRule>
  </conditionalFormatting>
  <conditionalFormatting sqref="K17 L17">
    <cfRule type="containsText" dxfId="12881" priority="3204" operator="containsText" text="Done">
      <formula>NOT(ISERROR(SEARCH("Done",W2)))</formula>
    </cfRule>
  </conditionalFormatting>
  <conditionalFormatting sqref="K19 L19">
    <cfRule type="containsText" dxfId="12880" priority="3205" operator="containsText" text="Done">
      <formula>NOT(ISERROR(SEARCH("Done",W2)))</formula>
    </cfRule>
  </conditionalFormatting>
  <conditionalFormatting sqref="N26 N27 N28 N29 N30 N31 N32 N33 N34 N35 N36 N37 N38 N39 N40 N41 N42 N43 N44 N45 N46 N47 N48 N49 N50 N51 N52 N53 N54 N55 N56 O26 O27 O28 O29 O30 O31 O32 O33 O34 O35 O36 O37 O38 O39 O40 O41 O42 O43 O44 O45 O46 O47 O48 O49 O50 O51 O52 O53 O54 O55 O56 P26 P27 P28 P29 P30 P31 P32 P33 P34 P35 P36 P37 P38 P39 P40 P41 P42 P43 P44 P45 P46 P47 P48 P49 P50 P51 P52 P53 P54 P55 P56 Q26 Q27 Q28 Q29 Q30 Q31 Q32 Q33 Q34 Q35 Q36 Q37 Q38 Q39 Q40 Q41 Q42 Q43 Q44 Q45 Q46 Q47 Q48 Q49 Q50 Q51 Q52 Q53 Q54 Q55 Q56">
    <cfRule type="containsText" dxfId="12879" priority="3206" operator="containsText" text="Done">
      <formula>NOT(ISERROR(SEARCH("Done",W2)))</formula>
    </cfRule>
  </conditionalFormatting>
  <conditionalFormatting sqref="O40">
    <cfRule type="containsText" dxfId="12878" priority="3207" operator="containsText" text="Done">
      <formula>NOT(ISERROR(SEARCH("Done",W2)))</formula>
    </cfRule>
  </conditionalFormatting>
  <conditionalFormatting sqref="P40">
    <cfRule type="containsText" dxfId="12877" priority="3208" operator="containsText" text="Done">
      <formula>NOT(ISERROR(SEARCH("Done",W2)))</formula>
    </cfRule>
  </conditionalFormatting>
  <conditionalFormatting sqref="Q40">
    <cfRule type="containsText" dxfId="12876" priority="3209" operator="containsText" text="Done">
      <formula>NOT(ISERROR(SEARCH("Done",W2)))</formula>
    </cfRule>
  </conditionalFormatting>
  <conditionalFormatting sqref="O34">
    <cfRule type="containsText" dxfId="12875" priority="3210" operator="containsText" text="Done">
      <formula>NOT(ISERROR(SEARCH("Done",W2)))</formula>
    </cfRule>
  </conditionalFormatting>
  <conditionalFormatting sqref="O23">
    <cfRule type="containsText" dxfId="12874" priority="3211" operator="containsText" text="Done">
      <formula>NOT(ISERROR(SEARCH("Done",W2)))</formula>
    </cfRule>
  </conditionalFormatting>
  <conditionalFormatting sqref="N29">
    <cfRule type="containsText" dxfId="12873" priority="3212" operator="containsText" text="Done">
      <formula>NOT(ISERROR(SEARCH("Done",W2)))</formula>
    </cfRule>
  </conditionalFormatting>
  <conditionalFormatting sqref="O29">
    <cfRule type="containsText" dxfId="12872" priority="3213" operator="containsText" text="Done">
      <formula>NOT(ISERROR(SEARCH("Done",W2)))</formula>
    </cfRule>
  </conditionalFormatting>
  <conditionalFormatting sqref="O29">
    <cfRule type="containsText" dxfId="12871" priority="3214" operator="containsText" text="Done">
      <formula>NOT(ISERROR(SEARCH("Done",W2)))</formula>
    </cfRule>
  </conditionalFormatting>
  <conditionalFormatting sqref="N24">
    <cfRule type="containsText" dxfId="12870" priority="3215" operator="containsText" text="Done">
      <formula>NOT(ISERROR(SEARCH("Done",W2)))</formula>
    </cfRule>
  </conditionalFormatting>
  <conditionalFormatting sqref="O24">
    <cfRule type="containsText" dxfId="12869" priority="3216" operator="containsText" text="Done">
      <formula>NOT(ISERROR(SEARCH("Done",W2)))</formula>
    </cfRule>
  </conditionalFormatting>
  <conditionalFormatting sqref="O28">
    <cfRule type="containsText" dxfId="12868" priority="3217" operator="containsText" text="Done">
      <formula>NOT(ISERROR(SEARCH("Done",W2)))</formula>
    </cfRule>
  </conditionalFormatting>
  <conditionalFormatting sqref="P23">
    <cfRule type="containsText" dxfId="12867" priority="3218" operator="containsText" text="Done">
      <formula>NOT(ISERROR(SEARCH("Done",W2)))</formula>
    </cfRule>
  </conditionalFormatting>
  <conditionalFormatting sqref="P24">
    <cfRule type="containsText" dxfId="12866" priority="3219" operator="containsText" text="Done">
      <formula>NOT(ISERROR(SEARCH("Done",W2)))</formula>
    </cfRule>
  </conditionalFormatting>
  <conditionalFormatting sqref="P25">
    <cfRule type="containsText" dxfId="12865" priority="3220" operator="containsText" text="Done">
      <formula>NOT(ISERROR(SEARCH("Done",W2)))</formula>
    </cfRule>
  </conditionalFormatting>
  <conditionalFormatting sqref="P28">
    <cfRule type="containsText" dxfId="12864" priority="3221" operator="containsText" text="Done">
      <formula>NOT(ISERROR(SEARCH("Done",W2)))</formula>
    </cfRule>
  </conditionalFormatting>
  <conditionalFormatting sqref="P29">
    <cfRule type="containsText" dxfId="12863" priority="3222" operator="containsText" text="Done">
      <formula>NOT(ISERROR(SEARCH("Done",W2)))</formula>
    </cfRule>
  </conditionalFormatting>
  <conditionalFormatting sqref="Q23">
    <cfRule type="containsText" dxfId="12862" priority="3223" operator="containsText" text="Done">
      <formula>NOT(ISERROR(SEARCH("Done",W2)))</formula>
    </cfRule>
  </conditionalFormatting>
  <conditionalFormatting sqref="Q23">
    <cfRule type="containsText" dxfId="12861" priority="3224" operator="containsText" text="Done">
      <formula>NOT(ISERROR(SEARCH("Done",W2)))</formula>
    </cfRule>
  </conditionalFormatting>
  <conditionalFormatting sqref="Q24">
    <cfRule type="containsText" dxfId="12860" priority="3225" operator="containsText" text="Done">
      <formula>NOT(ISERROR(SEARCH("Done",W2)))</formula>
    </cfRule>
  </conditionalFormatting>
  <conditionalFormatting sqref="Q24">
    <cfRule type="containsText" dxfId="12859" priority="3226" operator="containsText" text="Done">
      <formula>NOT(ISERROR(SEARCH("Done",W2)))</formula>
    </cfRule>
  </conditionalFormatting>
  <conditionalFormatting sqref="N43">
    <cfRule type="containsText" dxfId="12858" priority="3227" operator="containsText" text="Done">
      <formula>NOT(ISERROR(SEARCH("Done",W2)))</formula>
    </cfRule>
  </conditionalFormatting>
  <conditionalFormatting sqref="S54">
    <cfRule type="containsText" dxfId="12857" priority="3228" operator="containsText" text="Done">
      <formula>NOT(ISERROR(SEARCH("Done",W2)))</formula>
    </cfRule>
  </conditionalFormatting>
  <conditionalFormatting sqref="S11 O11">
    <cfRule type="containsText" dxfId="12856" priority="3229" operator="containsText" text="Done">
      <formula>NOT(ISERROR(SEARCH("Done",W2)))</formula>
    </cfRule>
  </conditionalFormatting>
  <conditionalFormatting sqref="S13 O13">
    <cfRule type="containsText" dxfId="12855" priority="3230" operator="containsText" text="Done">
      <formula>NOT(ISERROR(SEARCH("Done",W2)))</formula>
    </cfRule>
  </conditionalFormatting>
  <conditionalFormatting sqref="S19 O19">
    <cfRule type="containsText" dxfId="12854" priority="3231" operator="containsText" text="Done">
      <formula>NOT(ISERROR(SEARCH("Done",W2)))</formula>
    </cfRule>
  </conditionalFormatting>
  <conditionalFormatting sqref="T20 P20">
    <cfRule type="containsText" dxfId="12853" priority="3232" operator="containsText" text="Done">
      <formula>NOT(ISERROR(SEARCH("Done",W2)))</formula>
    </cfRule>
  </conditionalFormatting>
  <conditionalFormatting sqref="T21 P21">
    <cfRule type="containsText" dxfId="12852" priority="3233" operator="containsText" text="Done">
      <formula>NOT(ISERROR(SEARCH("Done",W2)))</formula>
    </cfRule>
  </conditionalFormatting>
  <conditionalFormatting sqref="P38">
    <cfRule type="containsText" dxfId="12851" priority="3234" operator="containsText" text="Done">
      <formula>NOT(ISERROR(SEARCH("Done",W2)))</formula>
    </cfRule>
  </conditionalFormatting>
  <conditionalFormatting sqref="Q38">
    <cfRule type="containsText" dxfId="12850" priority="3235" operator="containsText" text="Done">
      <formula>NOT(ISERROR(SEARCH("Done",W2)))</formula>
    </cfRule>
  </conditionalFormatting>
  <conditionalFormatting sqref="N44 O44">
    <cfRule type="containsText" dxfId="12849" priority="3236" operator="containsText" text="Done">
      <formula>NOT(ISERROR(SEARCH("Done",W2)))</formula>
    </cfRule>
  </conditionalFormatting>
  <conditionalFormatting sqref="N44">
    <cfRule type="containsText" dxfId="12848" priority="3237" operator="containsText" text="Done">
      <formula>NOT(ISERROR(SEARCH("Done",W2)))</formula>
    </cfRule>
  </conditionalFormatting>
  <conditionalFormatting sqref="O44">
    <cfRule type="containsText" dxfId="12847" priority="3238" operator="containsText" text="Done">
      <formula>NOT(ISERROR(SEARCH("Done",W2)))</formula>
    </cfRule>
  </conditionalFormatting>
  <conditionalFormatting sqref="O47">
    <cfRule type="containsText" dxfId="12846" priority="3239" operator="containsText" text="Done">
      <formula>NOT(ISERROR(SEARCH("Done",W2)))</formula>
    </cfRule>
  </conditionalFormatting>
  <conditionalFormatting sqref="S41">
    <cfRule type="containsText" dxfId="12845" priority="3240" operator="containsText" text="Done">
      <formula>NOT(ISERROR(SEARCH("Done",W2)))</formula>
    </cfRule>
  </conditionalFormatting>
  <conditionalFormatting sqref="S47">
    <cfRule type="containsText" dxfId="12844" priority="3241" operator="containsText" text="Done">
      <formula>NOT(ISERROR(SEARCH("Done",W2)))</formula>
    </cfRule>
  </conditionalFormatting>
  <conditionalFormatting sqref="S49">
    <cfRule type="containsText" dxfId="12843" priority="3242" operator="containsText" text="Done">
      <formula>NOT(ISERROR(SEARCH("Done",W2)))</formula>
    </cfRule>
  </conditionalFormatting>
  <conditionalFormatting sqref="S49">
    <cfRule type="containsText" dxfId="12842" priority="3243" operator="containsText" text="Done">
      <formula>NOT(ISERROR(SEARCH("Done",W2)))</formula>
    </cfRule>
  </conditionalFormatting>
  <conditionalFormatting sqref="Q30">
    <cfRule type="containsText" dxfId="12841" priority="3244" operator="containsText" text="Done">
      <formula>NOT(ISERROR(SEARCH("Done",W2)))</formula>
    </cfRule>
  </conditionalFormatting>
  <conditionalFormatting sqref="S25">
    <cfRule type="containsText" dxfId="12840" priority="3245" operator="containsText" text="Done">
      <formula>NOT(ISERROR(SEARCH("Done",W2)))</formula>
    </cfRule>
  </conditionalFormatting>
  <conditionalFormatting sqref="S26">
    <cfRule type="containsText" dxfId="12839" priority="3246" operator="containsText" text="Done">
      <formula>NOT(ISERROR(SEARCH("Done",W2)))</formula>
    </cfRule>
  </conditionalFormatting>
  <conditionalFormatting sqref="S28">
    <cfRule type="containsText" dxfId="12838" priority="3247" operator="containsText" text="Done">
      <formula>NOT(ISERROR(SEARCH("Done",W2)))</formula>
    </cfRule>
  </conditionalFormatting>
  <conditionalFormatting sqref="S30">
    <cfRule type="containsText" dxfId="12837" priority="3248" operator="containsText" text="Done">
      <formula>NOT(ISERROR(SEARCH("Done",W2)))</formula>
    </cfRule>
  </conditionalFormatting>
  <conditionalFormatting sqref="S31">
    <cfRule type="containsText" dxfId="12836" priority="3249" operator="containsText" text="Done">
      <formula>NOT(ISERROR(SEARCH("Done",W2)))</formula>
    </cfRule>
  </conditionalFormatting>
  <conditionalFormatting sqref="P48">
    <cfRule type="containsText" dxfId="12835" priority="3250" operator="containsText" text="Done">
      <formula>NOT(ISERROR(SEARCH("Done",W2)))</formula>
    </cfRule>
  </conditionalFormatting>
  <conditionalFormatting sqref="R52">
    <cfRule type="containsText" dxfId="12834" priority="3251" operator="containsText" text="Done">
      <formula>NOT(ISERROR(SEARCH("Done",W2)))</formula>
    </cfRule>
  </conditionalFormatting>
  <conditionalFormatting sqref="H27 I27">
    <cfRule type="containsText" dxfId="12833" priority="3252" operator="containsText" text="Done">
      <formula>NOT(ISERROR(SEARCH("Done",W2)))</formula>
    </cfRule>
  </conditionalFormatting>
  <conditionalFormatting sqref="I27">
    <cfRule type="containsText" dxfId="12832" priority="3253" operator="containsText" text="Done">
      <formula>NOT(ISERROR(SEARCH("Done",W2)))</formula>
    </cfRule>
  </conditionalFormatting>
  <conditionalFormatting sqref="N27 O27">
    <cfRule type="containsText" dxfId="12831" priority="3254" operator="containsText" text="Done">
      <formula>NOT(ISERROR(SEARCH("Done",W2)))</formula>
    </cfRule>
  </conditionalFormatting>
  <conditionalFormatting sqref="N37 O37 P37 Q37">
    <cfRule type="containsText" dxfId="12830" priority="3255" operator="containsText" text="Done">
      <formula>NOT(ISERROR(SEARCH("Done",W2)))</formula>
    </cfRule>
  </conditionalFormatting>
  <conditionalFormatting sqref="P43">
    <cfRule type="containsText" dxfId="12829" priority="3256" operator="containsText" text="Done">
      <formula>NOT(ISERROR(SEARCH("Done",W2)))</formula>
    </cfRule>
  </conditionalFormatting>
  <conditionalFormatting sqref="Q43">
    <cfRule type="containsText" dxfId="12828" priority="3257" operator="containsText" text="Done">
      <formula>NOT(ISERROR(SEARCH("Done",W2)))</formula>
    </cfRule>
  </conditionalFormatting>
  <conditionalFormatting sqref="P44">
    <cfRule type="containsText" dxfId="12827" priority="3258" operator="containsText" text="Done">
      <formula>NOT(ISERROR(SEARCH("Done",W2)))</formula>
    </cfRule>
  </conditionalFormatting>
  <conditionalFormatting sqref="Q44">
    <cfRule type="containsText" dxfId="12826" priority="3259" operator="containsText" text="Done">
      <formula>NOT(ISERROR(SEARCH("Done",W2)))</formula>
    </cfRule>
  </conditionalFormatting>
  <conditionalFormatting sqref="O42">
    <cfRule type="containsText" dxfId="12825" priority="3260" operator="containsText" text="Done">
      <formula>NOT(ISERROR(SEARCH("Done",W2)))</formula>
    </cfRule>
  </conditionalFormatting>
  <conditionalFormatting sqref="P42">
    <cfRule type="containsText" dxfId="12824" priority="3261" operator="containsText" text="Done">
      <formula>NOT(ISERROR(SEARCH("Done",W2)))</formula>
    </cfRule>
  </conditionalFormatting>
  <conditionalFormatting sqref="Q42">
    <cfRule type="containsText" dxfId="12823" priority="3262" operator="containsText" text="Done">
      <formula>NOT(ISERROR(SEARCH("Done",W2)))</formula>
    </cfRule>
  </conditionalFormatting>
  <conditionalFormatting sqref="R42">
    <cfRule type="containsText" dxfId="12822" priority="3263" operator="containsText" text="Done">
      <formula>NOT(ISERROR(SEARCH("Done",W2)))</formula>
    </cfRule>
  </conditionalFormatting>
  <conditionalFormatting sqref="P47">
    <cfRule type="containsText" dxfId="12821" priority="3264" operator="containsText" text="Done">
      <formula>NOT(ISERROR(SEARCH("Done",W2)))</formula>
    </cfRule>
  </conditionalFormatting>
  <conditionalFormatting sqref="Q47">
    <cfRule type="containsText" dxfId="12820" priority="3265" operator="containsText" text="Done">
      <formula>NOT(ISERROR(SEARCH("Done",W2)))</formula>
    </cfRule>
  </conditionalFormatting>
  <conditionalFormatting sqref="S42">
    <cfRule type="containsText" dxfId="12819" priority="3266" operator="containsText" text="Done">
      <formula>NOT(ISERROR(SEARCH("Done",W2)))</formula>
    </cfRule>
  </conditionalFormatting>
  <conditionalFormatting sqref="U42">
    <cfRule type="containsText" dxfId="12818" priority="3267" operator="containsText" text="Done">
      <formula>NOT(ISERROR(SEARCH("Done",W2)))</formula>
    </cfRule>
  </conditionalFormatting>
  <conditionalFormatting sqref="T42">
    <cfRule type="containsText" dxfId="12817" priority="3268" operator="containsText" text="Done">
      <formula>NOT(ISERROR(SEARCH("Done",W2)))</formula>
    </cfRule>
  </conditionalFormatting>
  <conditionalFormatting sqref="V42">
    <cfRule type="containsText" dxfId="12816" priority="3269" operator="containsText" text="Done">
      <formula>NOT(ISERROR(SEARCH("Done",W2)))</formula>
    </cfRule>
  </conditionalFormatting>
  <conditionalFormatting sqref="V47">
    <cfRule type="containsText" dxfId="12815" priority="3270" operator="containsText" text="Done">
      <formula>NOT(ISERROR(SEARCH("Done",W2)))</formula>
    </cfRule>
  </conditionalFormatting>
  <conditionalFormatting sqref="S3:S16 S18:S41 S43:S56 O3:O12 O14:O22 O25">
    <cfRule type="containsText" dxfId="12814" priority="26" operator="containsText" text="Pending">
      <formula>NOT(ISERROR(SEARCH("Pending",W2)))</formula>
    </cfRule>
  </conditionalFormatting>
  <conditionalFormatting sqref="S6 O6">
    <cfRule type="containsText" dxfId="12813" priority="3271" operator="containsText" text="Pending">
      <formula>NOT(ISERROR(SEARCH("Pending",W2)))</formula>
    </cfRule>
  </conditionalFormatting>
  <conditionalFormatting sqref="S7 O7">
    <cfRule type="containsText" dxfId="12812" priority="3272" operator="containsText" text="Pending">
      <formula>NOT(ISERROR(SEARCH("Pending",W2)))</formula>
    </cfRule>
  </conditionalFormatting>
  <conditionalFormatting sqref="S9 O9">
    <cfRule type="containsText" dxfId="12811" priority="3273" operator="containsText" text="Pending">
      <formula>NOT(ISERROR(SEARCH("Pending",W2)))</formula>
    </cfRule>
  </conditionalFormatting>
  <conditionalFormatting sqref="P8">
    <cfRule type="containsText" dxfId="12810" priority="3274" operator="containsText" text="Pending">
      <formula>NOT(ISERROR(SEARCH("Pending",W2)))</formula>
    </cfRule>
  </conditionalFormatting>
  <conditionalFormatting sqref="S4 O4">
    <cfRule type="containsText" dxfId="12809" priority="3275" operator="containsText" text="Pending">
      <formula>NOT(ISERROR(SEARCH("Pending",W2)))</formula>
    </cfRule>
  </conditionalFormatting>
  <conditionalFormatting sqref="P4">
    <cfRule type="containsText" dxfId="12808" priority="3276" operator="containsText" text="Pending">
      <formula>NOT(ISERROR(SEARCH("Pending",W2)))</formula>
    </cfRule>
  </conditionalFormatting>
  <conditionalFormatting sqref="S3 O3">
    <cfRule type="containsText" dxfId="12807" priority="3277" operator="containsText" text="Pending">
      <formula>NOT(ISERROR(SEARCH("Pending",W2)))</formula>
    </cfRule>
  </conditionalFormatting>
  <conditionalFormatting sqref="K3 K4 K5 K6 K7 K8 K9 L3 L4 L5 L6 L7 L8 L9 N3 N4 N5 N6 N7 N8 N9">
    <cfRule type="containsText" dxfId="12806" priority="3278" operator="containsText" text="Pending">
      <formula>NOT(ISERROR(SEARCH("Pending",W2)))</formula>
    </cfRule>
  </conditionalFormatting>
  <conditionalFormatting sqref="R18">
    <cfRule type="containsText" dxfId="12805" priority="3279" operator="containsText" text="Pending">
      <formula>NOT(ISERROR(SEARCH("Pending",W2)))</formula>
    </cfRule>
  </conditionalFormatting>
  <conditionalFormatting sqref="S18">
    <cfRule type="containsText" dxfId="12804" priority="3280" operator="containsText" text="Pending">
      <formula>NOT(ISERROR(SEARCH("Pending",W2)))</formula>
    </cfRule>
  </conditionalFormatting>
  <conditionalFormatting sqref="T18">
    <cfRule type="containsText" dxfId="12803" priority="3281" operator="containsText" text="Pending">
      <formula>NOT(ISERROR(SEARCH("Pending",W2)))</formula>
    </cfRule>
  </conditionalFormatting>
  <conditionalFormatting sqref="U18">
    <cfRule type="containsText" dxfId="12802" priority="3282" operator="containsText" text="Pending">
      <formula>NOT(ISERROR(SEARCH("Pending",W2)))</formula>
    </cfRule>
  </conditionalFormatting>
  <conditionalFormatting sqref="V18">
    <cfRule type="containsText" dxfId="12801" priority="3283" operator="containsText" text="Pending">
      <formula>NOT(ISERROR(SEARCH("Pending",W2)))</formula>
    </cfRule>
  </conditionalFormatting>
  <conditionalFormatting sqref="W18">
    <cfRule type="containsText" dxfId="12800" priority="3284" operator="containsText" text="Pending">
      <formula>NOT(ISERROR(SEARCH("Pending",W2)))</formula>
    </cfRule>
  </conditionalFormatting>
  <conditionalFormatting sqref="O25">
    <cfRule type="containsText" dxfId="12799" priority="3285" operator="containsText" text="Pending">
      <formula>NOT(ISERROR(SEARCH("Pending",W2)))</formula>
    </cfRule>
  </conditionalFormatting>
  <conditionalFormatting sqref="N25">
    <cfRule type="containsText" dxfId="12798" priority="3286" operator="containsText" text="Pending">
      <formula>NOT(ISERROR(SEARCH("Pending",W2)))</formula>
    </cfRule>
  </conditionalFormatting>
  <conditionalFormatting sqref="N23">
    <cfRule type="containsText" dxfId="12797" priority="3287" operator="containsText" text="Pending">
      <formula>NOT(ISERROR(SEARCH("Pending",W2)))</formula>
    </cfRule>
  </conditionalFormatting>
  <conditionalFormatting sqref="Q25">
    <cfRule type="containsText" dxfId="12796" priority="3288" operator="containsText" text="Pending">
      <formula>NOT(ISERROR(SEARCH("Pending",W2)))</formula>
    </cfRule>
  </conditionalFormatting>
  <conditionalFormatting sqref="Q25">
    <cfRule type="containsText" dxfId="12795" priority="3289" operator="containsText" text="Pending">
      <formula>NOT(ISERROR(SEARCH("Pending",W2)))</formula>
    </cfRule>
  </conditionalFormatting>
  <conditionalFormatting sqref="L3">
    <cfRule type="containsText" dxfId="12794" priority="3290" operator="containsText" text="Pending">
      <formula>NOT(ISERROR(SEARCH("Pending",W2)))</formula>
    </cfRule>
  </conditionalFormatting>
  <conditionalFormatting sqref="O12">
    <cfRule type="containsText" dxfId="12793" priority="3291" operator="containsText" text="Pending">
      <formula>NOT(ISERROR(SEARCH("Pending",W2)))</formula>
    </cfRule>
  </conditionalFormatting>
  <conditionalFormatting sqref="O12">
    <cfRule type="containsText" dxfId="12792" priority="3292" operator="containsText" text="Pending">
      <formula>NOT(ISERROR(SEARCH("Pending",W2)))</formula>
    </cfRule>
  </conditionalFormatting>
  <conditionalFormatting sqref="N12">
    <cfRule type="containsText" dxfId="12791" priority="3293" operator="containsText" text="Pending">
      <formula>NOT(ISERROR(SEARCH("Pending",W2)))</formula>
    </cfRule>
  </conditionalFormatting>
  <conditionalFormatting sqref="O14">
    <cfRule type="containsText" dxfId="12790" priority="3294" operator="containsText" text="Pending">
      <formula>NOT(ISERROR(SEARCH("Pending",W2)))</formula>
    </cfRule>
  </conditionalFormatting>
  <conditionalFormatting sqref="O14">
    <cfRule type="containsText" dxfId="12789" priority="3295" operator="containsText" text="Pending">
      <formula>NOT(ISERROR(SEARCH("Pending",W2)))</formula>
    </cfRule>
  </conditionalFormatting>
  <conditionalFormatting sqref="N14">
    <cfRule type="containsText" dxfId="12788" priority="3296" operator="containsText" text="Pending">
      <formula>NOT(ISERROR(SEARCH("Pending",W2)))</formula>
    </cfRule>
  </conditionalFormatting>
  <conditionalFormatting sqref="O15">
    <cfRule type="containsText" dxfId="12787" priority="3297" operator="containsText" text="Pending">
      <formula>NOT(ISERROR(SEARCH("Pending",W2)))</formula>
    </cfRule>
  </conditionalFormatting>
  <conditionalFormatting sqref="O15">
    <cfRule type="containsText" dxfId="12786" priority="3298" operator="containsText" text="Pending">
      <formula>NOT(ISERROR(SEARCH("Pending",W2)))</formula>
    </cfRule>
  </conditionalFormatting>
  <conditionalFormatting sqref="N15">
    <cfRule type="containsText" dxfId="12785" priority="3299" operator="containsText" text="Pending">
      <formula>NOT(ISERROR(SEARCH("Pending",W2)))</formula>
    </cfRule>
  </conditionalFormatting>
  <conditionalFormatting sqref="O18">
    <cfRule type="containsText" dxfId="12784" priority="3300" operator="containsText" text="Pending">
      <formula>NOT(ISERROR(SEARCH("Pending",W2)))</formula>
    </cfRule>
  </conditionalFormatting>
  <conditionalFormatting sqref="O18">
    <cfRule type="containsText" dxfId="12783" priority="3301" operator="containsText" text="Pending">
      <formula>NOT(ISERROR(SEARCH("Pending",W2)))</formula>
    </cfRule>
  </conditionalFormatting>
  <conditionalFormatting sqref="N18">
    <cfRule type="containsText" dxfId="12782" priority="3302" operator="containsText" text="Pending">
      <formula>NOT(ISERROR(SEARCH("Pending",W2)))</formula>
    </cfRule>
  </conditionalFormatting>
  <conditionalFormatting sqref="S12">
    <cfRule type="containsText" dxfId="12781" priority="3303" operator="containsText" text="Pending">
      <formula>NOT(ISERROR(SEARCH("Pending",W2)))</formula>
    </cfRule>
  </conditionalFormatting>
  <conditionalFormatting sqref="S12">
    <cfRule type="containsText" dxfId="12780" priority="3304" operator="containsText" text="Pending">
      <formula>NOT(ISERROR(SEARCH("Pending",W2)))</formula>
    </cfRule>
  </conditionalFormatting>
  <conditionalFormatting sqref="S14">
    <cfRule type="containsText" dxfId="12779" priority="3305" operator="containsText" text="Pending">
      <formula>NOT(ISERROR(SEARCH("Pending",W2)))</formula>
    </cfRule>
  </conditionalFormatting>
  <conditionalFormatting sqref="S14">
    <cfRule type="containsText" dxfId="12778" priority="3306" operator="containsText" text="Pending">
      <formula>NOT(ISERROR(SEARCH("Pending",W2)))</formula>
    </cfRule>
  </conditionalFormatting>
  <conditionalFormatting sqref="S15">
    <cfRule type="containsText" dxfId="12777" priority="3307" operator="containsText" text="Pending">
      <formula>NOT(ISERROR(SEARCH("Pending",W2)))</formula>
    </cfRule>
  </conditionalFormatting>
  <conditionalFormatting sqref="S15">
    <cfRule type="containsText" dxfId="12776" priority="3308" operator="containsText" text="Pending">
      <formula>NOT(ISERROR(SEARCH("Pending",W2)))</formula>
    </cfRule>
  </conditionalFormatting>
  <conditionalFormatting sqref="K10 L10 K11 L11">
    <cfRule type="containsText" dxfId="12775" priority="3309" operator="containsText" text="Pending">
      <formula>NOT(ISERROR(SEARCH("Pending",W2)))</formula>
    </cfRule>
  </conditionalFormatting>
  <conditionalFormatting sqref="K13 L13">
    <cfRule type="containsText" dxfId="12774" priority="3310" operator="containsText" text="Pending">
      <formula>NOT(ISERROR(SEARCH("Pending",W2)))</formula>
    </cfRule>
  </conditionalFormatting>
  <conditionalFormatting sqref="K17 L17">
    <cfRule type="containsText" dxfId="12773" priority="3311" operator="containsText" text="Pending">
      <formula>NOT(ISERROR(SEARCH("Pending",W2)))</formula>
    </cfRule>
  </conditionalFormatting>
  <conditionalFormatting sqref="K19 L19">
    <cfRule type="containsText" dxfId="12772" priority="3312" operator="containsText" text="Pending">
      <formula>NOT(ISERROR(SEARCH("Pending",W2)))</formula>
    </cfRule>
  </conditionalFormatting>
  <conditionalFormatting sqref="N26 N27 N28 N29 N30 N31 N32 N33 N34 N35 N36 N37 N38 N39 N40 N41 N42 N43 N44 N45 N46 N47 N48 N49 N50 N51 N52 N53 N54 N55 N56 O26 O27 O28 O29 O30 O31 O32 O33 O34 O35 O36 O37 O38 O39 O40 O41 O42 O43 O44 O45 O46 O47 O48 O49 O50 O51 O52 O53 O54 O55 O56 P26 P27 P28 P29 P30 P31 P32 P33 P34 P35 P36 P37 P38 P39 P40 P41 P42 P43 P44 P45 P46 P47 P48 P49 P50 P51 P52 P53 P54 P55 P56 Q26 Q27 Q28 Q29 Q30 Q31 Q32 Q33 Q34 Q35 Q36 Q37 Q38 Q39 Q40 Q41 Q42 Q43 Q44 Q45 Q46 Q47 Q48 Q49 Q50 Q51 Q52 Q53 Q54 Q55 Q56">
    <cfRule type="containsText" dxfId="12771" priority="3313" operator="containsText" text="Pending">
      <formula>NOT(ISERROR(SEARCH("Pending",W2)))</formula>
    </cfRule>
  </conditionalFormatting>
  <conditionalFormatting sqref="O40">
    <cfRule type="containsText" dxfId="12770" priority="3314" operator="containsText" text="Pending">
      <formula>NOT(ISERROR(SEARCH("Pending",W2)))</formula>
    </cfRule>
  </conditionalFormatting>
  <conditionalFormatting sqref="P40">
    <cfRule type="containsText" dxfId="12769" priority="3315" operator="containsText" text="Pending">
      <formula>NOT(ISERROR(SEARCH("Pending",W2)))</formula>
    </cfRule>
  </conditionalFormatting>
  <conditionalFormatting sqref="Q40">
    <cfRule type="containsText" dxfId="12768" priority="3316" operator="containsText" text="Pending">
      <formula>NOT(ISERROR(SEARCH("Pending",W2)))</formula>
    </cfRule>
  </conditionalFormatting>
  <conditionalFormatting sqref="O34">
    <cfRule type="containsText" dxfId="12767" priority="3317" operator="containsText" text="Pending">
      <formula>NOT(ISERROR(SEARCH("Pending",W2)))</formula>
    </cfRule>
  </conditionalFormatting>
  <conditionalFormatting sqref="O23">
    <cfRule type="containsText" dxfId="12766" priority="3318" operator="containsText" text="Pending">
      <formula>NOT(ISERROR(SEARCH("Pending",W2)))</formula>
    </cfRule>
  </conditionalFormatting>
  <conditionalFormatting sqref="N29">
    <cfRule type="containsText" dxfId="12765" priority="3319" operator="containsText" text="Pending">
      <formula>NOT(ISERROR(SEARCH("Pending",W2)))</formula>
    </cfRule>
  </conditionalFormatting>
  <conditionalFormatting sqref="O29">
    <cfRule type="containsText" dxfId="12764" priority="3320" operator="containsText" text="Pending">
      <formula>NOT(ISERROR(SEARCH("Pending",W2)))</formula>
    </cfRule>
  </conditionalFormatting>
  <conditionalFormatting sqref="O29">
    <cfRule type="containsText" dxfId="12763" priority="3321" operator="containsText" text="Pending">
      <formula>NOT(ISERROR(SEARCH("Pending",W2)))</formula>
    </cfRule>
  </conditionalFormatting>
  <conditionalFormatting sqref="N24">
    <cfRule type="containsText" dxfId="12762" priority="3322" operator="containsText" text="Pending">
      <formula>NOT(ISERROR(SEARCH("Pending",W2)))</formula>
    </cfRule>
  </conditionalFormatting>
  <conditionalFormatting sqref="O24">
    <cfRule type="containsText" dxfId="12761" priority="3323" operator="containsText" text="Pending">
      <formula>NOT(ISERROR(SEARCH("Pending",W2)))</formula>
    </cfRule>
  </conditionalFormatting>
  <conditionalFormatting sqref="O28">
    <cfRule type="containsText" dxfId="12760" priority="3324" operator="containsText" text="Pending">
      <formula>NOT(ISERROR(SEARCH("Pending",W2)))</formula>
    </cfRule>
  </conditionalFormatting>
  <conditionalFormatting sqref="P23">
    <cfRule type="containsText" dxfId="12759" priority="3325" operator="containsText" text="Pending">
      <formula>NOT(ISERROR(SEARCH("Pending",W2)))</formula>
    </cfRule>
  </conditionalFormatting>
  <conditionalFormatting sqref="P24">
    <cfRule type="containsText" dxfId="12758" priority="3326" operator="containsText" text="Pending">
      <formula>NOT(ISERROR(SEARCH("Pending",W2)))</formula>
    </cfRule>
  </conditionalFormatting>
  <conditionalFormatting sqref="P25">
    <cfRule type="containsText" dxfId="12757" priority="3327" operator="containsText" text="Pending">
      <formula>NOT(ISERROR(SEARCH("Pending",W2)))</formula>
    </cfRule>
  </conditionalFormatting>
  <conditionalFormatting sqref="P28">
    <cfRule type="containsText" dxfId="12756" priority="3328" operator="containsText" text="Pending">
      <formula>NOT(ISERROR(SEARCH("Pending",W2)))</formula>
    </cfRule>
  </conditionalFormatting>
  <conditionalFormatting sqref="P29">
    <cfRule type="containsText" dxfId="12755" priority="3329" operator="containsText" text="Pending">
      <formula>NOT(ISERROR(SEARCH("Pending",W2)))</formula>
    </cfRule>
  </conditionalFormatting>
  <conditionalFormatting sqref="Q23">
    <cfRule type="containsText" dxfId="12754" priority="3330" operator="containsText" text="Pending">
      <formula>NOT(ISERROR(SEARCH("Pending",W2)))</formula>
    </cfRule>
  </conditionalFormatting>
  <conditionalFormatting sqref="Q23">
    <cfRule type="containsText" dxfId="12753" priority="3331" operator="containsText" text="Pending">
      <formula>NOT(ISERROR(SEARCH("Pending",W2)))</formula>
    </cfRule>
  </conditionalFormatting>
  <conditionalFormatting sqref="Q24">
    <cfRule type="containsText" dxfId="12752" priority="3332" operator="containsText" text="Pending">
      <formula>NOT(ISERROR(SEARCH("Pending",W2)))</formula>
    </cfRule>
  </conditionalFormatting>
  <conditionalFormatting sqref="Q24">
    <cfRule type="containsText" dxfId="12751" priority="3333" operator="containsText" text="Pending">
      <formula>NOT(ISERROR(SEARCH("Pending",W2)))</formula>
    </cfRule>
  </conditionalFormatting>
  <conditionalFormatting sqref="N43">
    <cfRule type="containsText" dxfId="12750" priority="3334" operator="containsText" text="Pending">
      <formula>NOT(ISERROR(SEARCH("Pending",W2)))</formula>
    </cfRule>
  </conditionalFormatting>
  <conditionalFormatting sqref="S54">
    <cfRule type="containsText" dxfId="12749" priority="3335" operator="containsText" text="Pending">
      <formula>NOT(ISERROR(SEARCH("Pending",W2)))</formula>
    </cfRule>
  </conditionalFormatting>
  <conditionalFormatting sqref="S11 O11">
    <cfRule type="containsText" dxfId="12748" priority="3336" operator="containsText" text="Pending">
      <formula>NOT(ISERROR(SEARCH("Pending",W2)))</formula>
    </cfRule>
  </conditionalFormatting>
  <conditionalFormatting sqref="S13 O13">
    <cfRule type="containsText" dxfId="12747" priority="3337" operator="containsText" text="Pending">
      <formula>NOT(ISERROR(SEARCH("Pending",W2)))</formula>
    </cfRule>
  </conditionalFormatting>
  <conditionalFormatting sqref="S19 O19">
    <cfRule type="containsText" dxfId="12746" priority="3338" operator="containsText" text="Pending">
      <formula>NOT(ISERROR(SEARCH("Pending",W2)))</formula>
    </cfRule>
  </conditionalFormatting>
  <conditionalFormatting sqref="T20 P20">
    <cfRule type="containsText" dxfId="12745" priority="3339" operator="containsText" text="Pending">
      <formula>NOT(ISERROR(SEARCH("Pending",W2)))</formula>
    </cfRule>
  </conditionalFormatting>
  <conditionalFormatting sqref="T21 P21">
    <cfRule type="containsText" dxfId="12744" priority="3340" operator="containsText" text="Pending">
      <formula>NOT(ISERROR(SEARCH("Pending",W2)))</formula>
    </cfRule>
  </conditionalFormatting>
  <conditionalFormatting sqref="P38">
    <cfRule type="containsText" dxfId="12743" priority="3341" operator="containsText" text="Pending">
      <formula>NOT(ISERROR(SEARCH("Pending",W2)))</formula>
    </cfRule>
  </conditionalFormatting>
  <conditionalFormatting sqref="Q38">
    <cfRule type="containsText" dxfId="12742" priority="3342" operator="containsText" text="Pending">
      <formula>NOT(ISERROR(SEARCH("Pending",W2)))</formula>
    </cfRule>
  </conditionalFormatting>
  <conditionalFormatting sqref="N44 O44">
    <cfRule type="containsText" dxfId="12741" priority="3343" operator="containsText" text="Pending">
      <formula>NOT(ISERROR(SEARCH("Pending",W2)))</formula>
    </cfRule>
  </conditionalFormatting>
  <conditionalFormatting sqref="N44">
    <cfRule type="containsText" dxfId="12740" priority="3344" operator="containsText" text="Pending">
      <formula>NOT(ISERROR(SEARCH("Pending",W2)))</formula>
    </cfRule>
  </conditionalFormatting>
  <conditionalFormatting sqref="O44">
    <cfRule type="containsText" dxfId="12739" priority="3345" operator="containsText" text="Pending">
      <formula>NOT(ISERROR(SEARCH("Pending",W2)))</formula>
    </cfRule>
  </conditionalFormatting>
  <conditionalFormatting sqref="O47">
    <cfRule type="containsText" dxfId="12738" priority="3346" operator="containsText" text="Pending">
      <formula>NOT(ISERROR(SEARCH("Pending",W2)))</formula>
    </cfRule>
  </conditionalFormatting>
  <conditionalFormatting sqref="S41">
    <cfRule type="containsText" dxfId="12737" priority="3347" operator="containsText" text="Pending">
      <formula>NOT(ISERROR(SEARCH("Pending",W2)))</formula>
    </cfRule>
  </conditionalFormatting>
  <conditionalFormatting sqref="S47">
    <cfRule type="containsText" dxfId="12736" priority="3348" operator="containsText" text="Pending">
      <formula>NOT(ISERROR(SEARCH("Pending",W2)))</formula>
    </cfRule>
  </conditionalFormatting>
  <conditionalFormatting sqref="S49">
    <cfRule type="containsText" dxfId="12735" priority="3349" operator="containsText" text="Pending">
      <formula>NOT(ISERROR(SEARCH("Pending",W2)))</formula>
    </cfRule>
  </conditionalFormatting>
  <conditionalFormatting sqref="S49">
    <cfRule type="containsText" dxfId="12734" priority="3350" operator="containsText" text="Pending">
      <formula>NOT(ISERROR(SEARCH("Pending",W2)))</formula>
    </cfRule>
  </conditionalFormatting>
  <conditionalFormatting sqref="Q30">
    <cfRule type="containsText" dxfId="12733" priority="3351" operator="containsText" text="Pending">
      <formula>NOT(ISERROR(SEARCH("Pending",W2)))</formula>
    </cfRule>
  </conditionalFormatting>
  <conditionalFormatting sqref="S25">
    <cfRule type="containsText" dxfId="12732" priority="3352" operator="containsText" text="Pending">
      <formula>NOT(ISERROR(SEARCH("Pending",W2)))</formula>
    </cfRule>
  </conditionalFormatting>
  <conditionalFormatting sqref="S26">
    <cfRule type="containsText" dxfId="12731" priority="3353" operator="containsText" text="Pending">
      <formula>NOT(ISERROR(SEARCH("Pending",W2)))</formula>
    </cfRule>
  </conditionalFormatting>
  <conditionalFormatting sqref="S28">
    <cfRule type="containsText" dxfId="12730" priority="3354" operator="containsText" text="Pending">
      <formula>NOT(ISERROR(SEARCH("Pending",W2)))</formula>
    </cfRule>
  </conditionalFormatting>
  <conditionalFormatting sqref="S30">
    <cfRule type="containsText" dxfId="12729" priority="3355" operator="containsText" text="Pending">
      <formula>NOT(ISERROR(SEARCH("Pending",W2)))</formula>
    </cfRule>
  </conditionalFormatting>
  <conditionalFormatting sqref="S31">
    <cfRule type="containsText" dxfId="12728" priority="3356" operator="containsText" text="Pending">
      <formula>NOT(ISERROR(SEARCH("Pending",W2)))</formula>
    </cfRule>
  </conditionalFormatting>
  <conditionalFormatting sqref="P48">
    <cfRule type="containsText" dxfId="12727" priority="3357" operator="containsText" text="Pending">
      <formula>NOT(ISERROR(SEARCH("Pending",W2)))</formula>
    </cfRule>
  </conditionalFormatting>
  <conditionalFormatting sqref="R52">
    <cfRule type="containsText" dxfId="12726" priority="3358" operator="containsText" text="Pending">
      <formula>NOT(ISERROR(SEARCH("Pending",W2)))</formula>
    </cfRule>
  </conditionalFormatting>
  <conditionalFormatting sqref="H27 I27">
    <cfRule type="containsText" dxfId="12725" priority="3359" operator="containsText" text="Pending">
      <formula>NOT(ISERROR(SEARCH("Pending",W2)))</formula>
    </cfRule>
  </conditionalFormatting>
  <conditionalFormatting sqref="I27">
    <cfRule type="containsText" dxfId="12724" priority="3360" operator="containsText" text="Pending">
      <formula>NOT(ISERROR(SEARCH("Pending",W2)))</formula>
    </cfRule>
  </conditionalFormatting>
  <conditionalFormatting sqref="N27 O27">
    <cfRule type="containsText" dxfId="12723" priority="3361" operator="containsText" text="Pending">
      <formula>NOT(ISERROR(SEARCH("Pending",W2)))</formula>
    </cfRule>
  </conditionalFormatting>
  <conditionalFormatting sqref="N37 O37 P37 Q37">
    <cfRule type="containsText" dxfId="12722" priority="3362" operator="containsText" text="Pending">
      <formula>NOT(ISERROR(SEARCH("Pending",W2)))</formula>
    </cfRule>
  </conditionalFormatting>
  <conditionalFormatting sqref="P43">
    <cfRule type="containsText" dxfId="12721" priority="3363" operator="containsText" text="Pending">
      <formula>NOT(ISERROR(SEARCH("Pending",W2)))</formula>
    </cfRule>
  </conditionalFormatting>
  <conditionalFormatting sqref="Q43">
    <cfRule type="containsText" dxfId="12720" priority="3364" operator="containsText" text="Pending">
      <formula>NOT(ISERROR(SEARCH("Pending",W2)))</formula>
    </cfRule>
  </conditionalFormatting>
  <conditionalFormatting sqref="P44">
    <cfRule type="containsText" dxfId="12719" priority="3365" operator="containsText" text="Pending">
      <formula>NOT(ISERROR(SEARCH("Pending",W2)))</formula>
    </cfRule>
  </conditionalFormatting>
  <conditionalFormatting sqref="Q44">
    <cfRule type="containsText" dxfId="12718" priority="3366" operator="containsText" text="Pending">
      <formula>NOT(ISERROR(SEARCH("Pending",W2)))</formula>
    </cfRule>
  </conditionalFormatting>
  <conditionalFormatting sqref="O42">
    <cfRule type="containsText" dxfId="12717" priority="3367" operator="containsText" text="Pending">
      <formula>NOT(ISERROR(SEARCH("Pending",W2)))</formula>
    </cfRule>
  </conditionalFormatting>
  <conditionalFormatting sqref="P42">
    <cfRule type="containsText" dxfId="12716" priority="3368" operator="containsText" text="Pending">
      <formula>NOT(ISERROR(SEARCH("Pending",W2)))</formula>
    </cfRule>
  </conditionalFormatting>
  <conditionalFormatting sqref="Q42">
    <cfRule type="containsText" dxfId="12715" priority="3369" operator="containsText" text="Pending">
      <formula>NOT(ISERROR(SEARCH("Pending",W2)))</formula>
    </cfRule>
  </conditionalFormatting>
  <conditionalFormatting sqref="R42">
    <cfRule type="containsText" dxfId="12714" priority="3370" operator="containsText" text="Pending">
      <formula>NOT(ISERROR(SEARCH("Pending",W2)))</formula>
    </cfRule>
  </conditionalFormatting>
  <conditionalFormatting sqref="P47">
    <cfRule type="containsText" dxfId="12713" priority="3371" operator="containsText" text="Pending">
      <formula>NOT(ISERROR(SEARCH("Pending",W2)))</formula>
    </cfRule>
  </conditionalFormatting>
  <conditionalFormatting sqref="Q47">
    <cfRule type="containsText" dxfId="12712" priority="3372" operator="containsText" text="Pending">
      <formula>NOT(ISERROR(SEARCH("Pending",W2)))</formula>
    </cfRule>
  </conditionalFormatting>
  <conditionalFormatting sqref="S42">
    <cfRule type="containsText" dxfId="12711" priority="3373" operator="containsText" text="Pending">
      <formula>NOT(ISERROR(SEARCH("Pending",W2)))</formula>
    </cfRule>
  </conditionalFormatting>
  <conditionalFormatting sqref="U42">
    <cfRule type="containsText" dxfId="12710" priority="3374" operator="containsText" text="Pending">
      <formula>NOT(ISERROR(SEARCH("Pending",W2)))</formula>
    </cfRule>
  </conditionalFormatting>
  <conditionalFormatting sqref="T42">
    <cfRule type="containsText" dxfId="12709" priority="3375" operator="containsText" text="Pending">
      <formula>NOT(ISERROR(SEARCH("Pending",W2)))</formula>
    </cfRule>
  </conditionalFormatting>
  <conditionalFormatting sqref="V42">
    <cfRule type="containsText" dxfId="12708" priority="3376" operator="containsText" text="Pending">
      <formula>NOT(ISERROR(SEARCH("Pending",W2)))</formula>
    </cfRule>
  </conditionalFormatting>
  <conditionalFormatting sqref="V47">
    <cfRule type="containsText" dxfId="12707" priority="3377" operator="containsText" text="Pending">
      <formula>NOT(ISERROR(SEARCH("Pending",W2)))</formula>
    </cfRule>
  </conditionalFormatting>
  <conditionalFormatting sqref="S3:S16 S18:S41 S43:S56 O3:O12 O14:O22 O25">
    <cfRule type="containsText" dxfId="12706" priority="25" operator="containsText" text="NA">
      <formula>NOT(ISERROR(SEARCH("NA",W2)))</formula>
    </cfRule>
  </conditionalFormatting>
  <conditionalFormatting sqref="S6 O6">
    <cfRule type="containsText" dxfId="12705" priority="3378" operator="containsText" text="NA">
      <formula>NOT(ISERROR(SEARCH("NA",W2)))</formula>
    </cfRule>
  </conditionalFormatting>
  <conditionalFormatting sqref="S7 O7">
    <cfRule type="containsText" dxfId="12704" priority="3379" operator="containsText" text="NA">
      <formula>NOT(ISERROR(SEARCH("NA",W2)))</formula>
    </cfRule>
  </conditionalFormatting>
  <conditionalFormatting sqref="S9 O9">
    <cfRule type="containsText" dxfId="12703" priority="3380" operator="containsText" text="NA">
      <formula>NOT(ISERROR(SEARCH("NA",W2)))</formula>
    </cfRule>
  </conditionalFormatting>
  <conditionalFormatting sqref="P8">
    <cfRule type="containsText" dxfId="12702" priority="3381" operator="containsText" text="NA">
      <formula>NOT(ISERROR(SEARCH("NA",W2)))</formula>
    </cfRule>
  </conditionalFormatting>
  <conditionalFormatting sqref="S4 O4">
    <cfRule type="containsText" dxfId="12701" priority="3382" operator="containsText" text="NA">
      <formula>NOT(ISERROR(SEARCH("NA",W2)))</formula>
    </cfRule>
  </conditionalFormatting>
  <conditionalFormatting sqref="P4">
    <cfRule type="containsText" dxfId="12700" priority="3383" operator="containsText" text="NA">
      <formula>NOT(ISERROR(SEARCH("NA",W2)))</formula>
    </cfRule>
  </conditionalFormatting>
  <conditionalFormatting sqref="S3 O3">
    <cfRule type="containsText" dxfId="12699" priority="3384" operator="containsText" text="NA">
      <formula>NOT(ISERROR(SEARCH("NA",W2)))</formula>
    </cfRule>
  </conditionalFormatting>
  <conditionalFormatting sqref="K3 K4 K5 K6 K7 K8 K9 L3 L4 L5 L6 L7 L8 L9 N3 N4 N5 N6 N7 N8 N9">
    <cfRule type="containsText" dxfId="12698" priority="3385" operator="containsText" text="NA">
      <formula>NOT(ISERROR(SEARCH("NA",W2)))</formula>
    </cfRule>
  </conditionalFormatting>
  <conditionalFormatting sqref="R18">
    <cfRule type="containsText" dxfId="12697" priority="3386" operator="containsText" text="NA">
      <formula>NOT(ISERROR(SEARCH("NA",W2)))</formula>
    </cfRule>
  </conditionalFormatting>
  <conditionalFormatting sqref="S18">
    <cfRule type="containsText" dxfId="12696" priority="3387" operator="containsText" text="NA">
      <formula>NOT(ISERROR(SEARCH("NA",W2)))</formula>
    </cfRule>
  </conditionalFormatting>
  <conditionalFormatting sqref="T18">
    <cfRule type="containsText" dxfId="12695" priority="3388" operator="containsText" text="NA">
      <formula>NOT(ISERROR(SEARCH("NA",W2)))</formula>
    </cfRule>
  </conditionalFormatting>
  <conditionalFormatting sqref="U18">
    <cfRule type="containsText" dxfId="12694" priority="3389" operator="containsText" text="NA">
      <formula>NOT(ISERROR(SEARCH("NA",W2)))</formula>
    </cfRule>
  </conditionalFormatting>
  <conditionalFormatting sqref="V18">
    <cfRule type="containsText" dxfId="12693" priority="3390" operator="containsText" text="NA">
      <formula>NOT(ISERROR(SEARCH("NA",W2)))</formula>
    </cfRule>
  </conditionalFormatting>
  <conditionalFormatting sqref="W18">
    <cfRule type="containsText" dxfId="12692" priority="3391" operator="containsText" text="NA">
      <formula>NOT(ISERROR(SEARCH("NA",W2)))</formula>
    </cfRule>
  </conditionalFormatting>
  <conditionalFormatting sqref="O25">
    <cfRule type="containsText" dxfId="12691" priority="3392" operator="containsText" text="NA">
      <formula>NOT(ISERROR(SEARCH("NA",W2)))</formula>
    </cfRule>
  </conditionalFormatting>
  <conditionalFormatting sqref="N25">
    <cfRule type="containsText" dxfId="12690" priority="3393" operator="containsText" text="NA">
      <formula>NOT(ISERROR(SEARCH("NA",W2)))</formula>
    </cfRule>
  </conditionalFormatting>
  <conditionalFormatting sqref="N23">
    <cfRule type="containsText" dxfId="12689" priority="3394" operator="containsText" text="NA">
      <formula>NOT(ISERROR(SEARCH("NA",W2)))</formula>
    </cfRule>
  </conditionalFormatting>
  <conditionalFormatting sqref="Q25">
    <cfRule type="containsText" dxfId="12688" priority="3395" operator="containsText" text="NA">
      <formula>NOT(ISERROR(SEARCH("NA",W2)))</formula>
    </cfRule>
  </conditionalFormatting>
  <conditionalFormatting sqref="Q25">
    <cfRule type="containsText" dxfId="12687" priority="3396" operator="containsText" text="NA">
      <formula>NOT(ISERROR(SEARCH("NA",W2)))</formula>
    </cfRule>
  </conditionalFormatting>
  <conditionalFormatting sqref="L3">
    <cfRule type="containsText" dxfId="12686" priority="3397" operator="containsText" text="NA">
      <formula>NOT(ISERROR(SEARCH("NA",W2)))</formula>
    </cfRule>
  </conditionalFormatting>
  <conditionalFormatting sqref="O12">
    <cfRule type="containsText" dxfId="12685" priority="3398" operator="containsText" text="NA">
      <formula>NOT(ISERROR(SEARCH("NA",W2)))</formula>
    </cfRule>
  </conditionalFormatting>
  <conditionalFormatting sqref="O12">
    <cfRule type="containsText" dxfId="12684" priority="3399" operator="containsText" text="NA">
      <formula>NOT(ISERROR(SEARCH("NA",W2)))</formula>
    </cfRule>
  </conditionalFormatting>
  <conditionalFormatting sqref="N12">
    <cfRule type="containsText" dxfId="12683" priority="3400" operator="containsText" text="NA">
      <formula>NOT(ISERROR(SEARCH("NA",W2)))</formula>
    </cfRule>
  </conditionalFormatting>
  <conditionalFormatting sqref="O14">
    <cfRule type="containsText" dxfId="12682" priority="3401" operator="containsText" text="NA">
      <formula>NOT(ISERROR(SEARCH("NA",W2)))</formula>
    </cfRule>
  </conditionalFormatting>
  <conditionalFormatting sqref="O14">
    <cfRule type="containsText" dxfId="12681" priority="3402" operator="containsText" text="NA">
      <formula>NOT(ISERROR(SEARCH("NA",W2)))</formula>
    </cfRule>
  </conditionalFormatting>
  <conditionalFormatting sqref="N14">
    <cfRule type="containsText" dxfId="12680" priority="3403" operator="containsText" text="NA">
      <formula>NOT(ISERROR(SEARCH("NA",W2)))</formula>
    </cfRule>
  </conditionalFormatting>
  <conditionalFormatting sqref="O15">
    <cfRule type="containsText" dxfId="12679" priority="3404" operator="containsText" text="NA">
      <formula>NOT(ISERROR(SEARCH("NA",W2)))</formula>
    </cfRule>
  </conditionalFormatting>
  <conditionalFormatting sqref="O15">
    <cfRule type="containsText" dxfId="12678" priority="3405" operator="containsText" text="NA">
      <formula>NOT(ISERROR(SEARCH("NA",W2)))</formula>
    </cfRule>
  </conditionalFormatting>
  <conditionalFormatting sqref="N15">
    <cfRule type="containsText" dxfId="12677" priority="3406" operator="containsText" text="NA">
      <formula>NOT(ISERROR(SEARCH("NA",W2)))</formula>
    </cfRule>
  </conditionalFormatting>
  <conditionalFormatting sqref="O18">
    <cfRule type="containsText" dxfId="12676" priority="3407" operator="containsText" text="NA">
      <formula>NOT(ISERROR(SEARCH("NA",W2)))</formula>
    </cfRule>
  </conditionalFormatting>
  <conditionalFormatting sqref="O18">
    <cfRule type="containsText" dxfId="12675" priority="3408" operator="containsText" text="NA">
      <formula>NOT(ISERROR(SEARCH("NA",W2)))</formula>
    </cfRule>
  </conditionalFormatting>
  <conditionalFormatting sqref="N18">
    <cfRule type="containsText" dxfId="12674" priority="3409" operator="containsText" text="NA">
      <formula>NOT(ISERROR(SEARCH("NA",W2)))</formula>
    </cfRule>
  </conditionalFormatting>
  <conditionalFormatting sqref="S12">
    <cfRule type="containsText" dxfId="12673" priority="3410" operator="containsText" text="NA">
      <formula>NOT(ISERROR(SEARCH("NA",W2)))</formula>
    </cfRule>
  </conditionalFormatting>
  <conditionalFormatting sqref="S12">
    <cfRule type="containsText" dxfId="12672" priority="3411" operator="containsText" text="NA">
      <formula>NOT(ISERROR(SEARCH("NA",W2)))</formula>
    </cfRule>
  </conditionalFormatting>
  <conditionalFormatting sqref="S14">
    <cfRule type="containsText" dxfId="12671" priority="3412" operator="containsText" text="NA">
      <formula>NOT(ISERROR(SEARCH("NA",W2)))</formula>
    </cfRule>
  </conditionalFormatting>
  <conditionalFormatting sqref="S14">
    <cfRule type="containsText" dxfId="12670" priority="3413" operator="containsText" text="NA">
      <formula>NOT(ISERROR(SEARCH("NA",W2)))</formula>
    </cfRule>
  </conditionalFormatting>
  <conditionalFormatting sqref="S15">
    <cfRule type="containsText" dxfId="12669" priority="3414" operator="containsText" text="NA">
      <formula>NOT(ISERROR(SEARCH("NA",W2)))</formula>
    </cfRule>
  </conditionalFormatting>
  <conditionalFormatting sqref="S15">
    <cfRule type="containsText" dxfId="12668" priority="3415" operator="containsText" text="NA">
      <formula>NOT(ISERROR(SEARCH("NA",W2)))</formula>
    </cfRule>
  </conditionalFormatting>
  <conditionalFormatting sqref="K10 L10 K11 L11">
    <cfRule type="containsText" dxfId="12667" priority="3416" operator="containsText" text="NA">
      <formula>NOT(ISERROR(SEARCH("NA",W2)))</formula>
    </cfRule>
  </conditionalFormatting>
  <conditionalFormatting sqref="K13 L13">
    <cfRule type="containsText" dxfId="12666" priority="3417" operator="containsText" text="NA">
      <formula>NOT(ISERROR(SEARCH("NA",W2)))</formula>
    </cfRule>
  </conditionalFormatting>
  <conditionalFormatting sqref="K17 L17">
    <cfRule type="containsText" dxfId="12665" priority="3418" operator="containsText" text="NA">
      <formula>NOT(ISERROR(SEARCH("NA",W2)))</formula>
    </cfRule>
  </conditionalFormatting>
  <conditionalFormatting sqref="K19 L19">
    <cfRule type="containsText" dxfId="12664" priority="3419" operator="containsText" text="NA">
      <formula>NOT(ISERROR(SEARCH("NA",W2)))</formula>
    </cfRule>
  </conditionalFormatting>
  <conditionalFormatting sqref="N26 N27 N28 N29 N30 N31 N32 N33 N34 N35 N36 N37 N38 N39 N40 N41 N42 N43 N44 N45 N46 N47 N48 N49 N50 N51 N52 N53 N54 N55 N56 O26 O27 O28 O29 O30 O31 O32 O33 O34 O35 O36 O37 O38 O39 O40 O41 O42 O43 O44 O45 O46 O47 O48 O49 O50 O51 O52 O53 O54 O55 O56 P26 P27 P28 P29 P30 P31 P32 P33 P34 P35 P36 P37 P38 P39 P40 P41 P42 P43 P44 P45 P46 P47 P48 P49 P50 P51 P52 P53 P54 P55 P56 Q26 Q27 Q28 Q29 Q30 Q31 Q32 Q33 Q34 Q35 Q36 Q37 Q38 Q39 Q40 Q41 Q42 Q43 Q44 Q45 Q46 Q47 Q48 Q49 Q50 Q51 Q52 Q53 Q54 Q55 Q56">
    <cfRule type="containsText" dxfId="12663" priority="3420" operator="containsText" text="NA">
      <formula>NOT(ISERROR(SEARCH("NA",W2)))</formula>
    </cfRule>
  </conditionalFormatting>
  <conditionalFormatting sqref="O40">
    <cfRule type="containsText" dxfId="12662" priority="3421" operator="containsText" text="NA">
      <formula>NOT(ISERROR(SEARCH("NA",W2)))</formula>
    </cfRule>
  </conditionalFormatting>
  <conditionalFormatting sqref="P40">
    <cfRule type="containsText" dxfId="12661" priority="3422" operator="containsText" text="NA">
      <formula>NOT(ISERROR(SEARCH("NA",W2)))</formula>
    </cfRule>
  </conditionalFormatting>
  <conditionalFormatting sqref="Q40">
    <cfRule type="containsText" dxfId="12660" priority="3423" operator="containsText" text="NA">
      <formula>NOT(ISERROR(SEARCH("NA",W2)))</formula>
    </cfRule>
  </conditionalFormatting>
  <conditionalFormatting sqref="O34">
    <cfRule type="containsText" dxfId="12659" priority="3424" operator="containsText" text="NA">
      <formula>NOT(ISERROR(SEARCH("NA",W2)))</formula>
    </cfRule>
  </conditionalFormatting>
  <conditionalFormatting sqref="O23">
    <cfRule type="containsText" dxfId="12658" priority="3425" operator="containsText" text="NA">
      <formula>NOT(ISERROR(SEARCH("NA",W2)))</formula>
    </cfRule>
  </conditionalFormatting>
  <conditionalFormatting sqref="N29">
    <cfRule type="containsText" dxfId="12657" priority="3426" operator="containsText" text="NA">
      <formula>NOT(ISERROR(SEARCH("NA",W2)))</formula>
    </cfRule>
  </conditionalFormatting>
  <conditionalFormatting sqref="O29">
    <cfRule type="containsText" dxfId="12656" priority="3427" operator="containsText" text="NA">
      <formula>NOT(ISERROR(SEARCH("NA",W2)))</formula>
    </cfRule>
  </conditionalFormatting>
  <conditionalFormatting sqref="O29">
    <cfRule type="containsText" dxfId="12655" priority="3428" operator="containsText" text="NA">
      <formula>NOT(ISERROR(SEARCH("NA",W2)))</formula>
    </cfRule>
  </conditionalFormatting>
  <conditionalFormatting sqref="N24">
    <cfRule type="containsText" dxfId="12654" priority="3429" operator="containsText" text="NA">
      <formula>NOT(ISERROR(SEARCH("NA",W2)))</formula>
    </cfRule>
  </conditionalFormatting>
  <conditionalFormatting sqref="O24">
    <cfRule type="containsText" dxfId="12653" priority="3430" operator="containsText" text="NA">
      <formula>NOT(ISERROR(SEARCH("NA",W2)))</formula>
    </cfRule>
  </conditionalFormatting>
  <conditionalFormatting sqref="O28">
    <cfRule type="containsText" dxfId="12652" priority="3431" operator="containsText" text="NA">
      <formula>NOT(ISERROR(SEARCH("NA",W2)))</formula>
    </cfRule>
  </conditionalFormatting>
  <conditionalFormatting sqref="P23">
    <cfRule type="containsText" dxfId="12651" priority="3432" operator="containsText" text="NA">
      <formula>NOT(ISERROR(SEARCH("NA",W2)))</formula>
    </cfRule>
  </conditionalFormatting>
  <conditionalFormatting sqref="P24">
    <cfRule type="containsText" dxfId="12650" priority="3433" operator="containsText" text="NA">
      <formula>NOT(ISERROR(SEARCH("NA",W2)))</formula>
    </cfRule>
  </conditionalFormatting>
  <conditionalFormatting sqref="P25">
    <cfRule type="containsText" dxfId="12649" priority="3434" operator="containsText" text="NA">
      <formula>NOT(ISERROR(SEARCH("NA",W2)))</formula>
    </cfRule>
  </conditionalFormatting>
  <conditionalFormatting sqref="P28">
    <cfRule type="containsText" dxfId="12648" priority="3435" operator="containsText" text="NA">
      <formula>NOT(ISERROR(SEARCH("NA",W2)))</formula>
    </cfRule>
  </conditionalFormatting>
  <conditionalFormatting sqref="P29">
    <cfRule type="containsText" dxfId="12647" priority="3436" operator="containsText" text="NA">
      <formula>NOT(ISERROR(SEARCH("NA",W2)))</formula>
    </cfRule>
  </conditionalFormatting>
  <conditionalFormatting sqref="Q23">
    <cfRule type="containsText" dxfId="12646" priority="3437" operator="containsText" text="NA">
      <formula>NOT(ISERROR(SEARCH("NA",W2)))</formula>
    </cfRule>
  </conditionalFormatting>
  <conditionalFormatting sqref="Q23">
    <cfRule type="containsText" dxfId="12645" priority="3438" operator="containsText" text="NA">
      <formula>NOT(ISERROR(SEARCH("NA",W2)))</formula>
    </cfRule>
  </conditionalFormatting>
  <conditionalFormatting sqref="Q24">
    <cfRule type="containsText" dxfId="12644" priority="3439" operator="containsText" text="NA">
      <formula>NOT(ISERROR(SEARCH("NA",W2)))</formula>
    </cfRule>
  </conditionalFormatting>
  <conditionalFormatting sqref="Q24">
    <cfRule type="containsText" dxfId="12643" priority="3440" operator="containsText" text="NA">
      <formula>NOT(ISERROR(SEARCH("NA",W2)))</formula>
    </cfRule>
  </conditionalFormatting>
  <conditionalFormatting sqref="N43">
    <cfRule type="containsText" dxfId="12642" priority="3441" operator="containsText" text="NA">
      <formula>NOT(ISERROR(SEARCH("NA",W2)))</formula>
    </cfRule>
  </conditionalFormatting>
  <conditionalFormatting sqref="S54">
    <cfRule type="containsText" dxfId="12641" priority="3442" operator="containsText" text="NA">
      <formula>NOT(ISERROR(SEARCH("NA",W2)))</formula>
    </cfRule>
  </conditionalFormatting>
  <conditionalFormatting sqref="S11 O11">
    <cfRule type="containsText" dxfId="12640" priority="3443" operator="containsText" text="NA">
      <formula>NOT(ISERROR(SEARCH("NA",W2)))</formula>
    </cfRule>
  </conditionalFormatting>
  <conditionalFormatting sqref="S13 O13">
    <cfRule type="containsText" dxfId="12639" priority="3444" operator="containsText" text="NA">
      <formula>NOT(ISERROR(SEARCH("NA",W2)))</formula>
    </cfRule>
  </conditionalFormatting>
  <conditionalFormatting sqref="S19 O19">
    <cfRule type="containsText" dxfId="12638" priority="3445" operator="containsText" text="NA">
      <formula>NOT(ISERROR(SEARCH("NA",W2)))</formula>
    </cfRule>
  </conditionalFormatting>
  <conditionalFormatting sqref="T20 P20">
    <cfRule type="containsText" dxfId="12637" priority="3446" operator="containsText" text="NA">
      <formula>NOT(ISERROR(SEARCH("NA",W2)))</formula>
    </cfRule>
  </conditionalFormatting>
  <conditionalFormatting sqref="T21 P21">
    <cfRule type="containsText" dxfId="12636" priority="3447" operator="containsText" text="NA">
      <formula>NOT(ISERROR(SEARCH("NA",W2)))</formula>
    </cfRule>
  </conditionalFormatting>
  <conditionalFormatting sqref="P38">
    <cfRule type="containsText" dxfId="12635" priority="3448" operator="containsText" text="NA">
      <formula>NOT(ISERROR(SEARCH("NA",W2)))</formula>
    </cfRule>
  </conditionalFormatting>
  <conditionalFormatting sqref="Q38">
    <cfRule type="containsText" dxfId="12634" priority="3449" operator="containsText" text="NA">
      <formula>NOT(ISERROR(SEARCH("NA",W2)))</formula>
    </cfRule>
  </conditionalFormatting>
  <conditionalFormatting sqref="N44 O44">
    <cfRule type="containsText" dxfId="12633" priority="3450" operator="containsText" text="NA">
      <formula>NOT(ISERROR(SEARCH("NA",W2)))</formula>
    </cfRule>
  </conditionalFormatting>
  <conditionalFormatting sqref="N44">
    <cfRule type="containsText" dxfId="12632" priority="3451" operator="containsText" text="NA">
      <formula>NOT(ISERROR(SEARCH("NA",W2)))</formula>
    </cfRule>
  </conditionalFormatting>
  <conditionalFormatting sqref="O44">
    <cfRule type="containsText" dxfId="12631" priority="3452" operator="containsText" text="NA">
      <formula>NOT(ISERROR(SEARCH("NA",W2)))</formula>
    </cfRule>
  </conditionalFormatting>
  <conditionalFormatting sqref="O47">
    <cfRule type="containsText" dxfId="12630" priority="3453" operator="containsText" text="NA">
      <formula>NOT(ISERROR(SEARCH("NA",W2)))</formula>
    </cfRule>
  </conditionalFormatting>
  <conditionalFormatting sqref="S41">
    <cfRule type="containsText" dxfId="12629" priority="3454" operator="containsText" text="NA">
      <formula>NOT(ISERROR(SEARCH("NA",W2)))</formula>
    </cfRule>
  </conditionalFormatting>
  <conditionalFormatting sqref="S47">
    <cfRule type="containsText" dxfId="12628" priority="3455" operator="containsText" text="NA">
      <formula>NOT(ISERROR(SEARCH("NA",W2)))</formula>
    </cfRule>
  </conditionalFormatting>
  <conditionalFormatting sqref="S49">
    <cfRule type="containsText" dxfId="12627" priority="3456" operator="containsText" text="NA">
      <formula>NOT(ISERROR(SEARCH("NA",W2)))</formula>
    </cfRule>
  </conditionalFormatting>
  <conditionalFormatting sqref="S49">
    <cfRule type="containsText" dxfId="12626" priority="3457" operator="containsText" text="NA">
      <formula>NOT(ISERROR(SEARCH("NA",W2)))</formula>
    </cfRule>
  </conditionalFormatting>
  <conditionalFormatting sqref="Q30">
    <cfRule type="containsText" dxfId="12625" priority="3458" operator="containsText" text="NA">
      <formula>NOT(ISERROR(SEARCH("NA",W2)))</formula>
    </cfRule>
  </conditionalFormatting>
  <conditionalFormatting sqref="S25">
    <cfRule type="containsText" dxfId="12624" priority="3459" operator="containsText" text="NA">
      <formula>NOT(ISERROR(SEARCH("NA",W2)))</formula>
    </cfRule>
  </conditionalFormatting>
  <conditionalFormatting sqref="S26">
    <cfRule type="containsText" dxfId="12623" priority="3460" operator="containsText" text="NA">
      <formula>NOT(ISERROR(SEARCH("NA",W2)))</formula>
    </cfRule>
  </conditionalFormatting>
  <conditionalFormatting sqref="S28">
    <cfRule type="containsText" dxfId="12622" priority="3461" operator="containsText" text="NA">
      <formula>NOT(ISERROR(SEARCH("NA",W2)))</formula>
    </cfRule>
  </conditionalFormatting>
  <conditionalFormatting sqref="S30">
    <cfRule type="containsText" dxfId="12621" priority="3462" operator="containsText" text="NA">
      <formula>NOT(ISERROR(SEARCH("NA",W2)))</formula>
    </cfRule>
  </conditionalFormatting>
  <conditionalFormatting sqref="S31">
    <cfRule type="containsText" dxfId="12620" priority="3463" operator="containsText" text="NA">
      <formula>NOT(ISERROR(SEARCH("NA",W2)))</formula>
    </cfRule>
  </conditionalFormatting>
  <conditionalFormatting sqref="P48">
    <cfRule type="containsText" dxfId="12619" priority="3464" operator="containsText" text="NA">
      <formula>NOT(ISERROR(SEARCH("NA",W2)))</formula>
    </cfRule>
  </conditionalFormatting>
  <conditionalFormatting sqref="R52">
    <cfRule type="containsText" dxfId="12618" priority="3465" operator="containsText" text="NA">
      <formula>NOT(ISERROR(SEARCH("NA",W2)))</formula>
    </cfRule>
  </conditionalFormatting>
  <conditionalFormatting sqref="H27 I27">
    <cfRule type="containsText" dxfId="12617" priority="3466" operator="containsText" text="NA">
      <formula>NOT(ISERROR(SEARCH("NA",W2)))</formula>
    </cfRule>
  </conditionalFormatting>
  <conditionalFormatting sqref="I27">
    <cfRule type="containsText" dxfId="12616" priority="3467" operator="containsText" text="NA">
      <formula>NOT(ISERROR(SEARCH("NA",W2)))</formula>
    </cfRule>
  </conditionalFormatting>
  <conditionalFormatting sqref="N27 O27">
    <cfRule type="containsText" dxfId="12615" priority="3468" operator="containsText" text="NA">
      <formula>NOT(ISERROR(SEARCH("NA",W2)))</formula>
    </cfRule>
  </conditionalFormatting>
  <conditionalFormatting sqref="N37 O37 P37 Q37">
    <cfRule type="containsText" dxfId="12614" priority="3469" operator="containsText" text="NA">
      <formula>NOT(ISERROR(SEARCH("NA",W2)))</formula>
    </cfRule>
  </conditionalFormatting>
  <conditionalFormatting sqref="P43">
    <cfRule type="containsText" dxfId="12613" priority="3470" operator="containsText" text="NA">
      <formula>NOT(ISERROR(SEARCH("NA",W2)))</formula>
    </cfRule>
  </conditionalFormatting>
  <conditionalFormatting sqref="Q43">
    <cfRule type="containsText" dxfId="12612" priority="3471" operator="containsText" text="NA">
      <formula>NOT(ISERROR(SEARCH("NA",W2)))</formula>
    </cfRule>
  </conditionalFormatting>
  <conditionalFormatting sqref="P44">
    <cfRule type="containsText" dxfId="12611" priority="3472" operator="containsText" text="NA">
      <formula>NOT(ISERROR(SEARCH("NA",W2)))</formula>
    </cfRule>
  </conditionalFormatting>
  <conditionalFormatting sqref="Q44">
    <cfRule type="containsText" dxfId="12610" priority="3473" operator="containsText" text="NA">
      <formula>NOT(ISERROR(SEARCH("NA",W2)))</formula>
    </cfRule>
  </conditionalFormatting>
  <conditionalFormatting sqref="O42">
    <cfRule type="containsText" dxfId="12609" priority="3474" operator="containsText" text="NA">
      <formula>NOT(ISERROR(SEARCH("NA",W2)))</formula>
    </cfRule>
  </conditionalFormatting>
  <conditionalFormatting sqref="P42">
    <cfRule type="containsText" dxfId="12608" priority="3475" operator="containsText" text="NA">
      <formula>NOT(ISERROR(SEARCH("NA",W2)))</formula>
    </cfRule>
  </conditionalFormatting>
  <conditionalFormatting sqref="Q42">
    <cfRule type="containsText" dxfId="12607" priority="3476" operator="containsText" text="NA">
      <formula>NOT(ISERROR(SEARCH("NA",W2)))</formula>
    </cfRule>
  </conditionalFormatting>
  <conditionalFormatting sqref="R42">
    <cfRule type="containsText" dxfId="12606" priority="3477" operator="containsText" text="NA">
      <formula>NOT(ISERROR(SEARCH("NA",W2)))</formula>
    </cfRule>
  </conditionalFormatting>
  <conditionalFormatting sqref="P47">
    <cfRule type="containsText" dxfId="12605" priority="3478" operator="containsText" text="NA">
      <formula>NOT(ISERROR(SEARCH("NA",W2)))</formula>
    </cfRule>
  </conditionalFormatting>
  <conditionalFormatting sqref="Q47">
    <cfRule type="containsText" dxfId="12604" priority="3479" operator="containsText" text="NA">
      <formula>NOT(ISERROR(SEARCH("NA",W2)))</formula>
    </cfRule>
  </conditionalFormatting>
  <conditionalFormatting sqref="S42">
    <cfRule type="containsText" dxfId="12603" priority="3480" operator="containsText" text="NA">
      <formula>NOT(ISERROR(SEARCH("NA",W2)))</formula>
    </cfRule>
  </conditionalFormatting>
  <conditionalFormatting sqref="U42">
    <cfRule type="containsText" dxfId="12602" priority="3481" operator="containsText" text="NA">
      <formula>NOT(ISERROR(SEARCH("NA",W2)))</formula>
    </cfRule>
  </conditionalFormatting>
  <conditionalFormatting sqref="T42">
    <cfRule type="containsText" dxfId="12601" priority="3482" operator="containsText" text="NA">
      <formula>NOT(ISERROR(SEARCH("NA",W2)))</formula>
    </cfRule>
  </conditionalFormatting>
  <conditionalFormatting sqref="V42">
    <cfRule type="containsText" dxfId="12600" priority="3483" operator="containsText" text="NA">
      <formula>NOT(ISERROR(SEARCH("NA",W2)))</formula>
    </cfRule>
  </conditionalFormatting>
  <conditionalFormatting sqref="V47">
    <cfRule type="containsText" dxfId="12599" priority="3484" operator="containsText" text="NA">
      <formula>NOT(ISERROR(SEARCH("NA",W2)))</formula>
    </cfRule>
  </conditionalFormatting>
  <conditionalFormatting sqref="AB3">
    <cfRule type="containsText" dxfId="12598" priority="18" operator="containsText" text="Done">
      <formula>NOT(ISERROR(SEARCH("Done",Z2)))</formula>
    </cfRule>
  </conditionalFormatting>
  <conditionalFormatting sqref="AE3 AF3 AI3 BA3">
    <cfRule type="containsText" dxfId="12597" priority="3485" operator="containsText" text="Done">
      <formula>NOT(ISERROR(SEARCH("Done",Z2)))</formula>
    </cfRule>
  </conditionalFormatting>
  <conditionalFormatting sqref="AC3">
    <cfRule type="containsText" dxfId="12596" priority="3486" operator="containsText" text="Done">
      <formula>NOT(ISERROR(SEARCH("Done",Z2)))</formula>
    </cfRule>
  </conditionalFormatting>
  <conditionalFormatting sqref="AB3">
    <cfRule type="containsText" dxfId="12595" priority="17" operator="containsText" text="Pending">
      <formula>NOT(ISERROR(SEARCH("Pending",Z2)))</formula>
    </cfRule>
  </conditionalFormatting>
  <conditionalFormatting sqref="AE3 AF3 AI3 BA3">
    <cfRule type="containsText" dxfId="12594" priority="3487" operator="containsText" text="Pending">
      <formula>NOT(ISERROR(SEARCH("Pending",Z2)))</formula>
    </cfRule>
  </conditionalFormatting>
  <conditionalFormatting sqref="AC3">
    <cfRule type="containsText" dxfId="12593" priority="3488" operator="containsText" text="Pending">
      <formula>NOT(ISERROR(SEARCH("Pending",Z2)))</formula>
    </cfRule>
  </conditionalFormatting>
  <conditionalFormatting sqref="AB3">
    <cfRule type="containsText" dxfId="12592" priority="16" operator="containsText" text="NA">
      <formula>NOT(ISERROR(SEARCH("NA",Z2)))</formula>
    </cfRule>
  </conditionalFormatting>
  <conditionalFormatting sqref="AE3 AF3 AI3 BA3">
    <cfRule type="containsText" dxfId="12591" priority="3489" operator="containsText" text="NA">
      <formula>NOT(ISERROR(SEARCH("NA",Z2)))</formula>
    </cfRule>
  </conditionalFormatting>
  <conditionalFormatting sqref="AC3">
    <cfRule type="containsText" dxfId="12590" priority="3490" operator="containsText" text="NA">
      <formula>NOT(ISERROR(SEARCH("NA",Z2)))</formula>
    </cfRule>
  </conditionalFormatting>
  <conditionalFormatting sqref="T4:T16 T19:T24 T26 T28:T39 T41 T43:T56">
    <cfRule type="containsText" dxfId="12589" priority="12" operator="containsText" text="Done">
      <formula>NOT(ISERROR(SEARCH("Done",#REF!)))</formula>
    </cfRule>
  </conditionalFormatting>
  <conditionalFormatting sqref="T6">
    <cfRule type="containsText" dxfId="12588" priority="3491" operator="containsText" text="Done">
      <formula>NOT(ISERROR(SEARCH("Done",#REF!)))</formula>
    </cfRule>
  </conditionalFormatting>
  <conditionalFormatting sqref="T7">
    <cfRule type="containsText" dxfId="12587" priority="3492" operator="containsText" text="Done">
      <formula>NOT(ISERROR(SEARCH("Done",#REF!)))</formula>
    </cfRule>
  </conditionalFormatting>
  <conditionalFormatting sqref="T9">
    <cfRule type="containsText" dxfId="12586" priority="3493" operator="containsText" text="Done">
      <formula>NOT(ISERROR(SEARCH("Done",#REF!)))</formula>
    </cfRule>
  </conditionalFormatting>
  <conditionalFormatting sqref="T4">
    <cfRule type="containsText" dxfId="12585" priority="3494" operator="containsText" text="Done">
      <formula>NOT(ISERROR(SEARCH("Done",#REF!)))</formula>
    </cfRule>
  </conditionalFormatting>
  <conditionalFormatting sqref="T3">
    <cfRule type="containsText" dxfId="12584" priority="3495" operator="containsText" text="Done">
      <formula>NOT(ISERROR(SEARCH("Done",#REF!)))</formula>
    </cfRule>
  </conditionalFormatting>
  <conditionalFormatting sqref="T11">
    <cfRule type="containsText" dxfId="12583" priority="3496" operator="containsText" text="Done">
      <formula>NOT(ISERROR(SEARCH("Done",#REF!)))</formula>
    </cfRule>
  </conditionalFormatting>
  <conditionalFormatting sqref="T13">
    <cfRule type="containsText" dxfId="12582" priority="3497" operator="containsText" text="Done">
      <formula>NOT(ISERROR(SEARCH("Done",#REF!)))</formula>
    </cfRule>
  </conditionalFormatting>
  <conditionalFormatting sqref="T19">
    <cfRule type="containsText" dxfId="12581" priority="3498" operator="containsText" text="Done">
      <formula>NOT(ISERROR(SEARCH("Done",#REF!)))</formula>
    </cfRule>
  </conditionalFormatting>
  <conditionalFormatting sqref="U20">
    <cfRule type="containsText" dxfId="12580" priority="3499" operator="containsText" text="Done">
      <formula>NOT(ISERROR(SEARCH("Done",#REF!)))</formula>
    </cfRule>
  </conditionalFormatting>
  <conditionalFormatting sqref="U21">
    <cfRule type="containsText" dxfId="12579" priority="3500" operator="containsText" text="Done">
      <formula>NOT(ISERROR(SEARCH("Done",#REF!)))</formula>
    </cfRule>
  </conditionalFormatting>
  <conditionalFormatting sqref="U41 U43:U52">
    <cfRule type="containsText" dxfId="12578" priority="3501" operator="containsText" text="Done">
      <formula>NOT(ISERROR(SEARCH("Done",#REF!)))</formula>
    </cfRule>
  </conditionalFormatting>
  <conditionalFormatting sqref="V41 V43:V46 V48:V52">
    <cfRule type="containsText" dxfId="12577" priority="3502" operator="containsText" text="Done">
      <formula>NOT(ISERROR(SEARCH("Done",#REF!)))</formula>
    </cfRule>
  </conditionalFormatting>
  <conditionalFormatting sqref="T47">
    <cfRule type="containsText" dxfId="12576" priority="3503" operator="containsText" text="Done">
      <formula>NOT(ISERROR(SEARCH("Done",#REF!)))</formula>
    </cfRule>
  </conditionalFormatting>
  <conditionalFormatting sqref="U47">
    <cfRule type="containsText" dxfId="12575" priority="3504" operator="containsText" text="Done">
      <formula>NOT(ISERROR(SEARCH("Done",#REF!)))</formula>
    </cfRule>
  </conditionalFormatting>
  <conditionalFormatting sqref="T4:T16 T19:T24 T26 T28:T39 T41 T43:T56">
    <cfRule type="containsText" dxfId="12574" priority="10" operator="containsText" text="Pending">
      <formula>NOT(ISERROR(SEARCH("Pending",#REF!)))</formula>
    </cfRule>
  </conditionalFormatting>
  <conditionalFormatting sqref="T6">
    <cfRule type="containsText" dxfId="12573" priority="3505" operator="containsText" text="Pending">
      <formula>NOT(ISERROR(SEARCH("Pending",#REF!)))</formula>
    </cfRule>
  </conditionalFormatting>
  <conditionalFormatting sqref="T7">
    <cfRule type="containsText" dxfId="12572" priority="3506" operator="containsText" text="Pending">
      <formula>NOT(ISERROR(SEARCH("Pending",#REF!)))</formula>
    </cfRule>
  </conditionalFormatting>
  <conditionalFormatting sqref="T9">
    <cfRule type="containsText" dxfId="12571" priority="3507" operator="containsText" text="Pending">
      <formula>NOT(ISERROR(SEARCH("Pending",#REF!)))</formula>
    </cfRule>
  </conditionalFormatting>
  <conditionalFormatting sqref="T4">
    <cfRule type="containsText" dxfId="12570" priority="3508" operator="containsText" text="Pending">
      <formula>NOT(ISERROR(SEARCH("Pending",#REF!)))</formula>
    </cfRule>
  </conditionalFormatting>
  <conditionalFormatting sqref="T3">
    <cfRule type="containsText" dxfId="12569" priority="3509" operator="containsText" text="Pending">
      <formula>NOT(ISERROR(SEARCH("Pending",#REF!)))</formula>
    </cfRule>
  </conditionalFormatting>
  <conditionalFormatting sqref="T11">
    <cfRule type="containsText" dxfId="12568" priority="3510" operator="containsText" text="Pending">
      <formula>NOT(ISERROR(SEARCH("Pending",#REF!)))</formula>
    </cfRule>
  </conditionalFormatting>
  <conditionalFormatting sqref="T13">
    <cfRule type="containsText" dxfId="12567" priority="3511" operator="containsText" text="Pending">
      <formula>NOT(ISERROR(SEARCH("Pending",#REF!)))</formula>
    </cfRule>
  </conditionalFormatting>
  <conditionalFormatting sqref="T19">
    <cfRule type="containsText" dxfId="12566" priority="3512" operator="containsText" text="Pending">
      <formula>NOT(ISERROR(SEARCH("Pending",#REF!)))</formula>
    </cfRule>
  </conditionalFormatting>
  <conditionalFormatting sqref="U20">
    <cfRule type="containsText" dxfId="12565" priority="3513" operator="containsText" text="Pending">
      <formula>NOT(ISERROR(SEARCH("Pending",#REF!)))</formula>
    </cfRule>
  </conditionalFormatting>
  <conditionalFormatting sqref="U21">
    <cfRule type="containsText" dxfId="12564" priority="3514" operator="containsText" text="Pending">
      <formula>NOT(ISERROR(SEARCH("Pending",#REF!)))</formula>
    </cfRule>
  </conditionalFormatting>
  <conditionalFormatting sqref="U41 U43:U52">
    <cfRule type="containsText" dxfId="12563" priority="3515" operator="containsText" text="Pending">
      <formula>NOT(ISERROR(SEARCH("Pending",#REF!)))</formula>
    </cfRule>
  </conditionalFormatting>
  <conditionalFormatting sqref="V41 V43:V46 V48:V52">
    <cfRule type="containsText" dxfId="12562" priority="3516" operator="containsText" text="Pending">
      <formula>NOT(ISERROR(SEARCH("Pending",#REF!)))</formula>
    </cfRule>
  </conditionalFormatting>
  <conditionalFormatting sqref="T47">
    <cfRule type="containsText" dxfId="12561" priority="3517" operator="containsText" text="Pending">
      <formula>NOT(ISERROR(SEARCH("Pending",#REF!)))</formula>
    </cfRule>
  </conditionalFormatting>
  <conditionalFormatting sqref="U47">
    <cfRule type="containsText" dxfId="12560" priority="3518" operator="containsText" text="Pending">
      <formula>NOT(ISERROR(SEARCH("Pending",#REF!)))</formula>
    </cfRule>
  </conditionalFormatting>
  <conditionalFormatting sqref="T4:T16 T19:T24 T26 T28:T39 T41 T43:T56">
    <cfRule type="containsText" dxfId="12559" priority="8" operator="containsText" text="NA">
      <formula>NOT(ISERROR(SEARCH("NA",#REF!)))</formula>
    </cfRule>
  </conditionalFormatting>
  <conditionalFormatting sqref="T6">
    <cfRule type="containsText" dxfId="12558" priority="3519" operator="containsText" text="NA">
      <formula>NOT(ISERROR(SEARCH("NA",#REF!)))</formula>
    </cfRule>
  </conditionalFormatting>
  <conditionalFormatting sqref="T7">
    <cfRule type="containsText" dxfId="12557" priority="3520" operator="containsText" text="NA">
      <formula>NOT(ISERROR(SEARCH("NA",#REF!)))</formula>
    </cfRule>
  </conditionalFormatting>
  <conditionalFormatting sqref="T9">
    <cfRule type="containsText" dxfId="12556" priority="3521" operator="containsText" text="NA">
      <formula>NOT(ISERROR(SEARCH("NA",#REF!)))</formula>
    </cfRule>
  </conditionalFormatting>
  <conditionalFormatting sqref="T4">
    <cfRule type="containsText" dxfId="12555" priority="3522" operator="containsText" text="NA">
      <formula>NOT(ISERROR(SEARCH("NA",#REF!)))</formula>
    </cfRule>
  </conditionalFormatting>
  <conditionalFormatting sqref="T3">
    <cfRule type="containsText" dxfId="12554" priority="3523" operator="containsText" text="NA">
      <formula>NOT(ISERROR(SEARCH("NA",#REF!)))</formula>
    </cfRule>
  </conditionalFormatting>
  <conditionalFormatting sqref="T11">
    <cfRule type="containsText" dxfId="12553" priority="3524" operator="containsText" text="NA">
      <formula>NOT(ISERROR(SEARCH("NA",#REF!)))</formula>
    </cfRule>
  </conditionalFormatting>
  <conditionalFormatting sqref="T13">
    <cfRule type="containsText" dxfId="12552" priority="3525" operator="containsText" text="NA">
      <formula>NOT(ISERROR(SEARCH("NA",#REF!)))</formula>
    </cfRule>
  </conditionalFormatting>
  <conditionalFormatting sqref="T19">
    <cfRule type="containsText" dxfId="12551" priority="3526" operator="containsText" text="NA">
      <formula>NOT(ISERROR(SEARCH("NA",#REF!)))</formula>
    </cfRule>
  </conditionalFormatting>
  <conditionalFormatting sqref="U20">
    <cfRule type="containsText" dxfId="12550" priority="3527" operator="containsText" text="NA">
      <formula>NOT(ISERROR(SEARCH("NA",#REF!)))</formula>
    </cfRule>
  </conditionalFormatting>
  <conditionalFormatting sqref="U21">
    <cfRule type="containsText" dxfId="12549" priority="3528" operator="containsText" text="NA">
      <formula>NOT(ISERROR(SEARCH("NA",#REF!)))</formula>
    </cfRule>
  </conditionalFormatting>
  <conditionalFormatting sqref="U41 U43:U52">
    <cfRule type="containsText" dxfId="12548" priority="3529" operator="containsText" text="NA">
      <formula>NOT(ISERROR(SEARCH("NA",#REF!)))</formula>
    </cfRule>
  </conditionalFormatting>
  <conditionalFormatting sqref="V41 V43:V46 V48:V52">
    <cfRule type="containsText" dxfId="12547" priority="3530" operator="containsText" text="NA">
      <formula>NOT(ISERROR(SEARCH("NA",#REF!)))</formula>
    </cfRule>
  </conditionalFormatting>
  <conditionalFormatting sqref="T47">
    <cfRule type="containsText" dxfId="12546" priority="3531" operator="containsText" text="NA">
      <formula>NOT(ISERROR(SEARCH("NA",#REF!)))</formula>
    </cfRule>
  </conditionalFormatting>
  <conditionalFormatting sqref="U47">
    <cfRule type="containsText" dxfId="12545" priority="3532" operator="containsText" text="NA">
      <formula>NOT(ISERROR(SEARCH("NA",#REF!)))</formula>
    </cfRule>
  </conditionalFormatting>
  <conditionalFormatting sqref="AA4:AA16 AA18:AA37 AA39:AA40">
    <cfRule type="containsText" dxfId="12544" priority="6" operator="containsText" text="Done">
      <formula>NOT(ISERROR(SEARCH("Done",Z3)))</formula>
    </cfRule>
  </conditionalFormatting>
  <conditionalFormatting sqref="AB4:AB16 AB18:AB22 AB25 AB28 AB30:AB34 AB38:AB41 AB53:AB55">
    <cfRule type="containsText" dxfId="12543" priority="3533" operator="containsText" text="Done">
      <formula>NOT(ISERROR(SEARCH("Done",Z3)))</formula>
    </cfRule>
  </conditionalFormatting>
  <conditionalFormatting sqref="AB56">
    <cfRule type="containsText" dxfId="12542" priority="3534" operator="containsText" text="Done">
      <formula>NOT(ISERROR(SEARCH("Done",Z3)))</formula>
    </cfRule>
  </conditionalFormatting>
  <conditionalFormatting sqref="AC4:AC16 AC18:AC22 AC26:AC29 AC32 AC41 AC48:AC55">
    <cfRule type="containsText" dxfId="12541" priority="3535" operator="containsText" text="Done">
      <formula>NOT(ISERROR(SEARCH("Done",Z3)))</formula>
    </cfRule>
  </conditionalFormatting>
  <conditionalFormatting sqref="AC56">
    <cfRule type="containsText" dxfId="12540" priority="3536" operator="containsText" text="Done">
      <formula>NOT(ISERROR(SEARCH("Done",Z3)))</formula>
    </cfRule>
  </conditionalFormatting>
  <conditionalFormatting sqref="AE4:AE55 AF4:AF16 AF18:AF24 AF27:AF55 AG4:AG55 AH4:AH16 AH18:AH55 AI4:AI16 AI18:AI55 AJ4:AJ16 AJ18:AJ55 AK4:AK16 AK18:AK55 AL4:AL16 AL18:AL55 AM4:AM16 AM18:AM55 AN4:AN16 AN18:AN55 AO4:AO16 AO18:AO55 AP4:AP16 AP18:AP55 AQ4:AQ16 AQ18:AQ55 AR4:AR16 AR18:AR55 AS4:AS16 AS18:AS55 AT4:AT16 AT18:AT55 AU4:AU16 AU18:AU55 AV4:AV16 AV18:AV55 AW4:AW16 AW18:AW55 AX4:AX16 AX18:AX55 AY4:AY16 AY18:AY55 AZ4:AZ16 AZ18:AZ55 BA4:BA55">
    <cfRule type="containsText" dxfId="12539" priority="3537" operator="containsText" text="Done">
      <formula>NOT(ISERROR(SEARCH("Done",Z3)))</formula>
    </cfRule>
  </conditionalFormatting>
  <conditionalFormatting sqref="AE56 AF56 AH56 AI56 AO56 AP56 AQ56 BA56">
    <cfRule type="containsText" dxfId="12538" priority="3538" operator="containsText" text="Done">
      <formula>NOT(ISERROR(SEARCH("Done",Z3)))</formula>
    </cfRule>
  </conditionalFormatting>
  <conditionalFormatting sqref="AE50 AF50">
    <cfRule type="containsText" dxfId="12537" priority="3539" operator="containsText" text="Done">
      <formula>NOT(ISERROR(SEARCH("Done",Z3)))</formula>
    </cfRule>
  </conditionalFormatting>
  <conditionalFormatting sqref="AG5 AH5">
    <cfRule type="containsText" dxfId="12536" priority="3540" operator="containsText" text="Done">
      <formula>NOT(ISERROR(SEARCH("Done",Z3)))</formula>
    </cfRule>
  </conditionalFormatting>
  <conditionalFormatting sqref="AG6 AH6">
    <cfRule type="containsText" dxfId="12535" priority="3541" operator="containsText" text="Done">
      <formula>NOT(ISERROR(SEARCH("Done",Z3)))</formula>
    </cfRule>
  </conditionalFormatting>
  <conditionalFormatting sqref="AJ6 AK6">
    <cfRule type="containsText" dxfId="12534" priority="3542" operator="containsText" text="Done">
      <formula>NOT(ISERROR(SEARCH("Done",Z3)))</formula>
    </cfRule>
  </conditionalFormatting>
  <conditionalFormatting sqref="AA6">
    <cfRule type="containsText" dxfId="12533" priority="3543" operator="containsText" text="Done">
      <formula>NOT(ISERROR(SEARCH("Done",Z3)))</formula>
    </cfRule>
  </conditionalFormatting>
  <conditionalFormatting sqref="AA7">
    <cfRule type="containsText" dxfId="12532" priority="3544" operator="containsText" text="Done">
      <formula>NOT(ISERROR(SEARCH("Done",Z3)))</formula>
    </cfRule>
  </conditionalFormatting>
  <conditionalFormatting sqref="AA9">
    <cfRule type="containsText" dxfId="12531" priority="3545" operator="containsText" text="Done">
      <formula>NOT(ISERROR(SEARCH("Done",Z3)))</formula>
    </cfRule>
  </conditionalFormatting>
  <conditionalFormatting sqref="AA4">
    <cfRule type="containsText" dxfId="12530" priority="3546" operator="containsText" text="Done">
      <formula>NOT(ISERROR(SEARCH("Done",Z3)))</formula>
    </cfRule>
  </conditionalFormatting>
  <conditionalFormatting sqref="AA3">
    <cfRule type="containsText" dxfId="12529" priority="3547" operator="containsText" text="Done">
      <formula>NOT(ISERROR(SEARCH("Done",Z3)))</formula>
    </cfRule>
  </conditionalFormatting>
  <conditionalFormatting sqref="AF8">
    <cfRule type="containsText" dxfId="12528" priority="3548" operator="containsText" text="Done">
      <formula>NOT(ISERROR(SEARCH("Done",Z3)))</formula>
    </cfRule>
  </conditionalFormatting>
  <conditionalFormatting sqref="AE4 AF4 AG4 AH4 AI4 AJ4 AK4 AL4 AM4 AN4 AO4 AP4 AQ4 AR4 AS4 AT4 AU4 AV4 AW4 AX4 AY4 AZ4">
    <cfRule type="containsText" dxfId="12527" priority="3549" operator="containsText" text="Done">
      <formula>NOT(ISERROR(SEARCH("Done",Z3)))</formula>
    </cfRule>
  </conditionalFormatting>
  <conditionalFormatting sqref="AF4">
    <cfRule type="containsText" dxfId="12526" priority="3550" operator="containsText" text="Done">
      <formula>NOT(ISERROR(SEARCH("Done",Z3)))</formula>
    </cfRule>
  </conditionalFormatting>
  <conditionalFormatting sqref="AG3 AH3">
    <cfRule type="containsText" dxfId="12525" priority="3551" operator="containsText" text="Done">
      <formula>NOT(ISERROR(SEARCH("Done",Z3)))</formula>
    </cfRule>
  </conditionalFormatting>
  <conditionalFormatting sqref="AG3 AH3">
    <cfRule type="containsText" dxfId="12524" priority="3552" operator="containsText" text="Done">
      <formula>NOT(ISERROR(SEARCH("Done",Z3)))</formula>
    </cfRule>
  </conditionalFormatting>
  <conditionalFormatting sqref="AJ3 AK3 AL3 AM3 AN3 AO3 AP3 AQ3 AR3 AS3 AT3">
    <cfRule type="containsText" dxfId="12523" priority="3553" operator="containsText" text="Done">
      <formula>NOT(ISERROR(SEARCH("Done",Z3)))</formula>
    </cfRule>
  </conditionalFormatting>
  <conditionalFormatting sqref="AU3 AV3 AW3 AX3 AY3 AZ3">
    <cfRule type="containsText" dxfId="12522" priority="3554" operator="containsText" text="Done">
      <formula>NOT(ISERROR(SEARCH("Done",Z3)))</formula>
    </cfRule>
  </conditionalFormatting>
  <conditionalFormatting sqref="AG54">
    <cfRule type="containsText" dxfId="12521" priority="3555" operator="containsText" text="Done">
      <formula>NOT(ISERROR(SEARCH("Done",Z3)))</formula>
    </cfRule>
  </conditionalFormatting>
  <conditionalFormatting sqref="AF25">
    <cfRule type="containsText" dxfId="12520" priority="3556" operator="containsText" text="Done">
      <formula>NOT(ISERROR(SEARCH("Done",Z3)))</formula>
    </cfRule>
  </conditionalFormatting>
  <conditionalFormatting sqref="AF31">
    <cfRule type="containsText" dxfId="12519" priority="3557" operator="containsText" text="Done">
      <formula>NOT(ISERROR(SEARCH("Done",Z3)))</formula>
    </cfRule>
  </conditionalFormatting>
  <conditionalFormatting sqref="AF30">
    <cfRule type="containsText" dxfId="12518" priority="3558" operator="containsText" text="Done">
      <formula>NOT(ISERROR(SEARCH("Done",Z3)))</formula>
    </cfRule>
  </conditionalFormatting>
  <conditionalFormatting sqref="AE30">
    <cfRule type="containsText" dxfId="12517" priority="3559" operator="containsText" text="Done">
      <formula>NOT(ISERROR(SEARCH("Done",Z3)))</formula>
    </cfRule>
  </conditionalFormatting>
  <conditionalFormatting sqref="AE31">
    <cfRule type="containsText" dxfId="12516" priority="3560" operator="containsText" text="Done">
      <formula>NOT(ISERROR(SEARCH("Done",Z3)))</formula>
    </cfRule>
  </conditionalFormatting>
  <conditionalFormatting sqref="AE28">
    <cfRule type="containsText" dxfId="12515" priority="3561" operator="containsText" text="Done">
      <formula>NOT(ISERROR(SEARCH("Done",Z3)))</formula>
    </cfRule>
  </conditionalFormatting>
  <conditionalFormatting sqref="AE15:AE16">
    <cfRule type="containsText" dxfId="12514" priority="3562" operator="containsText" text="Done">
      <formula>NOT(ISERROR(SEARCH("Done",Z3)))</formula>
    </cfRule>
  </conditionalFormatting>
  <conditionalFormatting sqref="AF15:AF16">
    <cfRule type="containsText" dxfId="12513" priority="3563" operator="containsText" text="Done">
      <formula>NOT(ISERROR(SEARCH("Done",Z3)))</formula>
    </cfRule>
  </conditionalFormatting>
  <conditionalFormatting sqref="AB24">
    <cfRule type="containsText" dxfId="12512" priority="3564" operator="containsText" text="Done">
      <formula>NOT(ISERROR(SEARCH("Done",Z3)))</formula>
    </cfRule>
  </conditionalFormatting>
  <conditionalFormatting sqref="AB26">
    <cfRule type="containsText" dxfId="12511" priority="3565" operator="containsText" text="Done">
      <formula>NOT(ISERROR(SEARCH("Done",Z3)))</formula>
    </cfRule>
  </conditionalFormatting>
  <conditionalFormatting sqref="AB27">
    <cfRule type="containsText" dxfId="12510" priority="3566" operator="containsText" text="Done">
      <formula>NOT(ISERROR(SEARCH("Done",Z3)))</formula>
    </cfRule>
  </conditionalFormatting>
  <conditionalFormatting sqref="AB29">
    <cfRule type="containsText" dxfId="12509" priority="3567" operator="containsText" text="Done">
      <formula>NOT(ISERROR(SEARCH("Done",Z3)))</formula>
    </cfRule>
  </conditionalFormatting>
  <conditionalFormatting sqref="AC23">
    <cfRule type="containsText" dxfId="12508" priority="3568" operator="containsText" text="Done">
      <formula>NOT(ISERROR(SEARCH("Done",Z3)))</formula>
    </cfRule>
  </conditionalFormatting>
  <conditionalFormatting sqref="AC24">
    <cfRule type="containsText" dxfId="12507" priority="3569" operator="containsText" text="Done">
      <formula>NOT(ISERROR(SEARCH("Done",Z3)))</formula>
    </cfRule>
  </conditionalFormatting>
  <conditionalFormatting sqref="AC25">
    <cfRule type="containsText" dxfId="12506" priority="3570" operator="containsText" text="Done">
      <formula>NOT(ISERROR(SEARCH("Done",Z3)))</formula>
    </cfRule>
  </conditionalFormatting>
  <conditionalFormatting sqref="AC30">
    <cfRule type="containsText" dxfId="12505" priority="3571" operator="containsText" text="Done">
      <formula>NOT(ISERROR(SEARCH("Done",Z3)))</formula>
    </cfRule>
  </conditionalFormatting>
  <conditionalFormatting sqref="AC31">
    <cfRule type="containsText" dxfId="12504" priority="3572" operator="containsText" text="Done">
      <formula>NOT(ISERROR(SEARCH("Done",Z3)))</formula>
    </cfRule>
  </conditionalFormatting>
  <conditionalFormatting sqref="AB23">
    <cfRule type="containsText" dxfId="12503" priority="3573" operator="containsText" text="Done">
      <formula>NOT(ISERROR(SEARCH("Done",Z3)))</formula>
    </cfRule>
  </conditionalFormatting>
  <conditionalFormatting sqref="AL12">
    <cfRule type="containsText" dxfId="12502" priority="3574" operator="containsText" text="Done">
      <formula>NOT(ISERROR(SEARCH("Done",Z3)))</formula>
    </cfRule>
  </conditionalFormatting>
  <conditionalFormatting sqref="AG14 AH14">
    <cfRule type="containsText" dxfId="12501" priority="3575" operator="containsText" text="Done">
      <formula>NOT(ISERROR(SEARCH("Done",Z3)))</formula>
    </cfRule>
  </conditionalFormatting>
  <conditionalFormatting sqref="AJ14">
    <cfRule type="containsText" dxfId="12500" priority="3576" operator="containsText" text="Done">
      <formula>NOT(ISERROR(SEARCH("Done",Z3)))</formula>
    </cfRule>
  </conditionalFormatting>
  <conditionalFormatting sqref="AK14">
    <cfRule type="containsText" dxfId="12499" priority="3577" operator="containsText" text="Done">
      <formula>NOT(ISERROR(SEARCH("Done",Z3)))</formula>
    </cfRule>
  </conditionalFormatting>
  <conditionalFormatting sqref="AJ18">
    <cfRule type="containsText" dxfId="12498" priority="3578" operator="containsText" text="Done">
      <formula>NOT(ISERROR(SEARCH("Done",Z3)))</formula>
    </cfRule>
  </conditionalFormatting>
  <conditionalFormatting sqref="AG20 AH20 AI20">
    <cfRule type="containsText" dxfId="12497" priority="3579" operator="containsText" text="Done">
      <formula>NOT(ISERROR(SEARCH("Done",Z3)))</formula>
    </cfRule>
  </conditionalFormatting>
  <conditionalFormatting sqref="AO49">
    <cfRule type="containsText" dxfId="12496" priority="3580" operator="containsText" text="Done">
      <formula>NOT(ISERROR(SEARCH("Done",Z3)))</formula>
    </cfRule>
  </conditionalFormatting>
  <conditionalFormatting sqref="AO50">
    <cfRule type="containsText" dxfId="12495" priority="3581" operator="containsText" text="Done">
      <formula>NOT(ISERROR(SEARCH("Done",Z3)))</formula>
    </cfRule>
  </conditionalFormatting>
  <conditionalFormatting sqref="AO50">
    <cfRule type="containsText" dxfId="12494" priority="3582" operator="containsText" text="Done">
      <formula>NOT(ISERROR(SEARCH("Done",Z3)))</formula>
    </cfRule>
  </conditionalFormatting>
  <conditionalFormatting sqref="AO51">
    <cfRule type="containsText" dxfId="12493" priority="3583" operator="containsText" text="Done">
      <formula>NOT(ISERROR(SEARCH("Done",Z3)))</formula>
    </cfRule>
  </conditionalFormatting>
  <conditionalFormatting sqref="AO51">
    <cfRule type="containsText" dxfId="12492" priority="3584" operator="containsText" text="Done">
      <formula>NOT(ISERROR(SEARCH("Done",Z3)))</formula>
    </cfRule>
  </conditionalFormatting>
  <conditionalFormatting sqref="AO51">
    <cfRule type="containsText" dxfId="12491" priority="3585" operator="containsText" text="Done">
      <formula>NOT(ISERROR(SEARCH("Done",Z3)))</formula>
    </cfRule>
  </conditionalFormatting>
  <conditionalFormatting sqref="AC49:AC50">
    <cfRule type="containsText" dxfId="12490" priority="3586" operator="containsText" text="Done">
      <formula>NOT(ISERROR(SEARCH("Done",Z3)))</formula>
    </cfRule>
  </conditionalFormatting>
  <conditionalFormatting sqref="AB48">
    <cfRule type="containsText" dxfId="12489" priority="3587" operator="containsText" text="Done">
      <formula>NOT(ISERROR(SEARCH("Done",Z3)))</formula>
    </cfRule>
  </conditionalFormatting>
  <conditionalFormatting sqref="AB49:AB50">
    <cfRule type="containsText" dxfId="12488" priority="3588" operator="containsText" text="Done">
      <formula>NOT(ISERROR(SEARCH("Done",Z3)))</formula>
    </cfRule>
  </conditionalFormatting>
  <conditionalFormatting sqref="AB51:AB52">
    <cfRule type="containsText" dxfId="12487" priority="3589" operator="containsText" text="Done">
      <formula>NOT(ISERROR(SEARCH("Done",Z3)))</formula>
    </cfRule>
  </conditionalFormatting>
  <conditionalFormatting sqref="AV15">
    <cfRule type="containsText" dxfId="12486" priority="3590" operator="containsText" text="Done">
      <formula>NOT(ISERROR(SEARCH("Done",Z3)))</formula>
    </cfRule>
  </conditionalFormatting>
  <conditionalFormatting sqref="AW15">
    <cfRule type="containsText" dxfId="12485" priority="3591" operator="containsText" text="Done">
      <formula>NOT(ISERROR(SEARCH("Done",Z3)))</formula>
    </cfRule>
  </conditionalFormatting>
  <conditionalFormatting sqref="AX15">
    <cfRule type="containsText" dxfId="12484" priority="3592" operator="containsText" text="Done">
      <formula>NOT(ISERROR(SEARCH("Done",Z3)))</formula>
    </cfRule>
  </conditionalFormatting>
  <conditionalFormatting sqref="AY15">
    <cfRule type="containsText" dxfId="12483" priority="3593" operator="containsText" text="Done">
      <formula>NOT(ISERROR(SEARCH("Done",Z3)))</formula>
    </cfRule>
  </conditionalFormatting>
  <conditionalFormatting sqref="AZ15">
    <cfRule type="containsText" dxfId="12482" priority="3594" operator="containsText" text="Done">
      <formula>NOT(ISERROR(SEARCH("Done",Z3)))</formula>
    </cfRule>
  </conditionalFormatting>
  <conditionalFormatting sqref="AA11">
    <cfRule type="containsText" dxfId="12481" priority="3595" operator="containsText" text="Done">
      <formula>NOT(ISERROR(SEARCH("Done",Z3)))</formula>
    </cfRule>
  </conditionalFormatting>
  <conditionalFormatting sqref="AB11">
    <cfRule type="containsText" dxfId="12480" priority="3596" operator="containsText" text="Done">
      <formula>NOT(ISERROR(SEARCH("Done",Z3)))</formula>
    </cfRule>
  </conditionalFormatting>
  <conditionalFormatting sqref="AC11">
    <cfRule type="containsText" dxfId="12479" priority="3597" operator="containsText" text="Done">
      <formula>NOT(ISERROR(SEARCH("Done",Z3)))</formula>
    </cfRule>
  </conditionalFormatting>
  <conditionalFormatting sqref="AA13">
    <cfRule type="containsText" dxfId="12478" priority="3598" operator="containsText" text="Done">
      <formula>NOT(ISERROR(SEARCH("Done",Z3)))</formula>
    </cfRule>
  </conditionalFormatting>
  <conditionalFormatting sqref="AB13">
    <cfRule type="containsText" dxfId="12477" priority="3599" operator="containsText" text="Done">
      <formula>NOT(ISERROR(SEARCH("Done",Z3)))</formula>
    </cfRule>
  </conditionalFormatting>
  <conditionalFormatting sqref="AC13">
    <cfRule type="containsText" dxfId="12476" priority="3600" operator="containsText" text="Done">
      <formula>NOT(ISERROR(SEARCH("Done",Z3)))</formula>
    </cfRule>
  </conditionalFormatting>
  <conditionalFormatting sqref="AA19">
    <cfRule type="containsText" dxfId="12475" priority="3601" operator="containsText" text="Done">
      <formula>NOT(ISERROR(SEARCH("Done",Z3)))</formula>
    </cfRule>
  </conditionalFormatting>
  <conditionalFormatting sqref="AB19">
    <cfRule type="containsText" dxfId="12474" priority="3602" operator="containsText" text="Done">
      <formula>NOT(ISERROR(SEARCH("Done",Z3)))</formula>
    </cfRule>
  </conditionalFormatting>
  <conditionalFormatting sqref="AC19">
    <cfRule type="containsText" dxfId="12473" priority="3603" operator="containsText" text="Done">
      <formula>NOT(ISERROR(SEARCH("Done",Z3)))</formula>
    </cfRule>
  </conditionalFormatting>
  <conditionalFormatting sqref="AB20">
    <cfRule type="containsText" dxfId="12472" priority="3604" operator="containsText" text="Done">
      <formula>NOT(ISERROR(SEARCH("Done",Z3)))</formula>
    </cfRule>
  </conditionalFormatting>
  <conditionalFormatting sqref="AC20">
    <cfRule type="containsText" dxfId="12471" priority="3605" operator="containsText" text="Done">
      <formula>NOT(ISERROR(SEARCH("Done",Z3)))</formula>
    </cfRule>
  </conditionalFormatting>
  <conditionalFormatting sqref="AD20">
    <cfRule type="containsText" dxfId="12470" priority="3606" operator="containsText" text="Done">
      <formula>NOT(ISERROR(SEARCH("Done",Z3)))</formula>
    </cfRule>
  </conditionalFormatting>
  <conditionalFormatting sqref="AB21">
    <cfRule type="containsText" dxfId="12469" priority="3607" operator="containsText" text="Done">
      <formula>NOT(ISERROR(SEARCH("Done",Z3)))</formula>
    </cfRule>
  </conditionalFormatting>
  <conditionalFormatting sqref="AC21">
    <cfRule type="containsText" dxfId="12468" priority="3608" operator="containsText" text="Done">
      <formula>NOT(ISERROR(SEARCH("Done",Z3)))</formula>
    </cfRule>
  </conditionalFormatting>
  <conditionalFormatting sqref="AD21">
    <cfRule type="containsText" dxfId="12467" priority="3609" operator="containsText" text="Done">
      <formula>NOT(ISERROR(SEARCH("Done",Z3)))</formula>
    </cfRule>
  </conditionalFormatting>
  <conditionalFormatting sqref="AG43">
    <cfRule type="containsText" dxfId="12466" priority="3610" operator="containsText" text="Done">
      <formula>NOT(ISERROR(SEARCH("Done",Z3)))</formula>
    </cfRule>
  </conditionalFormatting>
  <conditionalFormatting sqref="AG44">
    <cfRule type="containsText" dxfId="12465" priority="3611" operator="containsText" text="Done">
      <formula>NOT(ISERROR(SEARCH("Done",Z3)))</formula>
    </cfRule>
  </conditionalFormatting>
  <conditionalFormatting sqref="AG45">
    <cfRule type="containsText" dxfId="12464" priority="3612" operator="containsText" text="Done">
      <formula>NOT(ISERROR(SEARCH("Done",Z3)))</formula>
    </cfRule>
  </conditionalFormatting>
  <conditionalFormatting sqref="AG47">
    <cfRule type="containsText" dxfId="12463" priority="3613" operator="containsText" text="Done">
      <formula>NOT(ISERROR(SEARCH("Done",Z3)))</formula>
    </cfRule>
  </conditionalFormatting>
  <conditionalFormatting sqref="AG47">
    <cfRule type="containsText" dxfId="12462" priority="3614" operator="containsText" text="Done">
      <formula>NOT(ISERROR(SEARCH("Done",Z3)))</formula>
    </cfRule>
  </conditionalFormatting>
  <conditionalFormatting sqref="AH44:AH46">
    <cfRule type="containsText" dxfId="12461" priority="3615" operator="containsText" text="Done">
      <formula>NOT(ISERROR(SEARCH("Done",Z3)))</formula>
    </cfRule>
  </conditionalFormatting>
  <conditionalFormatting sqref="AH44">
    <cfRule type="containsText" dxfId="12460" priority="3616" operator="containsText" text="Done">
      <formula>NOT(ISERROR(SEARCH("Done",Z3)))</formula>
    </cfRule>
  </conditionalFormatting>
  <conditionalFormatting sqref="AH45">
    <cfRule type="containsText" dxfId="12459" priority="3617" operator="containsText" text="Done">
      <formula>NOT(ISERROR(SEARCH("Done",Z3)))</formula>
    </cfRule>
  </conditionalFormatting>
  <conditionalFormatting sqref="AH48">
    <cfRule type="containsText" dxfId="12458" priority="3618" operator="containsText" text="Done">
      <formula>NOT(ISERROR(SEARCH("Done",Z3)))</formula>
    </cfRule>
  </conditionalFormatting>
  <conditionalFormatting sqref="AH48">
    <cfRule type="containsText" dxfId="12457" priority="3619" operator="containsText" text="Done">
      <formula>NOT(ISERROR(SEARCH("Done",Z3)))</formula>
    </cfRule>
  </conditionalFormatting>
  <conditionalFormatting sqref="AH48">
    <cfRule type="containsText" dxfId="12456" priority="3620" operator="containsText" text="Done">
      <formula>NOT(ISERROR(SEARCH("Done",Z3)))</formula>
    </cfRule>
  </conditionalFormatting>
  <conditionalFormatting sqref="AH48">
    <cfRule type="containsText" dxfId="12455" priority="3621" operator="containsText" text="Done">
      <formula>NOT(ISERROR(SEARCH("Done",Z3)))</formula>
    </cfRule>
  </conditionalFormatting>
  <conditionalFormatting sqref="AR10">
    <cfRule type="containsText" dxfId="12454" priority="3622" operator="containsText" text="Done">
      <formula>NOT(ISERROR(SEARCH("Done",Z3)))</formula>
    </cfRule>
  </conditionalFormatting>
  <conditionalFormatting sqref="AT10">
    <cfRule type="containsText" dxfId="12453" priority="3623" operator="containsText" text="Done">
      <formula>NOT(ISERROR(SEARCH("Done",Z3)))</formula>
    </cfRule>
  </conditionalFormatting>
  <conditionalFormatting sqref="AA29">
    <cfRule type="containsText" dxfId="12452" priority="3624" operator="containsText" text="Done">
      <formula>NOT(ISERROR(SEARCH("Done",Z3)))</formula>
    </cfRule>
  </conditionalFormatting>
  <conditionalFormatting sqref="AA30">
    <cfRule type="containsText" dxfId="12451" priority="3625" operator="containsText" text="Done">
      <formula>NOT(ISERROR(SEARCH("Done",Z3)))</formula>
    </cfRule>
  </conditionalFormatting>
  <conditionalFormatting sqref="AA31">
    <cfRule type="containsText" dxfId="12450" priority="3626" operator="containsText" text="Done">
      <formula>NOT(ISERROR(SEARCH("Done",Z3)))</formula>
    </cfRule>
  </conditionalFormatting>
  <conditionalFormatting sqref="AF13">
    <cfRule type="containsText" dxfId="12449" priority="3627" operator="containsText" text="Done">
      <formula>NOT(ISERROR(SEARCH("Done",Z3)))</formula>
    </cfRule>
  </conditionalFormatting>
  <conditionalFormatting sqref="AH13">
    <cfRule type="containsText" dxfId="12448" priority="3628" operator="containsText" text="Done">
      <formula>NOT(ISERROR(SEARCH("Done",Z3)))</formula>
    </cfRule>
  </conditionalFormatting>
  <conditionalFormatting sqref="AI13">
    <cfRule type="containsText" dxfId="12447" priority="3629" operator="containsText" text="Done">
      <formula>NOT(ISERROR(SEARCH("Done",Z3)))</formula>
    </cfRule>
  </conditionalFormatting>
  <conditionalFormatting sqref="AJ13">
    <cfRule type="containsText" dxfId="12446" priority="3630" operator="containsText" text="Done">
      <formula>NOT(ISERROR(SEARCH("Done",Z3)))</formula>
    </cfRule>
  </conditionalFormatting>
  <conditionalFormatting sqref="AK13">
    <cfRule type="containsText" dxfId="12445" priority="3631" operator="containsText" text="Done">
      <formula>NOT(ISERROR(SEARCH("Done",Z3)))</formula>
    </cfRule>
  </conditionalFormatting>
  <conditionalFormatting sqref="AL13">
    <cfRule type="containsText" dxfId="12444" priority="3632" operator="containsText" text="Done">
      <formula>NOT(ISERROR(SEARCH("Done",Z3)))</formula>
    </cfRule>
  </conditionalFormatting>
  <conditionalFormatting sqref="AM13">
    <cfRule type="containsText" dxfId="12443" priority="3633" operator="containsText" text="Done">
      <formula>NOT(ISERROR(SEARCH("Done",Z3)))</formula>
    </cfRule>
  </conditionalFormatting>
  <conditionalFormatting sqref="AN13">
    <cfRule type="containsText" dxfId="12442" priority="3634" operator="containsText" text="Done">
      <formula>NOT(ISERROR(SEARCH("Done",Z3)))</formula>
    </cfRule>
  </conditionalFormatting>
  <conditionalFormatting sqref="AO13">
    <cfRule type="containsText" dxfId="12441" priority="3635" operator="containsText" text="Done">
      <formula>NOT(ISERROR(SEARCH("Done",Z3)))</formula>
    </cfRule>
  </conditionalFormatting>
  <conditionalFormatting sqref="AP13">
    <cfRule type="containsText" dxfId="12440" priority="3636" operator="containsText" text="Done">
      <formula>NOT(ISERROR(SEARCH("Done",Z3)))</formula>
    </cfRule>
  </conditionalFormatting>
  <conditionalFormatting sqref="AQ13">
    <cfRule type="containsText" dxfId="12439" priority="3637" operator="containsText" text="Done">
      <formula>NOT(ISERROR(SEARCH("Done",Z3)))</formula>
    </cfRule>
  </conditionalFormatting>
  <conditionalFormatting sqref="AR13">
    <cfRule type="containsText" dxfId="12438" priority="3638" operator="containsText" text="Done">
      <formula>NOT(ISERROR(SEARCH("Done",Z3)))</formula>
    </cfRule>
  </conditionalFormatting>
  <conditionalFormatting sqref="AS13">
    <cfRule type="containsText" dxfId="12437" priority="3639" operator="containsText" text="Done">
      <formula>NOT(ISERROR(SEARCH("Done",Z3)))</formula>
    </cfRule>
  </conditionalFormatting>
  <conditionalFormatting sqref="AT13">
    <cfRule type="containsText" dxfId="12436" priority="3640" operator="containsText" text="Done">
      <formula>NOT(ISERROR(SEARCH("Done",Z3)))</formula>
    </cfRule>
  </conditionalFormatting>
  <conditionalFormatting sqref="AU13">
    <cfRule type="containsText" dxfId="12435" priority="3641" operator="containsText" text="Done">
      <formula>NOT(ISERROR(SEARCH("Done",Z3)))</formula>
    </cfRule>
  </conditionalFormatting>
  <conditionalFormatting sqref="AV13">
    <cfRule type="containsText" dxfId="12434" priority="3642" operator="containsText" text="Done">
      <formula>NOT(ISERROR(SEARCH("Done",Z3)))</formula>
    </cfRule>
  </conditionalFormatting>
  <conditionalFormatting sqref="AW13">
    <cfRule type="containsText" dxfId="12433" priority="3643" operator="containsText" text="Done">
      <formula>NOT(ISERROR(SEARCH("Done",Z3)))</formula>
    </cfRule>
  </conditionalFormatting>
  <conditionalFormatting sqref="AX13">
    <cfRule type="containsText" dxfId="12432" priority="3644" operator="containsText" text="Done">
      <formula>NOT(ISERROR(SEARCH("Done",Z3)))</formula>
    </cfRule>
  </conditionalFormatting>
  <conditionalFormatting sqref="AY13">
    <cfRule type="containsText" dxfId="12431" priority="3645" operator="containsText" text="Done">
      <formula>NOT(ISERROR(SEARCH("Done",Z3)))</formula>
    </cfRule>
  </conditionalFormatting>
  <conditionalFormatting sqref="AZ13">
    <cfRule type="containsText" dxfId="12430" priority="3646" operator="containsText" text="Done">
      <formula>NOT(ISERROR(SEARCH("Done",Z3)))</formula>
    </cfRule>
  </conditionalFormatting>
  <conditionalFormatting sqref="AJ20:AJ21">
    <cfRule type="containsText" dxfId="12429" priority="3647" operator="containsText" text="Done">
      <formula>NOT(ISERROR(SEARCH("Done",Z3)))</formula>
    </cfRule>
  </conditionalFormatting>
  <conditionalFormatting sqref="AJ20">
    <cfRule type="containsText" dxfId="12428" priority="3648" operator="containsText" text="Done">
      <formula>NOT(ISERROR(SEARCH("Done",Z3)))</formula>
    </cfRule>
  </conditionalFormatting>
  <conditionalFormatting sqref="AJ41">
    <cfRule type="containsText" dxfId="12427" priority="3649" operator="containsText" text="Done">
      <formula>NOT(ISERROR(SEARCH("Done",Z3)))</formula>
    </cfRule>
  </conditionalFormatting>
  <conditionalFormatting sqref="AJ42">
    <cfRule type="containsText" dxfId="12426" priority="3650" operator="containsText" text="Done">
      <formula>NOT(ISERROR(SEARCH("Done",Z3)))</formula>
    </cfRule>
  </conditionalFormatting>
  <conditionalFormatting sqref="AJ42">
    <cfRule type="containsText" dxfId="12425" priority="3651" operator="containsText" text="Done">
      <formula>NOT(ISERROR(SEARCH("Done",Z3)))</formula>
    </cfRule>
  </conditionalFormatting>
  <conditionalFormatting sqref="AK41:AK52">
    <cfRule type="containsText" dxfId="12424" priority="3652" operator="containsText" text="Done">
      <formula>NOT(ISERROR(SEARCH("Done",Z3)))</formula>
    </cfRule>
  </conditionalFormatting>
  <conditionalFormatting sqref="AK41">
    <cfRule type="containsText" dxfId="12423" priority="3653" operator="containsText" text="Done">
      <formula>NOT(ISERROR(SEARCH("Done",Z3)))</formula>
    </cfRule>
  </conditionalFormatting>
  <conditionalFormatting sqref="AK42">
    <cfRule type="containsText" dxfId="12422" priority="3654" operator="containsText" text="Done">
      <formula>NOT(ISERROR(SEARCH("Done",Z3)))</formula>
    </cfRule>
  </conditionalFormatting>
  <conditionalFormatting sqref="AK42">
    <cfRule type="containsText" dxfId="12421" priority="3655" operator="containsText" text="Done">
      <formula>NOT(ISERROR(SEARCH("Done",Z3)))</formula>
    </cfRule>
  </conditionalFormatting>
  <conditionalFormatting sqref="AJ54">
    <cfRule type="containsText" dxfId="12420" priority="3656" operator="containsText" text="Done">
      <formula>NOT(ISERROR(SEARCH("Done",Z3)))</formula>
    </cfRule>
  </conditionalFormatting>
  <conditionalFormatting sqref="AK53">
    <cfRule type="containsText" dxfId="12419" priority="3657" operator="containsText" text="Done">
      <formula>NOT(ISERROR(SEARCH("Done",Z3)))</formula>
    </cfRule>
  </conditionalFormatting>
  <conditionalFormatting sqref="AR54">
    <cfRule type="containsText" dxfId="12418" priority="3658" operator="containsText" text="Done">
      <formula>NOT(ISERROR(SEARCH("Done",Z3)))</formula>
    </cfRule>
  </conditionalFormatting>
  <conditionalFormatting sqref="AB42 AB44 AB45 AB46 AB47 AC42 AC43 AC44 AC45 AC46 AC47">
    <cfRule type="containsText" dxfId="12417" priority="3659" operator="containsText" text="Done">
      <formula>NOT(ISERROR(SEARCH("Done",Z3)))</formula>
    </cfRule>
  </conditionalFormatting>
  <conditionalFormatting sqref="AB43">
    <cfRule type="containsText" dxfId="12416" priority="3660" operator="containsText" text="Done">
      <formula>NOT(ISERROR(SEARCH("Done",Z3)))</formula>
    </cfRule>
  </conditionalFormatting>
  <conditionalFormatting sqref="AG40 AH40">
    <cfRule type="containsText" dxfId="12415" priority="3661" operator="containsText" text="Done">
      <formula>NOT(ISERROR(SEARCH("Done",Z3)))</formula>
    </cfRule>
  </conditionalFormatting>
  <conditionalFormatting sqref="AC34">
    <cfRule type="containsText" dxfId="12414" priority="3662" operator="containsText" text="Done">
      <formula>NOT(ISERROR(SEARCH("Done",Z3)))</formula>
    </cfRule>
  </conditionalFormatting>
  <conditionalFormatting sqref="AC33">
    <cfRule type="containsText" dxfId="12413" priority="3663" operator="containsText" text="Done">
      <formula>NOT(ISERROR(SEARCH("Done",Z3)))</formula>
    </cfRule>
  </conditionalFormatting>
  <conditionalFormatting sqref="AC35">
    <cfRule type="containsText" dxfId="12412" priority="3664" operator="containsText" text="Done">
      <formula>NOT(ISERROR(SEARCH("Done",Z3)))</formula>
    </cfRule>
  </conditionalFormatting>
  <conditionalFormatting sqref="AC36">
    <cfRule type="containsText" dxfId="12411" priority="3665" operator="containsText" text="Done">
      <formula>NOT(ISERROR(SEARCH("Done",Z3)))</formula>
    </cfRule>
  </conditionalFormatting>
  <conditionalFormatting sqref="AC37">
    <cfRule type="containsText" dxfId="12410" priority="3666" operator="containsText" text="Done">
      <formula>NOT(ISERROR(SEARCH("Done",Z3)))</formula>
    </cfRule>
  </conditionalFormatting>
  <conditionalFormatting sqref="AC38">
    <cfRule type="containsText" dxfId="12409" priority="3667" operator="containsText" text="Done">
      <formula>NOT(ISERROR(SEARCH("Done",Z3)))</formula>
    </cfRule>
  </conditionalFormatting>
  <conditionalFormatting sqref="AC39">
    <cfRule type="containsText" dxfId="12408" priority="3668" operator="containsText" text="Done">
      <formula>NOT(ISERROR(SEARCH("Done",Z3)))</formula>
    </cfRule>
  </conditionalFormatting>
  <conditionalFormatting sqref="AC40">
    <cfRule type="containsText" dxfId="12407" priority="3669" operator="containsText" text="Done">
      <formula>NOT(ISERROR(SEARCH("Done",Z3)))</formula>
    </cfRule>
  </conditionalFormatting>
  <conditionalFormatting sqref="AB35">
    <cfRule type="containsText" dxfId="12406" priority="3670" operator="containsText" text="Done">
      <formula>NOT(ISERROR(SEARCH("Done",Z3)))</formula>
    </cfRule>
  </conditionalFormatting>
  <conditionalFormatting sqref="AB36">
    <cfRule type="containsText" dxfId="12405" priority="3671" operator="containsText" text="Done">
      <formula>NOT(ISERROR(SEARCH("Done",Z3)))</formula>
    </cfRule>
  </conditionalFormatting>
  <conditionalFormatting sqref="AB37">
    <cfRule type="containsText" dxfId="12404" priority="3672" operator="containsText" text="Done">
      <formula>NOT(ISERROR(SEARCH("Done",Z3)))</formula>
    </cfRule>
  </conditionalFormatting>
  <conditionalFormatting sqref="AM44:AM52">
    <cfRule type="containsText" dxfId="12403" priority="3673" operator="containsText" text="Done">
      <formula>NOT(ISERROR(SEARCH("Done",Z3)))</formula>
    </cfRule>
  </conditionalFormatting>
  <conditionalFormatting sqref="AM41">
    <cfRule type="containsText" dxfId="12402" priority="3674" operator="containsText" text="Done">
      <formula>NOT(ISERROR(SEARCH("Done",Z3)))</formula>
    </cfRule>
  </conditionalFormatting>
  <conditionalFormatting sqref="AN40:AN52">
    <cfRule type="containsText" dxfId="12401" priority="3675" operator="containsText" text="Done">
      <formula>NOT(ISERROR(SEARCH("Done",Z3)))</formula>
    </cfRule>
  </conditionalFormatting>
  <conditionalFormatting sqref="AN44:AN52">
    <cfRule type="containsText" dxfId="12400" priority="3676" operator="containsText" text="Done">
      <formula>NOT(ISERROR(SEARCH("Done",Z3)))</formula>
    </cfRule>
  </conditionalFormatting>
  <conditionalFormatting sqref="AN41">
    <cfRule type="containsText" dxfId="12399" priority="3677" operator="containsText" text="Done">
      <formula>NOT(ISERROR(SEARCH("Done",Z3)))</formula>
    </cfRule>
  </conditionalFormatting>
  <conditionalFormatting sqref="AQ42:AQ52">
    <cfRule type="containsText" dxfId="12398" priority="3678" operator="containsText" text="Done">
      <formula>NOT(ISERROR(SEARCH("Done",Z3)))</formula>
    </cfRule>
  </conditionalFormatting>
  <conditionalFormatting sqref="AP41">
    <cfRule type="containsText" dxfId="12397" priority="3679" operator="containsText" text="Done">
      <formula>NOT(ISERROR(SEARCH("Done",Z3)))</formula>
    </cfRule>
  </conditionalFormatting>
  <conditionalFormatting sqref="AM53">
    <cfRule type="containsText" dxfId="12396" priority="3680" operator="containsText" text="Done">
      <formula>NOT(ISERROR(SEARCH("Done",Z3)))</formula>
    </cfRule>
  </conditionalFormatting>
  <conditionalFormatting sqref="AL54">
    <cfRule type="containsText" dxfId="12395" priority="3681" operator="containsText" text="Done">
      <formula>NOT(ISERROR(SEARCH("Done",Z3)))</formula>
    </cfRule>
  </conditionalFormatting>
  <conditionalFormatting sqref="AU54">
    <cfRule type="containsText" dxfId="12394" priority="3682" operator="containsText" text="Done">
      <formula>NOT(ISERROR(SEARCH("Done",Z3)))</formula>
    </cfRule>
  </conditionalFormatting>
  <conditionalFormatting sqref="AV53">
    <cfRule type="containsText" dxfId="12393" priority="3683" operator="containsText" text="Done">
      <formula>NOT(ISERROR(SEARCH("Done",Z3)))</formula>
    </cfRule>
  </conditionalFormatting>
  <conditionalFormatting sqref="AX53">
    <cfRule type="containsText" dxfId="12392" priority="3684" operator="containsText" text="Done">
      <formula>NOT(ISERROR(SEARCH("Done",Z3)))</formula>
    </cfRule>
  </conditionalFormatting>
  <conditionalFormatting sqref="AY53">
    <cfRule type="containsText" dxfId="12391" priority="3685" operator="containsText" text="Done">
      <formula>NOT(ISERROR(SEARCH("Done",Z3)))</formula>
    </cfRule>
  </conditionalFormatting>
  <conditionalFormatting sqref="AS53">
    <cfRule type="containsText" dxfId="12390" priority="3686" operator="containsText" text="Done">
      <formula>NOT(ISERROR(SEARCH("Done",Z3)))</formula>
    </cfRule>
  </conditionalFormatting>
  <conditionalFormatting sqref="AT53">
    <cfRule type="containsText" dxfId="12389" priority="3687" operator="containsText" text="Done">
      <formula>NOT(ISERROR(SEARCH("Done",Z3)))</formula>
    </cfRule>
  </conditionalFormatting>
  <conditionalFormatting sqref="AS55">
    <cfRule type="containsText" dxfId="12388" priority="3688" operator="containsText" text="Done">
      <formula>NOT(ISERROR(SEARCH("Done",Z3)))</formula>
    </cfRule>
  </conditionalFormatting>
  <conditionalFormatting sqref="AG25">
    <cfRule type="containsText" dxfId="12387" priority="3689" operator="containsText" text="Done">
      <formula>NOT(ISERROR(SEARCH("Done",Z3)))</formula>
    </cfRule>
  </conditionalFormatting>
  <conditionalFormatting sqref="AH25">
    <cfRule type="containsText" dxfId="12386" priority="3690" operator="containsText" text="Done">
      <formula>NOT(ISERROR(SEARCH("Done",Z3)))</formula>
    </cfRule>
  </conditionalFormatting>
  <conditionalFormatting sqref="AG28">
    <cfRule type="containsText" dxfId="12385" priority="3691" operator="containsText" text="Done">
      <formula>NOT(ISERROR(SEARCH("Done",Z3)))</formula>
    </cfRule>
  </conditionalFormatting>
  <conditionalFormatting sqref="AH28">
    <cfRule type="containsText" dxfId="12384" priority="3692" operator="containsText" text="Done">
      <formula>NOT(ISERROR(SEARCH("Done",Z3)))</formula>
    </cfRule>
  </conditionalFormatting>
  <conditionalFormatting sqref="AK23">
    <cfRule type="containsText" dxfId="12383" priority="3693" operator="containsText" text="Done">
      <formula>NOT(ISERROR(SEARCH("Done",Z3)))</formula>
    </cfRule>
  </conditionalFormatting>
  <conditionalFormatting sqref="AJ27 AK27">
    <cfRule type="containsText" dxfId="12382" priority="3694" operator="containsText" text="Done">
      <formula>NOT(ISERROR(SEARCH("Done",Z3)))</formula>
    </cfRule>
  </conditionalFormatting>
  <conditionalFormatting sqref="AK27">
    <cfRule type="containsText" dxfId="12381" priority="3695" operator="containsText" text="Done">
      <formula>NOT(ISERROR(SEARCH("Done",Z3)))</formula>
    </cfRule>
  </conditionalFormatting>
  <conditionalFormatting sqref="AK28">
    <cfRule type="containsText" dxfId="12380" priority="3696" operator="containsText" text="Done">
      <formula>NOT(ISERROR(SEARCH("Done",Z3)))</formula>
    </cfRule>
  </conditionalFormatting>
  <conditionalFormatting sqref="AK31">
    <cfRule type="containsText" dxfId="12379" priority="3697" operator="containsText" text="Done">
      <formula>NOT(ISERROR(SEARCH("Done",Z3)))</formula>
    </cfRule>
  </conditionalFormatting>
  <conditionalFormatting sqref="AN23:AN31">
    <cfRule type="containsText" dxfId="12378" priority="3698" operator="containsText" text="Done">
      <formula>NOT(ISERROR(SEARCH("Done",Z3)))</formula>
    </cfRule>
  </conditionalFormatting>
  <conditionalFormatting sqref="AO24">
    <cfRule type="containsText" dxfId="12377" priority="3699" operator="containsText" text="Done">
      <formula>NOT(ISERROR(SEARCH("Done",Z3)))</formula>
    </cfRule>
  </conditionalFormatting>
  <conditionalFormatting sqref="AP23:AP31">
    <cfRule type="containsText" dxfId="12376" priority="3700" operator="containsText" text="Done">
      <formula>NOT(ISERROR(SEARCH("Done",Z3)))</formula>
    </cfRule>
  </conditionalFormatting>
  <conditionalFormatting sqref="AP23:AP31">
    <cfRule type="containsText" dxfId="12375" priority="3701" operator="containsText" text="Done">
      <formula>NOT(ISERROR(SEARCH("Done",Z3)))</formula>
    </cfRule>
  </conditionalFormatting>
  <conditionalFormatting sqref="AQ23:AQ31">
    <cfRule type="containsText" dxfId="12374" priority="3702" operator="containsText" text="Done">
      <formula>NOT(ISERROR(SEARCH("Done",Z3)))</formula>
    </cfRule>
  </conditionalFormatting>
  <conditionalFormatting sqref="AQ23:AQ31">
    <cfRule type="containsText" dxfId="12373" priority="3703" operator="containsText" text="Done">
      <formula>NOT(ISERROR(SEARCH("Done",Z3)))</formula>
    </cfRule>
  </conditionalFormatting>
  <conditionalFormatting sqref="AR24">
    <cfRule type="containsText" dxfId="12372" priority="3704" operator="containsText" text="Done">
      <formula>NOT(ISERROR(SEARCH("Done",Z3)))</formula>
    </cfRule>
  </conditionalFormatting>
  <conditionalFormatting sqref="AR25">
    <cfRule type="containsText" dxfId="12371" priority="3705" operator="containsText" text="Done">
      <formula>NOT(ISERROR(SEARCH("Done",Z3)))</formula>
    </cfRule>
  </conditionalFormatting>
  <conditionalFormatting sqref="AR31">
    <cfRule type="containsText" dxfId="12370" priority="3706" operator="containsText" text="Done">
      <formula>NOT(ISERROR(SEARCH("Done",Z3)))</formula>
    </cfRule>
  </conditionalFormatting>
  <conditionalFormatting sqref="AR31">
    <cfRule type="containsText" dxfId="12369" priority="3707" operator="containsText" text="Done">
      <formula>NOT(ISERROR(SEARCH("Done",Z3)))</formula>
    </cfRule>
  </conditionalFormatting>
  <conditionalFormatting sqref="AR27">
    <cfRule type="containsText" dxfId="12368" priority="3708" operator="containsText" text="Done">
      <formula>NOT(ISERROR(SEARCH("Done",Z3)))</formula>
    </cfRule>
  </conditionalFormatting>
  <conditionalFormatting sqref="AS23:AS25">
    <cfRule type="containsText" dxfId="12367" priority="3709" operator="containsText" text="Done">
      <formula>NOT(ISERROR(SEARCH("Done",Z3)))</formula>
    </cfRule>
  </conditionalFormatting>
  <conditionalFormatting sqref="AS24">
    <cfRule type="containsText" dxfId="12366" priority="3710" operator="containsText" text="Done">
      <formula>NOT(ISERROR(SEARCH("Done",Z3)))</formula>
    </cfRule>
  </conditionalFormatting>
  <conditionalFormatting sqref="AS25">
    <cfRule type="containsText" dxfId="12365" priority="3711" operator="containsText" text="Done">
      <formula>NOT(ISERROR(SEARCH("Done",Z3)))</formula>
    </cfRule>
  </conditionalFormatting>
  <conditionalFormatting sqref="AS26:AS31">
    <cfRule type="containsText" dxfId="12364" priority="3712" operator="containsText" text="Done">
      <formula>NOT(ISERROR(SEARCH("Done",Z3)))</formula>
    </cfRule>
  </conditionalFormatting>
  <conditionalFormatting sqref="AS31">
    <cfRule type="containsText" dxfId="12363" priority="3713" operator="containsText" text="Done">
      <formula>NOT(ISERROR(SEARCH("Done",Z3)))</formula>
    </cfRule>
  </conditionalFormatting>
  <conditionalFormatting sqref="AS31">
    <cfRule type="containsText" dxfId="12362" priority="3714" operator="containsText" text="Done">
      <formula>NOT(ISERROR(SEARCH("Done",Z3)))</formula>
    </cfRule>
  </conditionalFormatting>
  <conditionalFormatting sqref="AS27">
    <cfRule type="containsText" dxfId="12361" priority="3715" operator="containsText" text="Done">
      <formula>NOT(ISERROR(SEARCH("Done",Z3)))</formula>
    </cfRule>
  </conditionalFormatting>
  <conditionalFormatting sqref="AT23:AT31">
    <cfRule type="containsText" dxfId="12360" priority="3716" operator="containsText" text="Done">
      <formula>NOT(ISERROR(SEARCH("Done",Z3)))</formula>
    </cfRule>
  </conditionalFormatting>
  <conditionalFormatting sqref="AT23:AT25">
    <cfRule type="containsText" dxfId="12359" priority="3717" operator="containsText" text="Done">
      <formula>NOT(ISERROR(SEARCH("Done",Z3)))</formula>
    </cfRule>
  </conditionalFormatting>
  <conditionalFormatting sqref="AT24">
    <cfRule type="containsText" dxfId="12358" priority="3718" operator="containsText" text="Done">
      <formula>NOT(ISERROR(SEARCH("Done",Z3)))</formula>
    </cfRule>
  </conditionalFormatting>
  <conditionalFormatting sqref="AT25">
    <cfRule type="containsText" dxfId="12357" priority="3719" operator="containsText" text="Done">
      <formula>NOT(ISERROR(SEARCH("Done",Z3)))</formula>
    </cfRule>
  </conditionalFormatting>
  <conditionalFormatting sqref="AT26:AT31">
    <cfRule type="containsText" dxfId="12356" priority="3720" operator="containsText" text="Done">
      <formula>NOT(ISERROR(SEARCH("Done",Z3)))</formula>
    </cfRule>
  </conditionalFormatting>
  <conditionalFormatting sqref="AT31">
    <cfRule type="containsText" dxfId="12355" priority="3721" operator="containsText" text="Done">
      <formula>NOT(ISERROR(SEARCH("Done",Z3)))</formula>
    </cfRule>
  </conditionalFormatting>
  <conditionalFormatting sqref="AT31">
    <cfRule type="containsText" dxfId="12354" priority="3722" operator="containsText" text="Done">
      <formula>NOT(ISERROR(SEARCH("Done",Z3)))</formula>
    </cfRule>
  </conditionalFormatting>
  <conditionalFormatting sqref="AT27">
    <cfRule type="containsText" dxfId="12353" priority="3723" operator="containsText" text="Done">
      <formula>NOT(ISERROR(SEARCH("Done",Z3)))</formula>
    </cfRule>
  </conditionalFormatting>
  <conditionalFormatting sqref="AU25 AV25">
    <cfRule type="containsText" dxfId="12352" priority="3724" operator="containsText" text="Done">
      <formula>NOT(ISERROR(SEARCH("Done",Z3)))</formula>
    </cfRule>
  </conditionalFormatting>
  <conditionalFormatting sqref="AU27 AV27">
    <cfRule type="containsText" dxfId="12351" priority="3725" operator="containsText" text="Done">
      <formula>NOT(ISERROR(SEARCH("Done",Z3)))</formula>
    </cfRule>
  </conditionalFormatting>
  <conditionalFormatting sqref="AU26">
    <cfRule type="containsText" dxfId="12350" priority="3726" operator="containsText" text="Done">
      <formula>NOT(ISERROR(SEARCH("Done",Z3)))</formula>
    </cfRule>
  </conditionalFormatting>
  <conditionalFormatting sqref="AU28 AV28">
    <cfRule type="containsText" dxfId="12349" priority="3727" operator="containsText" text="Done">
      <formula>NOT(ISERROR(SEARCH("Done",Z3)))</formula>
    </cfRule>
  </conditionalFormatting>
  <conditionalFormatting sqref="AU28">
    <cfRule type="containsText" dxfId="12348" priority="3728" operator="containsText" text="Done">
      <formula>NOT(ISERROR(SEARCH("Done",Z3)))</formula>
    </cfRule>
  </conditionalFormatting>
  <conditionalFormatting sqref="AX23">
    <cfRule type="containsText" dxfId="12347" priority="3729" operator="containsText" text="Done">
      <formula>NOT(ISERROR(SEARCH("Done",Z3)))</formula>
    </cfRule>
  </conditionalFormatting>
  <conditionalFormatting sqref="AY23">
    <cfRule type="containsText" dxfId="12346" priority="3730" operator="containsText" text="Done">
      <formula>NOT(ISERROR(SEARCH("Done",Z3)))</formula>
    </cfRule>
  </conditionalFormatting>
  <conditionalFormatting sqref="AZ23">
    <cfRule type="containsText" dxfId="12345" priority="3731" operator="containsText" text="Done">
      <formula>NOT(ISERROR(SEARCH("Done",Z3)))</formula>
    </cfRule>
  </conditionalFormatting>
  <conditionalFormatting sqref="AY26">
    <cfRule type="containsText" dxfId="12344" priority="3732" operator="containsText" text="Done">
      <formula>NOT(ISERROR(SEARCH("Done",Z3)))</formula>
    </cfRule>
  </conditionalFormatting>
  <conditionalFormatting sqref="AY28">
    <cfRule type="containsText" dxfId="12343" priority="3733" operator="containsText" text="Done">
      <formula>NOT(ISERROR(SEARCH("Done",Z3)))</formula>
    </cfRule>
  </conditionalFormatting>
  <conditionalFormatting sqref="AZ28">
    <cfRule type="containsText" dxfId="12342" priority="3734" operator="containsText" text="Done">
      <formula>NOT(ISERROR(SEARCH("Done",Z3)))</formula>
    </cfRule>
  </conditionalFormatting>
  <conditionalFormatting sqref="AS56">
    <cfRule type="containsText" dxfId="12341" priority="3735" operator="containsText" text="Done">
      <formula>NOT(ISERROR(SEARCH("Done",Z3)))</formula>
    </cfRule>
  </conditionalFormatting>
  <conditionalFormatting sqref="AS56">
    <cfRule type="containsText" dxfId="12340" priority="3736" operator="containsText" text="Done">
      <formula>NOT(ISERROR(SEARCH("Done",Z3)))</formula>
    </cfRule>
  </conditionalFormatting>
  <conditionalFormatting sqref="AT55">
    <cfRule type="containsText" dxfId="12339" priority="3737" operator="containsText" text="Done">
      <formula>NOT(ISERROR(SEARCH("Done",Z3)))</formula>
    </cfRule>
  </conditionalFormatting>
  <conditionalFormatting sqref="AT55">
    <cfRule type="containsText" dxfId="12338" priority="3738" operator="containsText" text="Done">
      <formula>NOT(ISERROR(SEARCH("Done",Z3)))</formula>
    </cfRule>
  </conditionalFormatting>
  <conditionalFormatting sqref="AT56">
    <cfRule type="containsText" dxfId="12337" priority="3739" operator="containsText" text="Done">
      <formula>NOT(ISERROR(SEARCH("Done",Z3)))</formula>
    </cfRule>
  </conditionalFormatting>
  <conditionalFormatting sqref="AT56">
    <cfRule type="containsText" dxfId="12336" priority="3740" operator="containsText" text="Done">
      <formula>NOT(ISERROR(SEARCH("Done",Z3)))</formula>
    </cfRule>
  </conditionalFormatting>
  <conditionalFormatting sqref="AO25">
    <cfRule type="containsText" dxfId="12335" priority="3741" operator="containsText" text="Done">
      <formula>NOT(ISERROR(SEARCH("Done",Z3)))</formula>
    </cfRule>
  </conditionalFormatting>
  <conditionalFormatting sqref="AO25">
    <cfRule type="containsText" dxfId="12334" priority="3742" operator="containsText" text="Done">
      <formula>NOT(ISERROR(SEARCH("Done",Z3)))</formula>
    </cfRule>
  </conditionalFormatting>
  <conditionalFormatting sqref="AF26">
    <cfRule type="containsText" dxfId="12333" priority="3743" operator="containsText" text="Done">
      <formula>NOT(ISERROR(SEARCH("Done",Z3)))</formula>
    </cfRule>
  </conditionalFormatting>
  <conditionalFormatting sqref="AI26">
    <cfRule type="containsText" dxfId="12332" priority="3744" operator="containsText" text="Done">
      <formula>NOT(ISERROR(SEARCH("Done",Z3)))</formula>
    </cfRule>
  </conditionalFormatting>
  <conditionalFormatting sqref="AW26">
    <cfRule type="containsText" dxfId="12331" priority="3745" operator="containsText" text="Done">
      <formula>NOT(ISERROR(SEARCH("Done",Z3)))</formula>
    </cfRule>
  </conditionalFormatting>
  <conditionalFormatting sqref="AY41:AY52">
    <cfRule type="containsText" dxfId="12330" priority="3746" operator="containsText" text="Done">
      <formula>NOT(ISERROR(SEARCH("Done",Z3)))</formula>
    </cfRule>
  </conditionalFormatting>
  <conditionalFormatting sqref="AZ41:AZ52">
    <cfRule type="containsText" dxfId="12329" priority="3747" operator="containsText" text="Done">
      <formula>NOT(ISERROR(SEARCH("Done",Z3)))</formula>
    </cfRule>
  </conditionalFormatting>
  <conditionalFormatting sqref="AG42 AH42">
    <cfRule type="containsText" dxfId="12328" priority="3748" operator="containsText" text="Done">
      <formula>NOT(ISERROR(SEARCH("Done",Z3)))</formula>
    </cfRule>
  </conditionalFormatting>
  <conditionalFormatting sqref="AH47">
    <cfRule type="containsText" dxfId="12327" priority="3749" operator="containsText" text="Done">
      <formula>NOT(ISERROR(SEARCH("Done",Z3)))</formula>
    </cfRule>
  </conditionalFormatting>
  <conditionalFormatting sqref="AH47">
    <cfRule type="containsText" dxfId="12326" priority="3750" operator="containsText" text="Done">
      <formula>NOT(ISERROR(SEARCH("Done",Z3)))</formula>
    </cfRule>
  </conditionalFormatting>
  <conditionalFormatting sqref="AH47">
    <cfRule type="containsText" dxfId="12325" priority="3751" operator="containsText" text="Done">
      <formula>NOT(ISERROR(SEARCH("Done",Z3)))</formula>
    </cfRule>
  </conditionalFormatting>
  <conditionalFormatting sqref="AH49">
    <cfRule type="containsText" dxfId="12324" priority="3752" operator="containsText" text="Done">
      <formula>NOT(ISERROR(SEARCH("Done",Z3)))</formula>
    </cfRule>
  </conditionalFormatting>
  <conditionalFormatting sqref="AH43">
    <cfRule type="containsText" dxfId="12323" priority="3753" operator="containsText" text="Done">
      <formula>NOT(ISERROR(SEARCH("Done",Z3)))</formula>
    </cfRule>
  </conditionalFormatting>
  <conditionalFormatting sqref="AH43">
    <cfRule type="containsText" dxfId="12322" priority="3754" operator="containsText" text="Done">
      <formula>NOT(ISERROR(SEARCH("Done",Z3)))</formula>
    </cfRule>
  </conditionalFormatting>
  <conditionalFormatting sqref="AU43">
    <cfRule type="containsText" dxfId="12321" priority="3755" operator="containsText" text="Done">
      <formula>NOT(ISERROR(SEARCH("Done",Z3)))</formula>
    </cfRule>
  </conditionalFormatting>
  <conditionalFormatting sqref="AU44">
    <cfRule type="containsText" dxfId="12320" priority="3756" operator="containsText" text="Done">
      <formula>NOT(ISERROR(SEARCH("Done",Z3)))</formula>
    </cfRule>
  </conditionalFormatting>
  <conditionalFormatting sqref="AU46">
    <cfRule type="containsText" dxfId="12319" priority="3757" operator="containsText" text="Done">
      <formula>NOT(ISERROR(SEARCH("Done",Z3)))</formula>
    </cfRule>
  </conditionalFormatting>
  <conditionalFormatting sqref="AU47">
    <cfRule type="containsText" dxfId="12318" priority="3758" operator="containsText" text="Done">
      <formula>NOT(ISERROR(SEARCH("Done",Z3)))</formula>
    </cfRule>
  </conditionalFormatting>
  <conditionalFormatting sqref="AU48">
    <cfRule type="containsText" dxfId="12317" priority="3759" operator="containsText" text="Done">
      <formula>NOT(ISERROR(SEARCH("Done",Z3)))</formula>
    </cfRule>
  </conditionalFormatting>
  <conditionalFormatting sqref="AU49">
    <cfRule type="containsText" dxfId="12316" priority="3760" operator="containsText" text="Done">
      <formula>NOT(ISERROR(SEARCH("Done",Z3)))</formula>
    </cfRule>
  </conditionalFormatting>
  <conditionalFormatting sqref="AU50">
    <cfRule type="containsText" dxfId="12315" priority="3761" operator="containsText" text="Done">
      <formula>NOT(ISERROR(SEARCH("Done",Z3)))</formula>
    </cfRule>
  </conditionalFormatting>
  <conditionalFormatting sqref="AU51">
    <cfRule type="containsText" dxfId="12314" priority="3762" operator="containsText" text="Done">
      <formula>NOT(ISERROR(SEARCH("Done",Z3)))</formula>
    </cfRule>
  </conditionalFormatting>
  <conditionalFormatting sqref="AU52">
    <cfRule type="containsText" dxfId="12313" priority="3763" operator="containsText" text="Done">
      <formula>NOT(ISERROR(SEARCH("Done",Z3)))</formula>
    </cfRule>
  </conditionalFormatting>
  <conditionalFormatting sqref="AV42:AV43">
    <cfRule type="containsText" dxfId="12312" priority="3764" operator="containsText" text="Done">
      <formula>NOT(ISERROR(SEARCH("Done",Z3)))</formula>
    </cfRule>
  </conditionalFormatting>
  <conditionalFormatting sqref="AV43">
    <cfRule type="containsText" dxfId="12311" priority="3765" operator="containsText" text="Done">
      <formula>NOT(ISERROR(SEARCH("Done",Z3)))</formula>
    </cfRule>
  </conditionalFormatting>
  <conditionalFormatting sqref="AV41">
    <cfRule type="containsText" dxfId="12310" priority="3766" operator="containsText" text="Done">
      <formula>NOT(ISERROR(SEARCH("Done",Z3)))</formula>
    </cfRule>
  </conditionalFormatting>
  <conditionalFormatting sqref="AV45:AV52">
    <cfRule type="containsText" dxfId="12309" priority="3767" operator="containsText" text="Done">
      <formula>NOT(ISERROR(SEARCH("Done",Z3)))</formula>
    </cfRule>
  </conditionalFormatting>
  <conditionalFormatting sqref="AV46">
    <cfRule type="containsText" dxfId="12308" priority="3768" operator="containsText" text="Done">
      <formula>NOT(ISERROR(SEARCH("Done",Z3)))</formula>
    </cfRule>
  </conditionalFormatting>
  <conditionalFormatting sqref="AV47">
    <cfRule type="containsText" dxfId="12307" priority="3769" operator="containsText" text="Done">
      <formula>NOT(ISERROR(SEARCH("Done",Z3)))</formula>
    </cfRule>
  </conditionalFormatting>
  <conditionalFormatting sqref="AV48">
    <cfRule type="containsText" dxfId="12306" priority="3770" operator="containsText" text="Done">
      <formula>NOT(ISERROR(SEARCH("Done",Z3)))</formula>
    </cfRule>
  </conditionalFormatting>
  <conditionalFormatting sqref="AV49">
    <cfRule type="containsText" dxfId="12305" priority="3771" operator="containsText" text="Done">
      <formula>NOT(ISERROR(SEARCH("Done",Z3)))</formula>
    </cfRule>
  </conditionalFormatting>
  <conditionalFormatting sqref="AV50">
    <cfRule type="containsText" dxfId="12304" priority="3772" operator="containsText" text="Done">
      <formula>NOT(ISERROR(SEARCH("Done",Z3)))</formula>
    </cfRule>
  </conditionalFormatting>
  <conditionalFormatting sqref="AV51">
    <cfRule type="containsText" dxfId="12303" priority="3773" operator="containsText" text="Done">
      <formula>NOT(ISERROR(SEARCH("Done",Z3)))</formula>
    </cfRule>
  </conditionalFormatting>
  <conditionalFormatting sqref="AV52">
    <cfRule type="containsText" dxfId="12302" priority="3774" operator="containsText" text="Done">
      <formula>NOT(ISERROR(SEARCH("Done",Z3)))</formula>
    </cfRule>
  </conditionalFormatting>
  <conditionalFormatting sqref="AW33:AW40">
    <cfRule type="containsText" dxfId="12301" priority="3775" operator="containsText" text="Done">
      <formula>NOT(ISERROR(SEARCH("Done",Z3)))</formula>
    </cfRule>
  </conditionalFormatting>
  <conditionalFormatting sqref="AY32:AY40">
    <cfRule type="containsText" dxfId="12300" priority="3776" operator="containsText" text="Done">
      <formula>NOT(ISERROR(SEARCH("Done",Z3)))</formula>
    </cfRule>
  </conditionalFormatting>
  <conditionalFormatting sqref="AZ32:AZ40">
    <cfRule type="containsText" dxfId="12299" priority="3777" operator="containsText" text="Done">
      <formula>NOT(ISERROR(SEARCH("Done",Z3)))</formula>
    </cfRule>
  </conditionalFormatting>
  <conditionalFormatting sqref="AJ33 AK33 AL33 AM33 AN33 AO33 AP33 AQ33 AR33 AS33 AT33">
    <cfRule type="containsText" dxfId="12298" priority="3778" operator="containsText" text="Done">
      <formula>NOT(ISERROR(SEARCH("Done",Z3)))</formula>
    </cfRule>
  </conditionalFormatting>
  <conditionalFormatting sqref="AS34">
    <cfRule type="containsText" dxfId="12297" priority="3779" operator="containsText" text="Done">
      <formula>NOT(ISERROR(SEARCH("Done",Z3)))</formula>
    </cfRule>
  </conditionalFormatting>
  <conditionalFormatting sqref="AP35:AP36 AQ35:AQ36">
    <cfRule type="containsText" dxfId="12296" priority="3780" operator="containsText" text="Done">
      <formula>NOT(ISERROR(SEARCH("Done",Z3)))</formula>
    </cfRule>
  </conditionalFormatting>
  <conditionalFormatting sqref="AL39">
    <cfRule type="containsText" dxfId="12295" priority="3781" operator="containsText" text="Done">
      <formula>NOT(ISERROR(SEARCH("Done",Z3)))</formula>
    </cfRule>
  </conditionalFormatting>
  <conditionalFormatting sqref="AX31">
    <cfRule type="containsText" dxfId="12294" priority="3782" operator="containsText" text="Done">
      <formula>NOT(ISERROR(SEARCH("Done",Z3)))</formula>
    </cfRule>
  </conditionalFormatting>
  <conditionalFormatting sqref="AX31">
    <cfRule type="containsText" dxfId="12293" priority="3783" operator="containsText" text="Done">
      <formula>NOT(ISERROR(SEARCH("Done",Z3)))</formula>
    </cfRule>
  </conditionalFormatting>
  <conditionalFormatting sqref="AY31">
    <cfRule type="containsText" dxfId="12292" priority="3784" operator="containsText" text="Done">
      <formula>NOT(ISERROR(SEARCH("Done",Z3)))</formula>
    </cfRule>
  </conditionalFormatting>
  <conditionalFormatting sqref="AY31">
    <cfRule type="containsText" dxfId="12291" priority="3785" operator="containsText" text="Done">
      <formula>NOT(ISERROR(SEARCH("Done",Z3)))</formula>
    </cfRule>
  </conditionalFormatting>
  <conditionalFormatting sqref="AZ31">
    <cfRule type="containsText" dxfId="12290" priority="3786" operator="containsText" text="Done">
      <formula>NOT(ISERROR(SEARCH("Done",Z3)))</formula>
    </cfRule>
  </conditionalFormatting>
  <conditionalFormatting sqref="AZ31">
    <cfRule type="containsText" dxfId="12289" priority="3787" operator="containsText" text="Done">
      <formula>NOT(ISERROR(SEARCH("Done",Z3)))</formula>
    </cfRule>
  </conditionalFormatting>
  <conditionalFormatting sqref="AV24:AV25">
    <cfRule type="containsText" dxfId="12288" priority="3788" operator="containsText" text="Done">
      <formula>NOT(ISERROR(SEARCH("Done",Z3)))</formula>
    </cfRule>
  </conditionalFormatting>
  <conditionalFormatting sqref="AV25">
    <cfRule type="containsText" dxfId="12287" priority="3789" operator="containsText" text="Done">
      <formula>NOT(ISERROR(SEARCH("Done",Z3)))</formula>
    </cfRule>
  </conditionalFormatting>
  <conditionalFormatting sqref="AW24:AW25">
    <cfRule type="containsText" dxfId="12286" priority="3790" operator="containsText" text="Done">
      <formula>NOT(ISERROR(SEARCH("Done",Z3)))</formula>
    </cfRule>
  </conditionalFormatting>
  <conditionalFormatting sqref="AW25">
    <cfRule type="containsText" dxfId="12285" priority="3791" operator="containsText" text="Done">
      <formula>NOT(ISERROR(SEARCH("Done",Z3)))</formula>
    </cfRule>
  </conditionalFormatting>
  <conditionalFormatting sqref="AX24:AX25">
    <cfRule type="containsText" dxfId="12284" priority="3792" operator="containsText" text="Done">
      <formula>NOT(ISERROR(SEARCH("Done",Z3)))</formula>
    </cfRule>
  </conditionalFormatting>
  <conditionalFormatting sqref="AX25">
    <cfRule type="containsText" dxfId="12283" priority="3793" operator="containsText" text="Done">
      <formula>NOT(ISERROR(SEARCH("Done",Z3)))</formula>
    </cfRule>
  </conditionalFormatting>
  <conditionalFormatting sqref="AY24:AY25">
    <cfRule type="containsText" dxfId="12282" priority="3794" operator="containsText" text="Done">
      <formula>NOT(ISERROR(SEARCH("Done",Z3)))</formula>
    </cfRule>
  </conditionalFormatting>
  <conditionalFormatting sqref="AY25">
    <cfRule type="containsText" dxfId="12281" priority="3795" operator="containsText" text="Done">
      <formula>NOT(ISERROR(SEARCH("Done",Z3)))</formula>
    </cfRule>
  </conditionalFormatting>
  <conditionalFormatting sqref="AZ24:AZ25">
    <cfRule type="containsText" dxfId="12280" priority="3796" operator="containsText" text="Done">
      <formula>NOT(ISERROR(SEARCH("Done",Z3)))</formula>
    </cfRule>
  </conditionalFormatting>
  <conditionalFormatting sqref="AZ25">
    <cfRule type="containsText" dxfId="12279" priority="3797" operator="containsText" text="Done">
      <formula>NOT(ISERROR(SEARCH("Done",Z3)))</formula>
    </cfRule>
  </conditionalFormatting>
  <conditionalFormatting sqref="AA4:AA16 AA18:AA37 AA39:AA40">
    <cfRule type="containsText" dxfId="12278" priority="5" operator="containsText" text="Pending">
      <formula>NOT(ISERROR(SEARCH("Pending",Z3)))</formula>
    </cfRule>
  </conditionalFormatting>
  <conditionalFormatting sqref="AB4:AB16 AB18:AB22 AB25 AB28 AB30:AB34 AB38:AB41 AB53:AB55">
    <cfRule type="containsText" dxfId="12277" priority="3798" operator="containsText" text="Pending">
      <formula>NOT(ISERROR(SEARCH("Pending",Z3)))</formula>
    </cfRule>
  </conditionalFormatting>
  <conditionalFormatting sqref="AB56">
    <cfRule type="containsText" dxfId="12276" priority="3799" operator="containsText" text="Pending">
      <formula>NOT(ISERROR(SEARCH("Pending",Z3)))</formula>
    </cfRule>
  </conditionalFormatting>
  <conditionalFormatting sqref="AC4:AC16 AC18:AC22 AC26:AC29 AC32 AC41 AC48:AC55">
    <cfRule type="containsText" dxfId="12275" priority="3800" operator="containsText" text="Pending">
      <formula>NOT(ISERROR(SEARCH("Pending",Z3)))</formula>
    </cfRule>
  </conditionalFormatting>
  <conditionalFormatting sqref="AC56">
    <cfRule type="containsText" dxfId="12274" priority="3801" operator="containsText" text="Pending">
      <formula>NOT(ISERROR(SEARCH("Pending",Z3)))</formula>
    </cfRule>
  </conditionalFormatting>
  <conditionalFormatting sqref="AE4:AE55 AF4:AF16 AF18:AF24 AF27:AF55 AG4:AG55 AH4:AH16 AH18:AH55 AI4:AI16 AI18:AI55 AJ4:AJ16 AJ18:AJ55 AK4:AK16 AK18:AK55 AL4:AL16 AL18:AL55 AM4:AM16 AM18:AM55 AN4:AN16 AN18:AN55 AO4:AO16 AO18:AO55 AP4:AP16 AP18:AP55 AQ4:AQ16 AQ18:AQ55 AR4:AR16 AR18:AR55 AS4:AS16 AS18:AS55 AT4:AT16 AT18:AT55 AU4:AU16 AU18:AU55 AV4:AV16 AV18:AV55 AW4:AW16 AW18:AW55 AX4:AX16 AX18:AX55 AY4:AY16 AY18:AY55 AZ4:AZ16 AZ18:AZ55 BA4:BA55">
    <cfRule type="containsText" dxfId="12273" priority="3802" operator="containsText" text="Pending">
      <formula>NOT(ISERROR(SEARCH("Pending",Z3)))</formula>
    </cfRule>
  </conditionalFormatting>
  <conditionalFormatting sqref="AE56 AF56 AH56 AI56 AO56 AP56 AQ56 BA56">
    <cfRule type="containsText" dxfId="12272" priority="3803" operator="containsText" text="Pending">
      <formula>NOT(ISERROR(SEARCH("Pending",Z3)))</formula>
    </cfRule>
  </conditionalFormatting>
  <conditionalFormatting sqref="AE50 AF50">
    <cfRule type="containsText" dxfId="12271" priority="3804" operator="containsText" text="Pending">
      <formula>NOT(ISERROR(SEARCH("Pending",Z3)))</formula>
    </cfRule>
  </conditionalFormatting>
  <conditionalFormatting sqref="AG5 AH5">
    <cfRule type="containsText" dxfId="12270" priority="3805" operator="containsText" text="Pending">
      <formula>NOT(ISERROR(SEARCH("Pending",Z3)))</formula>
    </cfRule>
  </conditionalFormatting>
  <conditionalFormatting sqref="AG6 AH6">
    <cfRule type="containsText" dxfId="12269" priority="3806" operator="containsText" text="Pending">
      <formula>NOT(ISERROR(SEARCH("Pending",Z3)))</formula>
    </cfRule>
  </conditionalFormatting>
  <conditionalFormatting sqref="AJ6 AK6">
    <cfRule type="containsText" dxfId="12268" priority="3807" operator="containsText" text="Pending">
      <formula>NOT(ISERROR(SEARCH("Pending",Z3)))</formula>
    </cfRule>
  </conditionalFormatting>
  <conditionalFormatting sqref="AA6">
    <cfRule type="containsText" dxfId="12267" priority="3808" operator="containsText" text="Pending">
      <formula>NOT(ISERROR(SEARCH("Pending",Z3)))</formula>
    </cfRule>
  </conditionalFormatting>
  <conditionalFormatting sqref="AA7">
    <cfRule type="containsText" dxfId="12266" priority="3809" operator="containsText" text="Pending">
      <formula>NOT(ISERROR(SEARCH("Pending",Z3)))</formula>
    </cfRule>
  </conditionalFormatting>
  <conditionalFormatting sqref="AA9">
    <cfRule type="containsText" dxfId="12265" priority="3810" operator="containsText" text="Pending">
      <formula>NOT(ISERROR(SEARCH("Pending",Z3)))</formula>
    </cfRule>
  </conditionalFormatting>
  <conditionalFormatting sqref="AA4">
    <cfRule type="containsText" dxfId="12264" priority="3811" operator="containsText" text="Pending">
      <formula>NOT(ISERROR(SEARCH("Pending",Z3)))</formula>
    </cfRule>
  </conditionalFormatting>
  <conditionalFormatting sqref="AA3">
    <cfRule type="containsText" dxfId="12263" priority="3812" operator="containsText" text="Pending">
      <formula>NOT(ISERROR(SEARCH("Pending",Z3)))</formula>
    </cfRule>
  </conditionalFormatting>
  <conditionalFormatting sqref="AF8">
    <cfRule type="containsText" dxfId="12262" priority="3813" operator="containsText" text="Pending">
      <formula>NOT(ISERROR(SEARCH("Pending",Z3)))</formula>
    </cfRule>
  </conditionalFormatting>
  <conditionalFormatting sqref="AE4 AF4 AG4 AH4 AI4 AJ4 AK4 AL4 AM4 AN4 AO4 AP4 AQ4 AR4 AS4 AT4 AU4 AV4 AW4 AX4 AY4 AZ4">
    <cfRule type="containsText" dxfId="12261" priority="3814" operator="containsText" text="Pending">
      <formula>NOT(ISERROR(SEARCH("Pending",Z3)))</formula>
    </cfRule>
  </conditionalFormatting>
  <conditionalFormatting sqref="AF4">
    <cfRule type="containsText" dxfId="12260" priority="3815" operator="containsText" text="Pending">
      <formula>NOT(ISERROR(SEARCH("Pending",Z3)))</formula>
    </cfRule>
  </conditionalFormatting>
  <conditionalFormatting sqref="AG3 AH3">
    <cfRule type="containsText" dxfId="12259" priority="3816" operator="containsText" text="Pending">
      <formula>NOT(ISERROR(SEARCH("Pending",Z3)))</formula>
    </cfRule>
  </conditionalFormatting>
  <conditionalFormatting sqref="AG3 AH3">
    <cfRule type="containsText" dxfId="12258" priority="3817" operator="containsText" text="Pending">
      <formula>NOT(ISERROR(SEARCH("Pending",Z3)))</formula>
    </cfRule>
  </conditionalFormatting>
  <conditionalFormatting sqref="AJ3 AK3 AL3 AM3 AN3 AO3 AP3 AQ3 AR3 AS3 AT3">
    <cfRule type="containsText" dxfId="12257" priority="3818" operator="containsText" text="Pending">
      <formula>NOT(ISERROR(SEARCH("Pending",Z3)))</formula>
    </cfRule>
  </conditionalFormatting>
  <conditionalFormatting sqref="AU3 AV3 AW3 AX3 AY3 AZ3">
    <cfRule type="containsText" dxfId="12256" priority="3819" operator="containsText" text="Pending">
      <formula>NOT(ISERROR(SEARCH("Pending",Z3)))</formula>
    </cfRule>
  </conditionalFormatting>
  <conditionalFormatting sqref="AG54">
    <cfRule type="containsText" dxfId="12255" priority="3820" operator="containsText" text="Pending">
      <formula>NOT(ISERROR(SEARCH("Pending",Z3)))</formula>
    </cfRule>
  </conditionalFormatting>
  <conditionalFormatting sqref="AF25">
    <cfRule type="containsText" dxfId="12254" priority="3821" operator="containsText" text="Pending">
      <formula>NOT(ISERROR(SEARCH("Pending",Z3)))</formula>
    </cfRule>
  </conditionalFormatting>
  <conditionalFormatting sqref="AF31">
    <cfRule type="containsText" dxfId="12253" priority="3822" operator="containsText" text="Pending">
      <formula>NOT(ISERROR(SEARCH("Pending",Z3)))</formula>
    </cfRule>
  </conditionalFormatting>
  <conditionalFormatting sqref="AF30">
    <cfRule type="containsText" dxfId="12252" priority="3823" operator="containsText" text="Pending">
      <formula>NOT(ISERROR(SEARCH("Pending",Z3)))</formula>
    </cfRule>
  </conditionalFormatting>
  <conditionalFormatting sqref="AE30">
    <cfRule type="containsText" dxfId="12251" priority="3824" operator="containsText" text="Pending">
      <formula>NOT(ISERROR(SEARCH("Pending",Z3)))</formula>
    </cfRule>
  </conditionalFormatting>
  <conditionalFormatting sqref="AE31">
    <cfRule type="containsText" dxfId="12250" priority="3825" operator="containsText" text="Pending">
      <formula>NOT(ISERROR(SEARCH("Pending",Z3)))</formula>
    </cfRule>
  </conditionalFormatting>
  <conditionalFormatting sqref="AE28">
    <cfRule type="containsText" dxfId="12249" priority="3826" operator="containsText" text="Pending">
      <formula>NOT(ISERROR(SEARCH("Pending",Z3)))</formula>
    </cfRule>
  </conditionalFormatting>
  <conditionalFormatting sqref="AE15:AE16">
    <cfRule type="containsText" dxfId="12248" priority="3827" operator="containsText" text="Pending">
      <formula>NOT(ISERROR(SEARCH("Pending",Z3)))</formula>
    </cfRule>
  </conditionalFormatting>
  <conditionalFormatting sqref="AF15:AF16">
    <cfRule type="containsText" dxfId="12247" priority="3828" operator="containsText" text="Pending">
      <formula>NOT(ISERROR(SEARCH("Pending",Z3)))</formula>
    </cfRule>
  </conditionalFormatting>
  <conditionalFormatting sqref="AB24">
    <cfRule type="containsText" dxfId="12246" priority="3829" operator="containsText" text="Pending">
      <formula>NOT(ISERROR(SEARCH("Pending",Z3)))</formula>
    </cfRule>
  </conditionalFormatting>
  <conditionalFormatting sqref="AB26">
    <cfRule type="containsText" dxfId="12245" priority="3830" operator="containsText" text="Pending">
      <formula>NOT(ISERROR(SEARCH("Pending",Z3)))</formula>
    </cfRule>
  </conditionalFormatting>
  <conditionalFormatting sqref="AB27">
    <cfRule type="containsText" dxfId="12244" priority="3831" operator="containsText" text="Pending">
      <formula>NOT(ISERROR(SEARCH("Pending",Z3)))</formula>
    </cfRule>
  </conditionalFormatting>
  <conditionalFormatting sqref="AB29">
    <cfRule type="containsText" dxfId="12243" priority="3832" operator="containsText" text="Pending">
      <formula>NOT(ISERROR(SEARCH("Pending",Z3)))</formula>
    </cfRule>
  </conditionalFormatting>
  <conditionalFormatting sqref="AC23">
    <cfRule type="containsText" dxfId="12242" priority="3833" operator="containsText" text="Pending">
      <formula>NOT(ISERROR(SEARCH("Pending",Z3)))</formula>
    </cfRule>
  </conditionalFormatting>
  <conditionalFormatting sqref="AC24">
    <cfRule type="containsText" dxfId="12241" priority="3834" operator="containsText" text="Pending">
      <formula>NOT(ISERROR(SEARCH("Pending",Z3)))</formula>
    </cfRule>
  </conditionalFormatting>
  <conditionalFormatting sqref="AC25">
    <cfRule type="containsText" dxfId="12240" priority="3835" operator="containsText" text="Pending">
      <formula>NOT(ISERROR(SEARCH("Pending",Z3)))</formula>
    </cfRule>
  </conditionalFormatting>
  <conditionalFormatting sqref="AC30">
    <cfRule type="containsText" dxfId="12239" priority="3836" operator="containsText" text="Pending">
      <formula>NOT(ISERROR(SEARCH("Pending",Z3)))</formula>
    </cfRule>
  </conditionalFormatting>
  <conditionalFormatting sqref="AC31">
    <cfRule type="containsText" dxfId="12238" priority="3837" operator="containsText" text="Pending">
      <formula>NOT(ISERROR(SEARCH("Pending",Z3)))</formula>
    </cfRule>
  </conditionalFormatting>
  <conditionalFormatting sqref="AB23">
    <cfRule type="containsText" dxfId="12237" priority="3838" operator="containsText" text="Pending">
      <formula>NOT(ISERROR(SEARCH("Pending",Z3)))</formula>
    </cfRule>
  </conditionalFormatting>
  <conditionalFormatting sqref="AL12">
    <cfRule type="containsText" dxfId="12236" priority="3839" operator="containsText" text="Pending">
      <formula>NOT(ISERROR(SEARCH("Pending",Z3)))</formula>
    </cfRule>
  </conditionalFormatting>
  <conditionalFormatting sqref="AG14 AH14">
    <cfRule type="containsText" dxfId="12235" priority="3840" operator="containsText" text="Pending">
      <formula>NOT(ISERROR(SEARCH("Pending",Z3)))</formula>
    </cfRule>
  </conditionalFormatting>
  <conditionalFormatting sqref="AJ14">
    <cfRule type="containsText" dxfId="12234" priority="3841" operator="containsText" text="Pending">
      <formula>NOT(ISERROR(SEARCH("Pending",Z3)))</formula>
    </cfRule>
  </conditionalFormatting>
  <conditionalFormatting sqref="AK14">
    <cfRule type="containsText" dxfId="12233" priority="3842" operator="containsText" text="Pending">
      <formula>NOT(ISERROR(SEARCH("Pending",Z3)))</formula>
    </cfRule>
  </conditionalFormatting>
  <conditionalFormatting sqref="AJ18">
    <cfRule type="containsText" dxfId="12232" priority="3843" operator="containsText" text="Pending">
      <formula>NOT(ISERROR(SEARCH("Pending",Z3)))</formula>
    </cfRule>
  </conditionalFormatting>
  <conditionalFormatting sqref="AG20 AH20 AI20">
    <cfRule type="containsText" dxfId="12231" priority="3844" operator="containsText" text="Pending">
      <formula>NOT(ISERROR(SEARCH("Pending",Z3)))</formula>
    </cfRule>
  </conditionalFormatting>
  <conditionalFormatting sqref="AO49">
    <cfRule type="containsText" dxfId="12230" priority="3845" operator="containsText" text="Pending">
      <formula>NOT(ISERROR(SEARCH("Pending",Z3)))</formula>
    </cfRule>
  </conditionalFormatting>
  <conditionalFormatting sqref="AO50">
    <cfRule type="containsText" dxfId="12229" priority="3846" operator="containsText" text="Pending">
      <formula>NOT(ISERROR(SEARCH("Pending",Z3)))</formula>
    </cfRule>
  </conditionalFormatting>
  <conditionalFormatting sqref="AO50">
    <cfRule type="containsText" dxfId="12228" priority="3847" operator="containsText" text="Pending">
      <formula>NOT(ISERROR(SEARCH("Pending",Z3)))</formula>
    </cfRule>
  </conditionalFormatting>
  <conditionalFormatting sqref="AO51">
    <cfRule type="containsText" dxfId="12227" priority="3848" operator="containsText" text="Pending">
      <formula>NOT(ISERROR(SEARCH("Pending",Z3)))</formula>
    </cfRule>
  </conditionalFormatting>
  <conditionalFormatting sqref="AO51">
    <cfRule type="containsText" dxfId="12226" priority="3849" operator="containsText" text="Pending">
      <formula>NOT(ISERROR(SEARCH("Pending",Z3)))</formula>
    </cfRule>
  </conditionalFormatting>
  <conditionalFormatting sqref="AO51">
    <cfRule type="containsText" dxfId="12225" priority="3850" operator="containsText" text="Pending">
      <formula>NOT(ISERROR(SEARCH("Pending",Z3)))</formula>
    </cfRule>
  </conditionalFormatting>
  <conditionalFormatting sqref="AC49:AC50">
    <cfRule type="containsText" dxfId="12224" priority="3851" operator="containsText" text="Pending">
      <formula>NOT(ISERROR(SEARCH("Pending",Z3)))</formula>
    </cfRule>
  </conditionalFormatting>
  <conditionalFormatting sqref="AB48">
    <cfRule type="containsText" dxfId="12223" priority="3852" operator="containsText" text="Pending">
      <formula>NOT(ISERROR(SEARCH("Pending",Z3)))</formula>
    </cfRule>
  </conditionalFormatting>
  <conditionalFormatting sqref="AB49:AB50">
    <cfRule type="containsText" dxfId="12222" priority="3853" operator="containsText" text="Pending">
      <formula>NOT(ISERROR(SEARCH("Pending",Z3)))</formula>
    </cfRule>
  </conditionalFormatting>
  <conditionalFormatting sqref="AB51:AB52">
    <cfRule type="containsText" dxfId="12221" priority="3854" operator="containsText" text="Pending">
      <formula>NOT(ISERROR(SEARCH("Pending",Z3)))</formula>
    </cfRule>
  </conditionalFormatting>
  <conditionalFormatting sqref="AV15">
    <cfRule type="containsText" dxfId="12220" priority="3855" operator="containsText" text="Pending">
      <formula>NOT(ISERROR(SEARCH("Pending",Z3)))</formula>
    </cfRule>
  </conditionalFormatting>
  <conditionalFormatting sqref="AW15">
    <cfRule type="containsText" dxfId="12219" priority="3856" operator="containsText" text="Pending">
      <formula>NOT(ISERROR(SEARCH("Pending",Z3)))</formula>
    </cfRule>
  </conditionalFormatting>
  <conditionalFormatting sqref="AX15">
    <cfRule type="containsText" dxfId="12218" priority="3857" operator="containsText" text="Pending">
      <formula>NOT(ISERROR(SEARCH("Pending",Z3)))</formula>
    </cfRule>
  </conditionalFormatting>
  <conditionalFormatting sqref="AY15">
    <cfRule type="containsText" dxfId="12217" priority="3858" operator="containsText" text="Pending">
      <formula>NOT(ISERROR(SEARCH("Pending",Z3)))</formula>
    </cfRule>
  </conditionalFormatting>
  <conditionalFormatting sqref="AZ15">
    <cfRule type="containsText" dxfId="12216" priority="3859" operator="containsText" text="Pending">
      <formula>NOT(ISERROR(SEARCH("Pending",Z3)))</formula>
    </cfRule>
  </conditionalFormatting>
  <conditionalFormatting sqref="AA11">
    <cfRule type="containsText" dxfId="12215" priority="3860" operator="containsText" text="Pending">
      <formula>NOT(ISERROR(SEARCH("Pending",Z3)))</formula>
    </cfRule>
  </conditionalFormatting>
  <conditionalFormatting sqref="AB11">
    <cfRule type="containsText" dxfId="12214" priority="3861" operator="containsText" text="Pending">
      <formula>NOT(ISERROR(SEARCH("Pending",Z3)))</formula>
    </cfRule>
  </conditionalFormatting>
  <conditionalFormatting sqref="AC11">
    <cfRule type="containsText" dxfId="12213" priority="3862" operator="containsText" text="Pending">
      <formula>NOT(ISERROR(SEARCH("Pending",Z3)))</formula>
    </cfRule>
  </conditionalFormatting>
  <conditionalFormatting sqref="AA13">
    <cfRule type="containsText" dxfId="12212" priority="3863" operator="containsText" text="Pending">
      <formula>NOT(ISERROR(SEARCH("Pending",Z3)))</formula>
    </cfRule>
  </conditionalFormatting>
  <conditionalFormatting sqref="AB13">
    <cfRule type="containsText" dxfId="12211" priority="3864" operator="containsText" text="Pending">
      <formula>NOT(ISERROR(SEARCH("Pending",Z3)))</formula>
    </cfRule>
  </conditionalFormatting>
  <conditionalFormatting sqref="AC13">
    <cfRule type="containsText" dxfId="12210" priority="3865" operator="containsText" text="Pending">
      <formula>NOT(ISERROR(SEARCH("Pending",Z3)))</formula>
    </cfRule>
  </conditionalFormatting>
  <conditionalFormatting sqref="AA19">
    <cfRule type="containsText" dxfId="12209" priority="3866" operator="containsText" text="Pending">
      <formula>NOT(ISERROR(SEARCH("Pending",Z3)))</formula>
    </cfRule>
  </conditionalFormatting>
  <conditionalFormatting sqref="AB19">
    <cfRule type="containsText" dxfId="12208" priority="3867" operator="containsText" text="Pending">
      <formula>NOT(ISERROR(SEARCH("Pending",Z3)))</formula>
    </cfRule>
  </conditionalFormatting>
  <conditionalFormatting sqref="AC19">
    <cfRule type="containsText" dxfId="12207" priority="3868" operator="containsText" text="Pending">
      <formula>NOT(ISERROR(SEARCH("Pending",Z3)))</formula>
    </cfRule>
  </conditionalFormatting>
  <conditionalFormatting sqref="AB20">
    <cfRule type="containsText" dxfId="12206" priority="3869" operator="containsText" text="Pending">
      <formula>NOT(ISERROR(SEARCH("Pending",Z3)))</formula>
    </cfRule>
  </conditionalFormatting>
  <conditionalFormatting sqref="AC20">
    <cfRule type="containsText" dxfId="12205" priority="3870" operator="containsText" text="Pending">
      <formula>NOT(ISERROR(SEARCH("Pending",Z3)))</formula>
    </cfRule>
  </conditionalFormatting>
  <conditionalFormatting sqref="AD20">
    <cfRule type="containsText" dxfId="12204" priority="3871" operator="containsText" text="Pending">
      <formula>NOT(ISERROR(SEARCH("Pending",Z3)))</formula>
    </cfRule>
  </conditionalFormatting>
  <conditionalFormatting sqref="AB21">
    <cfRule type="containsText" dxfId="12203" priority="3872" operator="containsText" text="Pending">
      <formula>NOT(ISERROR(SEARCH("Pending",Z3)))</formula>
    </cfRule>
  </conditionalFormatting>
  <conditionalFormatting sqref="AC21">
    <cfRule type="containsText" dxfId="12202" priority="3873" operator="containsText" text="Pending">
      <formula>NOT(ISERROR(SEARCH("Pending",Z3)))</formula>
    </cfRule>
  </conditionalFormatting>
  <conditionalFormatting sqref="AD21">
    <cfRule type="containsText" dxfId="12201" priority="3874" operator="containsText" text="Pending">
      <formula>NOT(ISERROR(SEARCH("Pending",Z3)))</formula>
    </cfRule>
  </conditionalFormatting>
  <conditionalFormatting sqref="AG43">
    <cfRule type="containsText" dxfId="12200" priority="3875" operator="containsText" text="Pending">
      <formula>NOT(ISERROR(SEARCH("Pending",Z3)))</formula>
    </cfRule>
  </conditionalFormatting>
  <conditionalFormatting sqref="AG44">
    <cfRule type="containsText" dxfId="12199" priority="3876" operator="containsText" text="Pending">
      <formula>NOT(ISERROR(SEARCH("Pending",Z3)))</formula>
    </cfRule>
  </conditionalFormatting>
  <conditionalFormatting sqref="AG45">
    <cfRule type="containsText" dxfId="12198" priority="3877" operator="containsText" text="Pending">
      <formula>NOT(ISERROR(SEARCH("Pending",Z3)))</formula>
    </cfRule>
  </conditionalFormatting>
  <conditionalFormatting sqref="AG47">
    <cfRule type="containsText" dxfId="12197" priority="3878" operator="containsText" text="Pending">
      <formula>NOT(ISERROR(SEARCH("Pending",Z3)))</formula>
    </cfRule>
  </conditionalFormatting>
  <conditionalFormatting sqref="AG47">
    <cfRule type="containsText" dxfId="12196" priority="3879" operator="containsText" text="Pending">
      <formula>NOT(ISERROR(SEARCH("Pending",Z3)))</formula>
    </cfRule>
  </conditionalFormatting>
  <conditionalFormatting sqref="AH44:AH46">
    <cfRule type="containsText" dxfId="12195" priority="3880" operator="containsText" text="Pending">
      <formula>NOT(ISERROR(SEARCH("Pending",Z3)))</formula>
    </cfRule>
  </conditionalFormatting>
  <conditionalFormatting sqref="AH44">
    <cfRule type="containsText" dxfId="12194" priority="3881" operator="containsText" text="Pending">
      <formula>NOT(ISERROR(SEARCH("Pending",Z3)))</formula>
    </cfRule>
  </conditionalFormatting>
  <conditionalFormatting sqref="AH45">
    <cfRule type="containsText" dxfId="12193" priority="3882" operator="containsText" text="Pending">
      <formula>NOT(ISERROR(SEARCH("Pending",Z3)))</formula>
    </cfRule>
  </conditionalFormatting>
  <conditionalFormatting sqref="AH48">
    <cfRule type="containsText" dxfId="12192" priority="3883" operator="containsText" text="Pending">
      <formula>NOT(ISERROR(SEARCH("Pending",Z3)))</formula>
    </cfRule>
  </conditionalFormatting>
  <conditionalFormatting sqref="AH48">
    <cfRule type="containsText" dxfId="12191" priority="3884" operator="containsText" text="Pending">
      <formula>NOT(ISERROR(SEARCH("Pending",Z3)))</formula>
    </cfRule>
  </conditionalFormatting>
  <conditionalFormatting sqref="AH48">
    <cfRule type="containsText" dxfId="12190" priority="3885" operator="containsText" text="Pending">
      <formula>NOT(ISERROR(SEARCH("Pending",Z3)))</formula>
    </cfRule>
  </conditionalFormatting>
  <conditionalFormatting sqref="AH48">
    <cfRule type="containsText" dxfId="12189" priority="3886" operator="containsText" text="Pending">
      <formula>NOT(ISERROR(SEARCH("Pending",Z3)))</formula>
    </cfRule>
  </conditionalFormatting>
  <conditionalFormatting sqref="AR10">
    <cfRule type="containsText" dxfId="12188" priority="3887" operator="containsText" text="Pending">
      <formula>NOT(ISERROR(SEARCH("Pending",Z3)))</formula>
    </cfRule>
  </conditionalFormatting>
  <conditionalFormatting sqref="AT10">
    <cfRule type="containsText" dxfId="12187" priority="3888" operator="containsText" text="Pending">
      <formula>NOT(ISERROR(SEARCH("Pending",Z3)))</formula>
    </cfRule>
  </conditionalFormatting>
  <conditionalFormatting sqref="AA29">
    <cfRule type="containsText" dxfId="12186" priority="3889" operator="containsText" text="Pending">
      <formula>NOT(ISERROR(SEARCH("Pending",Z3)))</formula>
    </cfRule>
  </conditionalFormatting>
  <conditionalFormatting sqref="AA30">
    <cfRule type="containsText" dxfId="12185" priority="3890" operator="containsText" text="Pending">
      <formula>NOT(ISERROR(SEARCH("Pending",Z3)))</formula>
    </cfRule>
  </conditionalFormatting>
  <conditionalFormatting sqref="AA31">
    <cfRule type="containsText" dxfId="12184" priority="3891" operator="containsText" text="Pending">
      <formula>NOT(ISERROR(SEARCH("Pending",Z3)))</formula>
    </cfRule>
  </conditionalFormatting>
  <conditionalFormatting sqref="AF13">
    <cfRule type="containsText" dxfId="12183" priority="3892" operator="containsText" text="Pending">
      <formula>NOT(ISERROR(SEARCH("Pending",Z3)))</formula>
    </cfRule>
  </conditionalFormatting>
  <conditionalFormatting sqref="AH13">
    <cfRule type="containsText" dxfId="12182" priority="3893" operator="containsText" text="Pending">
      <formula>NOT(ISERROR(SEARCH("Pending",Z3)))</formula>
    </cfRule>
  </conditionalFormatting>
  <conditionalFormatting sqref="AI13">
    <cfRule type="containsText" dxfId="12181" priority="3894" operator="containsText" text="Pending">
      <formula>NOT(ISERROR(SEARCH("Pending",Z3)))</formula>
    </cfRule>
  </conditionalFormatting>
  <conditionalFormatting sqref="AJ13">
    <cfRule type="containsText" dxfId="12180" priority="3895" operator="containsText" text="Pending">
      <formula>NOT(ISERROR(SEARCH("Pending",Z3)))</formula>
    </cfRule>
  </conditionalFormatting>
  <conditionalFormatting sqref="AK13">
    <cfRule type="containsText" dxfId="12179" priority="3896" operator="containsText" text="Pending">
      <formula>NOT(ISERROR(SEARCH("Pending",Z3)))</formula>
    </cfRule>
  </conditionalFormatting>
  <conditionalFormatting sqref="AL13">
    <cfRule type="containsText" dxfId="12178" priority="3897" operator="containsText" text="Pending">
      <formula>NOT(ISERROR(SEARCH("Pending",Z3)))</formula>
    </cfRule>
  </conditionalFormatting>
  <conditionalFormatting sqref="AM13">
    <cfRule type="containsText" dxfId="12177" priority="3898" operator="containsText" text="Pending">
      <formula>NOT(ISERROR(SEARCH("Pending",Z3)))</formula>
    </cfRule>
  </conditionalFormatting>
  <conditionalFormatting sqref="AN13">
    <cfRule type="containsText" dxfId="12176" priority="3899" operator="containsText" text="Pending">
      <formula>NOT(ISERROR(SEARCH("Pending",Z3)))</formula>
    </cfRule>
  </conditionalFormatting>
  <conditionalFormatting sqref="AO13">
    <cfRule type="containsText" dxfId="12175" priority="3900" operator="containsText" text="Pending">
      <formula>NOT(ISERROR(SEARCH("Pending",Z3)))</formula>
    </cfRule>
  </conditionalFormatting>
  <conditionalFormatting sqref="AP13">
    <cfRule type="containsText" dxfId="12174" priority="3901" operator="containsText" text="Pending">
      <formula>NOT(ISERROR(SEARCH("Pending",Z3)))</formula>
    </cfRule>
  </conditionalFormatting>
  <conditionalFormatting sqref="AQ13">
    <cfRule type="containsText" dxfId="12173" priority="3902" operator="containsText" text="Pending">
      <formula>NOT(ISERROR(SEARCH("Pending",Z3)))</formula>
    </cfRule>
  </conditionalFormatting>
  <conditionalFormatting sqref="AR13">
    <cfRule type="containsText" dxfId="12172" priority="3903" operator="containsText" text="Pending">
      <formula>NOT(ISERROR(SEARCH("Pending",Z3)))</formula>
    </cfRule>
  </conditionalFormatting>
  <conditionalFormatting sqref="AS13">
    <cfRule type="containsText" dxfId="12171" priority="3904" operator="containsText" text="Pending">
      <formula>NOT(ISERROR(SEARCH("Pending",Z3)))</formula>
    </cfRule>
  </conditionalFormatting>
  <conditionalFormatting sqref="AT13">
    <cfRule type="containsText" dxfId="12170" priority="3905" operator="containsText" text="Pending">
      <formula>NOT(ISERROR(SEARCH("Pending",Z3)))</formula>
    </cfRule>
  </conditionalFormatting>
  <conditionalFormatting sqref="AU13">
    <cfRule type="containsText" dxfId="12169" priority="3906" operator="containsText" text="Pending">
      <formula>NOT(ISERROR(SEARCH("Pending",Z3)))</formula>
    </cfRule>
  </conditionalFormatting>
  <conditionalFormatting sqref="AV13">
    <cfRule type="containsText" dxfId="12168" priority="3907" operator="containsText" text="Pending">
      <formula>NOT(ISERROR(SEARCH("Pending",Z3)))</formula>
    </cfRule>
  </conditionalFormatting>
  <conditionalFormatting sqref="AW13">
    <cfRule type="containsText" dxfId="12167" priority="3908" operator="containsText" text="Pending">
      <formula>NOT(ISERROR(SEARCH("Pending",Z3)))</formula>
    </cfRule>
  </conditionalFormatting>
  <conditionalFormatting sqref="AX13">
    <cfRule type="containsText" dxfId="12166" priority="3909" operator="containsText" text="Pending">
      <formula>NOT(ISERROR(SEARCH("Pending",Z3)))</formula>
    </cfRule>
  </conditionalFormatting>
  <conditionalFormatting sqref="AY13">
    <cfRule type="containsText" dxfId="12165" priority="3910" operator="containsText" text="Pending">
      <formula>NOT(ISERROR(SEARCH("Pending",Z3)))</formula>
    </cfRule>
  </conditionalFormatting>
  <conditionalFormatting sqref="AZ13">
    <cfRule type="containsText" dxfId="12164" priority="3911" operator="containsText" text="Pending">
      <formula>NOT(ISERROR(SEARCH("Pending",Z3)))</formula>
    </cfRule>
  </conditionalFormatting>
  <conditionalFormatting sqref="AJ20:AJ21">
    <cfRule type="containsText" dxfId="12163" priority="3912" operator="containsText" text="Pending">
      <formula>NOT(ISERROR(SEARCH("Pending",Z3)))</formula>
    </cfRule>
  </conditionalFormatting>
  <conditionalFormatting sqref="AJ20">
    <cfRule type="containsText" dxfId="12162" priority="3913" operator="containsText" text="Pending">
      <formula>NOT(ISERROR(SEARCH("Pending",Z3)))</formula>
    </cfRule>
  </conditionalFormatting>
  <conditionalFormatting sqref="AJ41">
    <cfRule type="containsText" dxfId="12161" priority="3914" operator="containsText" text="Pending">
      <formula>NOT(ISERROR(SEARCH("Pending",Z3)))</formula>
    </cfRule>
  </conditionalFormatting>
  <conditionalFormatting sqref="AJ42">
    <cfRule type="containsText" dxfId="12160" priority="3915" operator="containsText" text="Pending">
      <formula>NOT(ISERROR(SEARCH("Pending",Z3)))</formula>
    </cfRule>
  </conditionalFormatting>
  <conditionalFormatting sqref="AJ42">
    <cfRule type="containsText" dxfId="12159" priority="3916" operator="containsText" text="Pending">
      <formula>NOT(ISERROR(SEARCH("Pending",Z3)))</formula>
    </cfRule>
  </conditionalFormatting>
  <conditionalFormatting sqref="AK41:AK52">
    <cfRule type="containsText" dxfId="12158" priority="3917" operator="containsText" text="Pending">
      <formula>NOT(ISERROR(SEARCH("Pending",Z3)))</formula>
    </cfRule>
  </conditionalFormatting>
  <conditionalFormatting sqref="AK41">
    <cfRule type="containsText" dxfId="12157" priority="3918" operator="containsText" text="Pending">
      <formula>NOT(ISERROR(SEARCH("Pending",Z3)))</formula>
    </cfRule>
  </conditionalFormatting>
  <conditionalFormatting sqref="AK42">
    <cfRule type="containsText" dxfId="12156" priority="3919" operator="containsText" text="Pending">
      <formula>NOT(ISERROR(SEARCH("Pending",Z3)))</formula>
    </cfRule>
  </conditionalFormatting>
  <conditionalFormatting sqref="AK42">
    <cfRule type="containsText" dxfId="12155" priority="3920" operator="containsText" text="Pending">
      <formula>NOT(ISERROR(SEARCH("Pending",Z3)))</formula>
    </cfRule>
  </conditionalFormatting>
  <conditionalFormatting sqref="AJ54">
    <cfRule type="containsText" dxfId="12154" priority="3921" operator="containsText" text="Pending">
      <formula>NOT(ISERROR(SEARCH("Pending",Z3)))</formula>
    </cfRule>
  </conditionalFormatting>
  <conditionalFormatting sqref="AK53">
    <cfRule type="containsText" dxfId="12153" priority="3922" operator="containsText" text="Pending">
      <formula>NOT(ISERROR(SEARCH("Pending",Z3)))</formula>
    </cfRule>
  </conditionalFormatting>
  <conditionalFormatting sqref="AR54">
    <cfRule type="containsText" dxfId="12152" priority="3923" operator="containsText" text="Pending">
      <formula>NOT(ISERROR(SEARCH("Pending",Z3)))</formula>
    </cfRule>
  </conditionalFormatting>
  <conditionalFormatting sqref="AB42 AB44 AB45 AB46 AB47 AC42 AC43 AC44 AC45 AC46 AC47">
    <cfRule type="containsText" dxfId="12151" priority="3924" operator="containsText" text="Pending">
      <formula>NOT(ISERROR(SEARCH("Pending",Z3)))</formula>
    </cfRule>
  </conditionalFormatting>
  <conditionalFormatting sqref="AB43">
    <cfRule type="containsText" dxfId="12150" priority="3925" operator="containsText" text="Pending">
      <formula>NOT(ISERROR(SEARCH("Pending",Z3)))</formula>
    </cfRule>
  </conditionalFormatting>
  <conditionalFormatting sqref="AG40 AH40">
    <cfRule type="containsText" dxfId="12149" priority="3926" operator="containsText" text="Pending">
      <formula>NOT(ISERROR(SEARCH("Pending",Z3)))</formula>
    </cfRule>
  </conditionalFormatting>
  <conditionalFormatting sqref="AC34">
    <cfRule type="containsText" dxfId="12148" priority="3927" operator="containsText" text="Pending">
      <formula>NOT(ISERROR(SEARCH("Pending",Z3)))</formula>
    </cfRule>
  </conditionalFormatting>
  <conditionalFormatting sqref="AC33">
    <cfRule type="containsText" dxfId="12147" priority="3928" operator="containsText" text="Pending">
      <formula>NOT(ISERROR(SEARCH("Pending",Z3)))</formula>
    </cfRule>
  </conditionalFormatting>
  <conditionalFormatting sqref="AC35">
    <cfRule type="containsText" dxfId="12146" priority="3929" operator="containsText" text="Pending">
      <formula>NOT(ISERROR(SEARCH("Pending",Z3)))</formula>
    </cfRule>
  </conditionalFormatting>
  <conditionalFormatting sqref="AC36">
    <cfRule type="containsText" dxfId="12145" priority="3930" operator="containsText" text="Pending">
      <formula>NOT(ISERROR(SEARCH("Pending",Z3)))</formula>
    </cfRule>
  </conditionalFormatting>
  <conditionalFormatting sqref="AC37">
    <cfRule type="containsText" dxfId="12144" priority="3931" operator="containsText" text="Pending">
      <formula>NOT(ISERROR(SEARCH("Pending",Z3)))</formula>
    </cfRule>
  </conditionalFormatting>
  <conditionalFormatting sqref="AC38">
    <cfRule type="containsText" dxfId="12143" priority="3932" operator="containsText" text="Pending">
      <formula>NOT(ISERROR(SEARCH("Pending",Z3)))</formula>
    </cfRule>
  </conditionalFormatting>
  <conditionalFormatting sqref="AC39">
    <cfRule type="containsText" dxfId="12142" priority="3933" operator="containsText" text="Pending">
      <formula>NOT(ISERROR(SEARCH("Pending",Z3)))</formula>
    </cfRule>
  </conditionalFormatting>
  <conditionalFormatting sqref="AC40">
    <cfRule type="containsText" dxfId="12141" priority="3934" operator="containsText" text="Pending">
      <formula>NOT(ISERROR(SEARCH("Pending",Z3)))</formula>
    </cfRule>
  </conditionalFormatting>
  <conditionalFormatting sqref="AB35">
    <cfRule type="containsText" dxfId="12140" priority="3935" operator="containsText" text="Pending">
      <formula>NOT(ISERROR(SEARCH("Pending",Z3)))</formula>
    </cfRule>
  </conditionalFormatting>
  <conditionalFormatting sqref="AB36">
    <cfRule type="containsText" dxfId="12139" priority="3936" operator="containsText" text="Pending">
      <formula>NOT(ISERROR(SEARCH("Pending",Z3)))</formula>
    </cfRule>
  </conditionalFormatting>
  <conditionalFormatting sqref="AB37">
    <cfRule type="containsText" dxfId="12138" priority="3937" operator="containsText" text="Pending">
      <formula>NOT(ISERROR(SEARCH("Pending",Z3)))</formula>
    </cfRule>
  </conditionalFormatting>
  <conditionalFormatting sqref="AM44:AM52">
    <cfRule type="containsText" dxfId="12137" priority="3938" operator="containsText" text="Pending">
      <formula>NOT(ISERROR(SEARCH("Pending",Z3)))</formula>
    </cfRule>
  </conditionalFormatting>
  <conditionalFormatting sqref="AM41">
    <cfRule type="containsText" dxfId="12136" priority="3939" operator="containsText" text="Pending">
      <formula>NOT(ISERROR(SEARCH("Pending",Z3)))</formula>
    </cfRule>
  </conditionalFormatting>
  <conditionalFormatting sqref="AN40:AN52">
    <cfRule type="containsText" dxfId="12135" priority="3940" operator="containsText" text="Pending">
      <formula>NOT(ISERROR(SEARCH("Pending",Z3)))</formula>
    </cfRule>
  </conditionalFormatting>
  <conditionalFormatting sqref="AN44:AN52">
    <cfRule type="containsText" dxfId="12134" priority="3941" operator="containsText" text="Pending">
      <formula>NOT(ISERROR(SEARCH("Pending",Z3)))</formula>
    </cfRule>
  </conditionalFormatting>
  <conditionalFormatting sqref="AN41">
    <cfRule type="containsText" dxfId="12133" priority="3942" operator="containsText" text="Pending">
      <formula>NOT(ISERROR(SEARCH("Pending",Z3)))</formula>
    </cfRule>
  </conditionalFormatting>
  <conditionalFormatting sqref="AQ42:AQ52">
    <cfRule type="containsText" dxfId="12132" priority="3943" operator="containsText" text="Pending">
      <formula>NOT(ISERROR(SEARCH("Pending",Z3)))</formula>
    </cfRule>
  </conditionalFormatting>
  <conditionalFormatting sqref="AP41">
    <cfRule type="containsText" dxfId="12131" priority="3944" operator="containsText" text="Pending">
      <formula>NOT(ISERROR(SEARCH("Pending",Z3)))</formula>
    </cfRule>
  </conditionalFormatting>
  <conditionalFormatting sqref="AM53">
    <cfRule type="containsText" dxfId="12130" priority="3945" operator="containsText" text="Pending">
      <formula>NOT(ISERROR(SEARCH("Pending",Z3)))</formula>
    </cfRule>
  </conditionalFormatting>
  <conditionalFormatting sqref="AL54">
    <cfRule type="containsText" dxfId="12129" priority="3946" operator="containsText" text="Pending">
      <formula>NOT(ISERROR(SEARCH("Pending",Z3)))</formula>
    </cfRule>
  </conditionalFormatting>
  <conditionalFormatting sqref="AU54">
    <cfRule type="containsText" dxfId="12128" priority="3947" operator="containsText" text="Pending">
      <formula>NOT(ISERROR(SEARCH("Pending",Z3)))</formula>
    </cfRule>
  </conditionalFormatting>
  <conditionalFormatting sqref="AV53">
    <cfRule type="containsText" dxfId="12127" priority="3948" operator="containsText" text="Pending">
      <formula>NOT(ISERROR(SEARCH("Pending",Z3)))</formula>
    </cfRule>
  </conditionalFormatting>
  <conditionalFormatting sqref="AX53">
    <cfRule type="containsText" dxfId="12126" priority="3949" operator="containsText" text="Pending">
      <formula>NOT(ISERROR(SEARCH("Pending",Z3)))</formula>
    </cfRule>
  </conditionalFormatting>
  <conditionalFormatting sqref="AY53">
    <cfRule type="containsText" dxfId="12125" priority="3950" operator="containsText" text="Pending">
      <formula>NOT(ISERROR(SEARCH("Pending",Z3)))</formula>
    </cfRule>
  </conditionalFormatting>
  <conditionalFormatting sqref="AS53">
    <cfRule type="containsText" dxfId="12124" priority="3951" operator="containsText" text="Pending">
      <formula>NOT(ISERROR(SEARCH("Pending",Z3)))</formula>
    </cfRule>
  </conditionalFormatting>
  <conditionalFormatting sqref="AT53">
    <cfRule type="containsText" dxfId="12123" priority="3952" operator="containsText" text="Pending">
      <formula>NOT(ISERROR(SEARCH("Pending",Z3)))</formula>
    </cfRule>
  </conditionalFormatting>
  <conditionalFormatting sqref="AS55">
    <cfRule type="containsText" dxfId="12122" priority="3953" operator="containsText" text="Pending">
      <formula>NOT(ISERROR(SEARCH("Pending",Z3)))</formula>
    </cfRule>
  </conditionalFormatting>
  <conditionalFormatting sqref="AG25">
    <cfRule type="containsText" dxfId="12121" priority="3954" operator="containsText" text="Pending">
      <formula>NOT(ISERROR(SEARCH("Pending",Z3)))</formula>
    </cfRule>
  </conditionalFormatting>
  <conditionalFormatting sqref="AH25">
    <cfRule type="containsText" dxfId="12120" priority="3955" operator="containsText" text="Pending">
      <formula>NOT(ISERROR(SEARCH("Pending",Z3)))</formula>
    </cfRule>
  </conditionalFormatting>
  <conditionalFormatting sqref="AG28">
    <cfRule type="containsText" dxfId="12119" priority="3956" operator="containsText" text="Pending">
      <formula>NOT(ISERROR(SEARCH("Pending",Z3)))</formula>
    </cfRule>
  </conditionalFormatting>
  <conditionalFormatting sqref="AH28">
    <cfRule type="containsText" dxfId="12118" priority="3957" operator="containsText" text="Pending">
      <formula>NOT(ISERROR(SEARCH("Pending",Z3)))</formula>
    </cfRule>
  </conditionalFormatting>
  <conditionalFormatting sqref="AK23">
    <cfRule type="containsText" dxfId="12117" priority="3958" operator="containsText" text="Pending">
      <formula>NOT(ISERROR(SEARCH("Pending",Z3)))</formula>
    </cfRule>
  </conditionalFormatting>
  <conditionalFormatting sqref="AJ27 AK27">
    <cfRule type="containsText" dxfId="12116" priority="3959" operator="containsText" text="Pending">
      <formula>NOT(ISERROR(SEARCH("Pending",Z3)))</formula>
    </cfRule>
  </conditionalFormatting>
  <conditionalFormatting sqref="AK27">
    <cfRule type="containsText" dxfId="12115" priority="3960" operator="containsText" text="Pending">
      <formula>NOT(ISERROR(SEARCH("Pending",Z3)))</formula>
    </cfRule>
  </conditionalFormatting>
  <conditionalFormatting sqref="AK28">
    <cfRule type="containsText" dxfId="12114" priority="3961" operator="containsText" text="Pending">
      <formula>NOT(ISERROR(SEARCH("Pending",Z3)))</formula>
    </cfRule>
  </conditionalFormatting>
  <conditionalFormatting sqref="AK31">
    <cfRule type="containsText" dxfId="12113" priority="3962" operator="containsText" text="Pending">
      <formula>NOT(ISERROR(SEARCH("Pending",Z3)))</formula>
    </cfRule>
  </conditionalFormatting>
  <conditionalFormatting sqref="AN23:AN31">
    <cfRule type="containsText" dxfId="12112" priority="3963" operator="containsText" text="Pending">
      <formula>NOT(ISERROR(SEARCH("Pending",Z3)))</formula>
    </cfRule>
  </conditionalFormatting>
  <conditionalFormatting sqref="AO24">
    <cfRule type="containsText" dxfId="12111" priority="3964" operator="containsText" text="Pending">
      <formula>NOT(ISERROR(SEARCH("Pending",Z3)))</formula>
    </cfRule>
  </conditionalFormatting>
  <conditionalFormatting sqref="AP23:AP31">
    <cfRule type="containsText" dxfId="12110" priority="3965" operator="containsText" text="Pending">
      <formula>NOT(ISERROR(SEARCH("Pending",Z3)))</formula>
    </cfRule>
  </conditionalFormatting>
  <conditionalFormatting sqref="AP23:AP31">
    <cfRule type="containsText" dxfId="12109" priority="3966" operator="containsText" text="Pending">
      <formula>NOT(ISERROR(SEARCH("Pending",Z3)))</formula>
    </cfRule>
  </conditionalFormatting>
  <conditionalFormatting sqref="AQ23:AQ31">
    <cfRule type="containsText" dxfId="12108" priority="3967" operator="containsText" text="Pending">
      <formula>NOT(ISERROR(SEARCH("Pending",Z3)))</formula>
    </cfRule>
  </conditionalFormatting>
  <conditionalFormatting sqref="AQ23:AQ31">
    <cfRule type="containsText" dxfId="12107" priority="3968" operator="containsText" text="Pending">
      <formula>NOT(ISERROR(SEARCH("Pending",Z3)))</formula>
    </cfRule>
  </conditionalFormatting>
  <conditionalFormatting sqref="AR24">
    <cfRule type="containsText" dxfId="12106" priority="3969" operator="containsText" text="Pending">
      <formula>NOT(ISERROR(SEARCH("Pending",Z3)))</formula>
    </cfRule>
  </conditionalFormatting>
  <conditionalFormatting sqref="AR25">
    <cfRule type="containsText" dxfId="12105" priority="3970" operator="containsText" text="Pending">
      <formula>NOT(ISERROR(SEARCH("Pending",Z3)))</formula>
    </cfRule>
  </conditionalFormatting>
  <conditionalFormatting sqref="AR31">
    <cfRule type="containsText" dxfId="12104" priority="3971" operator="containsText" text="Pending">
      <formula>NOT(ISERROR(SEARCH("Pending",Z3)))</formula>
    </cfRule>
  </conditionalFormatting>
  <conditionalFormatting sqref="AR31">
    <cfRule type="containsText" dxfId="12103" priority="3972" operator="containsText" text="Pending">
      <formula>NOT(ISERROR(SEARCH("Pending",Z3)))</formula>
    </cfRule>
  </conditionalFormatting>
  <conditionalFormatting sqref="AR27">
    <cfRule type="containsText" dxfId="12102" priority="3973" operator="containsText" text="Pending">
      <formula>NOT(ISERROR(SEARCH("Pending",Z3)))</formula>
    </cfRule>
  </conditionalFormatting>
  <conditionalFormatting sqref="AS23:AS25">
    <cfRule type="containsText" dxfId="12101" priority="3974" operator="containsText" text="Pending">
      <formula>NOT(ISERROR(SEARCH("Pending",Z3)))</formula>
    </cfRule>
  </conditionalFormatting>
  <conditionalFormatting sqref="AS24">
    <cfRule type="containsText" dxfId="12100" priority="3975" operator="containsText" text="Pending">
      <formula>NOT(ISERROR(SEARCH("Pending",Z3)))</formula>
    </cfRule>
  </conditionalFormatting>
  <conditionalFormatting sqref="AS25">
    <cfRule type="containsText" dxfId="12099" priority="3976" operator="containsText" text="Pending">
      <formula>NOT(ISERROR(SEARCH("Pending",Z3)))</formula>
    </cfRule>
  </conditionalFormatting>
  <conditionalFormatting sqref="AS26:AS31">
    <cfRule type="containsText" dxfId="12098" priority="3977" operator="containsText" text="Pending">
      <formula>NOT(ISERROR(SEARCH("Pending",Z3)))</formula>
    </cfRule>
  </conditionalFormatting>
  <conditionalFormatting sqref="AS31">
    <cfRule type="containsText" dxfId="12097" priority="3978" operator="containsText" text="Pending">
      <formula>NOT(ISERROR(SEARCH("Pending",Z3)))</formula>
    </cfRule>
  </conditionalFormatting>
  <conditionalFormatting sqref="AS31">
    <cfRule type="containsText" dxfId="12096" priority="3979" operator="containsText" text="Pending">
      <formula>NOT(ISERROR(SEARCH("Pending",Z3)))</formula>
    </cfRule>
  </conditionalFormatting>
  <conditionalFormatting sqref="AS27">
    <cfRule type="containsText" dxfId="12095" priority="3980" operator="containsText" text="Pending">
      <formula>NOT(ISERROR(SEARCH("Pending",Z3)))</formula>
    </cfRule>
  </conditionalFormatting>
  <conditionalFormatting sqref="AT23:AT31">
    <cfRule type="containsText" dxfId="12094" priority="3981" operator="containsText" text="Pending">
      <formula>NOT(ISERROR(SEARCH("Pending",Z3)))</formula>
    </cfRule>
  </conditionalFormatting>
  <conditionalFormatting sqref="AT23:AT25">
    <cfRule type="containsText" dxfId="12093" priority="3982" operator="containsText" text="Pending">
      <formula>NOT(ISERROR(SEARCH("Pending",Z3)))</formula>
    </cfRule>
  </conditionalFormatting>
  <conditionalFormatting sqref="AT24">
    <cfRule type="containsText" dxfId="12092" priority="3983" operator="containsText" text="Pending">
      <formula>NOT(ISERROR(SEARCH("Pending",Z3)))</formula>
    </cfRule>
  </conditionalFormatting>
  <conditionalFormatting sqref="AT25">
    <cfRule type="containsText" dxfId="12091" priority="3984" operator="containsText" text="Pending">
      <formula>NOT(ISERROR(SEARCH("Pending",Z3)))</formula>
    </cfRule>
  </conditionalFormatting>
  <conditionalFormatting sqref="AT26:AT31">
    <cfRule type="containsText" dxfId="12090" priority="3985" operator="containsText" text="Pending">
      <formula>NOT(ISERROR(SEARCH("Pending",Z3)))</formula>
    </cfRule>
  </conditionalFormatting>
  <conditionalFormatting sqref="AT31">
    <cfRule type="containsText" dxfId="12089" priority="3986" operator="containsText" text="Pending">
      <formula>NOT(ISERROR(SEARCH("Pending",Z3)))</formula>
    </cfRule>
  </conditionalFormatting>
  <conditionalFormatting sqref="AT31">
    <cfRule type="containsText" dxfId="12088" priority="3987" operator="containsText" text="Pending">
      <formula>NOT(ISERROR(SEARCH("Pending",Z3)))</formula>
    </cfRule>
  </conditionalFormatting>
  <conditionalFormatting sqref="AT27">
    <cfRule type="containsText" dxfId="12087" priority="3988" operator="containsText" text="Pending">
      <formula>NOT(ISERROR(SEARCH("Pending",Z3)))</formula>
    </cfRule>
  </conditionalFormatting>
  <conditionalFormatting sqref="AU25 AV25">
    <cfRule type="containsText" dxfId="12086" priority="3989" operator="containsText" text="Pending">
      <formula>NOT(ISERROR(SEARCH("Pending",Z3)))</formula>
    </cfRule>
  </conditionalFormatting>
  <conditionalFormatting sqref="AU27 AV27">
    <cfRule type="containsText" dxfId="12085" priority="3990" operator="containsText" text="Pending">
      <formula>NOT(ISERROR(SEARCH("Pending",Z3)))</formula>
    </cfRule>
  </conditionalFormatting>
  <conditionalFormatting sqref="AU26">
    <cfRule type="containsText" dxfId="12084" priority="3991" operator="containsText" text="Pending">
      <formula>NOT(ISERROR(SEARCH("Pending",Z3)))</formula>
    </cfRule>
  </conditionalFormatting>
  <conditionalFormatting sqref="AU28 AV28">
    <cfRule type="containsText" dxfId="12083" priority="3992" operator="containsText" text="Pending">
      <formula>NOT(ISERROR(SEARCH("Pending",Z3)))</formula>
    </cfRule>
  </conditionalFormatting>
  <conditionalFormatting sqref="AU28">
    <cfRule type="containsText" dxfId="12082" priority="3993" operator="containsText" text="Pending">
      <formula>NOT(ISERROR(SEARCH("Pending",Z3)))</formula>
    </cfRule>
  </conditionalFormatting>
  <conditionalFormatting sqref="AX23">
    <cfRule type="containsText" dxfId="12081" priority="3994" operator="containsText" text="Pending">
      <formula>NOT(ISERROR(SEARCH("Pending",Z3)))</formula>
    </cfRule>
  </conditionalFormatting>
  <conditionalFormatting sqref="AY23">
    <cfRule type="containsText" dxfId="12080" priority="3995" operator="containsText" text="Pending">
      <formula>NOT(ISERROR(SEARCH("Pending",Z3)))</formula>
    </cfRule>
  </conditionalFormatting>
  <conditionalFormatting sqref="AZ23">
    <cfRule type="containsText" dxfId="12079" priority="3996" operator="containsText" text="Pending">
      <formula>NOT(ISERROR(SEARCH("Pending",Z3)))</formula>
    </cfRule>
  </conditionalFormatting>
  <conditionalFormatting sqref="AY26">
    <cfRule type="containsText" dxfId="12078" priority="3997" operator="containsText" text="Pending">
      <formula>NOT(ISERROR(SEARCH("Pending",Z3)))</formula>
    </cfRule>
  </conditionalFormatting>
  <conditionalFormatting sqref="AY28">
    <cfRule type="containsText" dxfId="12077" priority="3998" operator="containsText" text="Pending">
      <formula>NOT(ISERROR(SEARCH("Pending",Z3)))</formula>
    </cfRule>
  </conditionalFormatting>
  <conditionalFormatting sqref="AZ28">
    <cfRule type="containsText" dxfId="12076" priority="3999" operator="containsText" text="Pending">
      <formula>NOT(ISERROR(SEARCH("Pending",Z3)))</formula>
    </cfRule>
  </conditionalFormatting>
  <conditionalFormatting sqref="AS56">
    <cfRule type="containsText" dxfId="12075" priority="4000" operator="containsText" text="Pending">
      <formula>NOT(ISERROR(SEARCH("Pending",Z3)))</formula>
    </cfRule>
  </conditionalFormatting>
  <conditionalFormatting sqref="AS56">
    <cfRule type="containsText" dxfId="12074" priority="4001" operator="containsText" text="Pending">
      <formula>NOT(ISERROR(SEARCH("Pending",Z3)))</formula>
    </cfRule>
  </conditionalFormatting>
  <conditionalFormatting sqref="AT55">
    <cfRule type="containsText" dxfId="12073" priority="4002" operator="containsText" text="Pending">
      <formula>NOT(ISERROR(SEARCH("Pending",Z3)))</formula>
    </cfRule>
  </conditionalFormatting>
  <conditionalFormatting sqref="AT55">
    <cfRule type="containsText" dxfId="12072" priority="4003" operator="containsText" text="Pending">
      <formula>NOT(ISERROR(SEARCH("Pending",Z3)))</formula>
    </cfRule>
  </conditionalFormatting>
  <conditionalFormatting sqref="AT56">
    <cfRule type="containsText" dxfId="12071" priority="4004" operator="containsText" text="Pending">
      <formula>NOT(ISERROR(SEARCH("Pending",Z3)))</formula>
    </cfRule>
  </conditionalFormatting>
  <conditionalFormatting sqref="AT56">
    <cfRule type="containsText" dxfId="12070" priority="4005" operator="containsText" text="Pending">
      <formula>NOT(ISERROR(SEARCH("Pending",Z3)))</formula>
    </cfRule>
  </conditionalFormatting>
  <conditionalFormatting sqref="AO25">
    <cfRule type="containsText" dxfId="12069" priority="4006" operator="containsText" text="Pending">
      <formula>NOT(ISERROR(SEARCH("Pending",Z3)))</formula>
    </cfRule>
  </conditionalFormatting>
  <conditionalFormatting sqref="AO25">
    <cfRule type="containsText" dxfId="12068" priority="4007" operator="containsText" text="Pending">
      <formula>NOT(ISERROR(SEARCH("Pending",Z3)))</formula>
    </cfRule>
  </conditionalFormatting>
  <conditionalFormatting sqref="AF26">
    <cfRule type="containsText" dxfId="12067" priority="4008" operator="containsText" text="Pending">
      <formula>NOT(ISERROR(SEARCH("Pending",Z3)))</formula>
    </cfRule>
  </conditionalFormatting>
  <conditionalFormatting sqref="AI26">
    <cfRule type="containsText" dxfId="12066" priority="4009" operator="containsText" text="Pending">
      <formula>NOT(ISERROR(SEARCH("Pending",Z3)))</formula>
    </cfRule>
  </conditionalFormatting>
  <conditionalFormatting sqref="AW26">
    <cfRule type="containsText" dxfId="12065" priority="4010" operator="containsText" text="Pending">
      <formula>NOT(ISERROR(SEARCH("Pending",Z3)))</formula>
    </cfRule>
  </conditionalFormatting>
  <conditionalFormatting sqref="AY41:AY52">
    <cfRule type="containsText" dxfId="12064" priority="4011" operator="containsText" text="Pending">
      <formula>NOT(ISERROR(SEARCH("Pending",Z3)))</formula>
    </cfRule>
  </conditionalFormatting>
  <conditionalFormatting sqref="AZ41:AZ52">
    <cfRule type="containsText" dxfId="12063" priority="4012" operator="containsText" text="Pending">
      <formula>NOT(ISERROR(SEARCH("Pending",Z3)))</formula>
    </cfRule>
  </conditionalFormatting>
  <conditionalFormatting sqref="AG42 AH42">
    <cfRule type="containsText" dxfId="12062" priority="4013" operator="containsText" text="Pending">
      <formula>NOT(ISERROR(SEARCH("Pending",Z3)))</formula>
    </cfRule>
  </conditionalFormatting>
  <conditionalFormatting sqref="AH47">
    <cfRule type="containsText" dxfId="12061" priority="4014" operator="containsText" text="Pending">
      <formula>NOT(ISERROR(SEARCH("Pending",Z3)))</formula>
    </cfRule>
  </conditionalFormatting>
  <conditionalFormatting sqref="AH47">
    <cfRule type="containsText" dxfId="12060" priority="4015" operator="containsText" text="Pending">
      <formula>NOT(ISERROR(SEARCH("Pending",Z3)))</formula>
    </cfRule>
  </conditionalFormatting>
  <conditionalFormatting sqref="AH47">
    <cfRule type="containsText" dxfId="12059" priority="4016" operator="containsText" text="Pending">
      <formula>NOT(ISERROR(SEARCH("Pending",Z3)))</formula>
    </cfRule>
  </conditionalFormatting>
  <conditionalFormatting sqref="AH49">
    <cfRule type="containsText" dxfId="12058" priority="4017" operator="containsText" text="Pending">
      <formula>NOT(ISERROR(SEARCH("Pending",Z3)))</formula>
    </cfRule>
  </conditionalFormatting>
  <conditionalFormatting sqref="AH43">
    <cfRule type="containsText" dxfId="12057" priority="4018" operator="containsText" text="Pending">
      <formula>NOT(ISERROR(SEARCH("Pending",Z3)))</formula>
    </cfRule>
  </conditionalFormatting>
  <conditionalFormatting sqref="AH43">
    <cfRule type="containsText" dxfId="12056" priority="4019" operator="containsText" text="Pending">
      <formula>NOT(ISERROR(SEARCH("Pending",Z3)))</formula>
    </cfRule>
  </conditionalFormatting>
  <conditionalFormatting sqref="AU43">
    <cfRule type="containsText" dxfId="12055" priority="4020" operator="containsText" text="Pending">
      <formula>NOT(ISERROR(SEARCH("Pending",Z3)))</formula>
    </cfRule>
  </conditionalFormatting>
  <conditionalFormatting sqref="AU44">
    <cfRule type="containsText" dxfId="12054" priority="4021" operator="containsText" text="Pending">
      <formula>NOT(ISERROR(SEARCH("Pending",Z3)))</formula>
    </cfRule>
  </conditionalFormatting>
  <conditionalFormatting sqref="AU46">
    <cfRule type="containsText" dxfId="12053" priority="4022" operator="containsText" text="Pending">
      <formula>NOT(ISERROR(SEARCH("Pending",Z3)))</formula>
    </cfRule>
  </conditionalFormatting>
  <conditionalFormatting sqref="AU47">
    <cfRule type="containsText" dxfId="12052" priority="4023" operator="containsText" text="Pending">
      <formula>NOT(ISERROR(SEARCH("Pending",Z3)))</formula>
    </cfRule>
  </conditionalFormatting>
  <conditionalFormatting sqref="AU48">
    <cfRule type="containsText" dxfId="12051" priority="4024" operator="containsText" text="Pending">
      <formula>NOT(ISERROR(SEARCH("Pending",Z3)))</formula>
    </cfRule>
  </conditionalFormatting>
  <conditionalFormatting sqref="AU49">
    <cfRule type="containsText" dxfId="12050" priority="4025" operator="containsText" text="Pending">
      <formula>NOT(ISERROR(SEARCH("Pending",Z3)))</formula>
    </cfRule>
  </conditionalFormatting>
  <conditionalFormatting sqref="AU50">
    <cfRule type="containsText" dxfId="12049" priority="4026" operator="containsText" text="Pending">
      <formula>NOT(ISERROR(SEARCH("Pending",Z3)))</formula>
    </cfRule>
  </conditionalFormatting>
  <conditionalFormatting sqref="AU51">
    <cfRule type="containsText" dxfId="12048" priority="4027" operator="containsText" text="Pending">
      <formula>NOT(ISERROR(SEARCH("Pending",Z3)))</formula>
    </cfRule>
  </conditionalFormatting>
  <conditionalFormatting sqref="AU52">
    <cfRule type="containsText" dxfId="12047" priority="4028" operator="containsText" text="Pending">
      <formula>NOT(ISERROR(SEARCH("Pending",Z3)))</formula>
    </cfRule>
  </conditionalFormatting>
  <conditionalFormatting sqref="AV42:AV43">
    <cfRule type="containsText" dxfId="12046" priority="4029" operator="containsText" text="Pending">
      <formula>NOT(ISERROR(SEARCH("Pending",Z3)))</formula>
    </cfRule>
  </conditionalFormatting>
  <conditionalFormatting sqref="AV43">
    <cfRule type="containsText" dxfId="12045" priority="4030" operator="containsText" text="Pending">
      <formula>NOT(ISERROR(SEARCH("Pending",Z3)))</formula>
    </cfRule>
  </conditionalFormatting>
  <conditionalFormatting sqref="AV41">
    <cfRule type="containsText" dxfId="12044" priority="4031" operator="containsText" text="Pending">
      <formula>NOT(ISERROR(SEARCH("Pending",Z3)))</formula>
    </cfRule>
  </conditionalFormatting>
  <conditionalFormatting sqref="AV45:AV52">
    <cfRule type="containsText" dxfId="12043" priority="4032" operator="containsText" text="Pending">
      <formula>NOT(ISERROR(SEARCH("Pending",Z3)))</formula>
    </cfRule>
  </conditionalFormatting>
  <conditionalFormatting sqref="AV46">
    <cfRule type="containsText" dxfId="12042" priority="4033" operator="containsText" text="Pending">
      <formula>NOT(ISERROR(SEARCH("Pending",Z3)))</formula>
    </cfRule>
  </conditionalFormatting>
  <conditionalFormatting sqref="AV47">
    <cfRule type="containsText" dxfId="12041" priority="4034" operator="containsText" text="Pending">
      <formula>NOT(ISERROR(SEARCH("Pending",Z3)))</formula>
    </cfRule>
  </conditionalFormatting>
  <conditionalFormatting sqref="AV48">
    <cfRule type="containsText" dxfId="12040" priority="4035" operator="containsText" text="Pending">
      <formula>NOT(ISERROR(SEARCH("Pending",Z3)))</formula>
    </cfRule>
  </conditionalFormatting>
  <conditionalFormatting sqref="AV49">
    <cfRule type="containsText" dxfId="12039" priority="4036" operator="containsText" text="Pending">
      <formula>NOT(ISERROR(SEARCH("Pending",Z3)))</formula>
    </cfRule>
  </conditionalFormatting>
  <conditionalFormatting sqref="AV50">
    <cfRule type="containsText" dxfId="12038" priority="4037" operator="containsText" text="Pending">
      <formula>NOT(ISERROR(SEARCH("Pending",Z3)))</formula>
    </cfRule>
  </conditionalFormatting>
  <conditionalFormatting sqref="AV51">
    <cfRule type="containsText" dxfId="12037" priority="4038" operator="containsText" text="Pending">
      <formula>NOT(ISERROR(SEARCH("Pending",Z3)))</formula>
    </cfRule>
  </conditionalFormatting>
  <conditionalFormatting sqref="AV52">
    <cfRule type="containsText" dxfId="12036" priority="4039" operator="containsText" text="Pending">
      <formula>NOT(ISERROR(SEARCH("Pending",Z3)))</formula>
    </cfRule>
  </conditionalFormatting>
  <conditionalFormatting sqref="AW33:AW40">
    <cfRule type="containsText" dxfId="12035" priority="4040" operator="containsText" text="Pending">
      <formula>NOT(ISERROR(SEARCH("Pending",Z3)))</formula>
    </cfRule>
  </conditionalFormatting>
  <conditionalFormatting sqref="AY32:AY40">
    <cfRule type="containsText" dxfId="12034" priority="4041" operator="containsText" text="Pending">
      <formula>NOT(ISERROR(SEARCH("Pending",Z3)))</formula>
    </cfRule>
  </conditionalFormatting>
  <conditionalFormatting sqref="AZ32:AZ40">
    <cfRule type="containsText" dxfId="12033" priority="4042" operator="containsText" text="Pending">
      <formula>NOT(ISERROR(SEARCH("Pending",Z3)))</formula>
    </cfRule>
  </conditionalFormatting>
  <conditionalFormatting sqref="AJ33 AK33 AL33 AM33 AN33 AO33 AP33 AQ33 AR33 AS33 AT33">
    <cfRule type="containsText" dxfId="12032" priority="4043" operator="containsText" text="Pending">
      <formula>NOT(ISERROR(SEARCH("Pending",Z3)))</formula>
    </cfRule>
  </conditionalFormatting>
  <conditionalFormatting sqref="AS34">
    <cfRule type="containsText" dxfId="12031" priority="4044" operator="containsText" text="Pending">
      <formula>NOT(ISERROR(SEARCH("Pending",Z3)))</formula>
    </cfRule>
  </conditionalFormatting>
  <conditionalFormatting sqref="AP35:AP36 AQ35:AQ36">
    <cfRule type="containsText" dxfId="12030" priority="4045" operator="containsText" text="Pending">
      <formula>NOT(ISERROR(SEARCH("Pending",Z3)))</formula>
    </cfRule>
  </conditionalFormatting>
  <conditionalFormatting sqref="AL39">
    <cfRule type="containsText" dxfId="12029" priority="4046" operator="containsText" text="Pending">
      <formula>NOT(ISERROR(SEARCH("Pending",Z3)))</formula>
    </cfRule>
  </conditionalFormatting>
  <conditionalFormatting sqref="AX31">
    <cfRule type="containsText" dxfId="12028" priority="4047" operator="containsText" text="Pending">
      <formula>NOT(ISERROR(SEARCH("Pending",Z3)))</formula>
    </cfRule>
  </conditionalFormatting>
  <conditionalFormatting sqref="AX31">
    <cfRule type="containsText" dxfId="12027" priority="4048" operator="containsText" text="Pending">
      <formula>NOT(ISERROR(SEARCH("Pending",Z3)))</formula>
    </cfRule>
  </conditionalFormatting>
  <conditionalFormatting sqref="AY31">
    <cfRule type="containsText" dxfId="12026" priority="4049" operator="containsText" text="Pending">
      <formula>NOT(ISERROR(SEARCH("Pending",Z3)))</formula>
    </cfRule>
  </conditionalFormatting>
  <conditionalFormatting sqref="AY31">
    <cfRule type="containsText" dxfId="12025" priority="4050" operator="containsText" text="Pending">
      <formula>NOT(ISERROR(SEARCH("Pending",Z3)))</formula>
    </cfRule>
  </conditionalFormatting>
  <conditionalFormatting sqref="AZ31">
    <cfRule type="containsText" dxfId="12024" priority="4051" operator="containsText" text="Pending">
      <formula>NOT(ISERROR(SEARCH("Pending",Z3)))</formula>
    </cfRule>
  </conditionalFormatting>
  <conditionalFormatting sqref="AZ31">
    <cfRule type="containsText" dxfId="12023" priority="4052" operator="containsText" text="Pending">
      <formula>NOT(ISERROR(SEARCH("Pending",Z3)))</formula>
    </cfRule>
  </conditionalFormatting>
  <conditionalFormatting sqref="AV24:AV25">
    <cfRule type="containsText" dxfId="12022" priority="4053" operator="containsText" text="Pending">
      <formula>NOT(ISERROR(SEARCH("Pending",Z3)))</formula>
    </cfRule>
  </conditionalFormatting>
  <conditionalFormatting sqref="AV25">
    <cfRule type="containsText" dxfId="12021" priority="4054" operator="containsText" text="Pending">
      <formula>NOT(ISERROR(SEARCH("Pending",Z3)))</formula>
    </cfRule>
  </conditionalFormatting>
  <conditionalFormatting sqref="AW24:AW25">
    <cfRule type="containsText" dxfId="12020" priority="4055" operator="containsText" text="Pending">
      <formula>NOT(ISERROR(SEARCH("Pending",Z3)))</formula>
    </cfRule>
  </conditionalFormatting>
  <conditionalFormatting sqref="AW25">
    <cfRule type="containsText" dxfId="12019" priority="4056" operator="containsText" text="Pending">
      <formula>NOT(ISERROR(SEARCH("Pending",Z3)))</formula>
    </cfRule>
  </conditionalFormatting>
  <conditionalFormatting sqref="AX24:AX25">
    <cfRule type="containsText" dxfId="12018" priority="4057" operator="containsText" text="Pending">
      <formula>NOT(ISERROR(SEARCH("Pending",Z3)))</formula>
    </cfRule>
  </conditionalFormatting>
  <conditionalFormatting sqref="AX25">
    <cfRule type="containsText" dxfId="12017" priority="4058" operator="containsText" text="Pending">
      <formula>NOT(ISERROR(SEARCH("Pending",Z3)))</formula>
    </cfRule>
  </conditionalFormatting>
  <conditionalFormatting sqref="AY24:AY25">
    <cfRule type="containsText" dxfId="12016" priority="4059" operator="containsText" text="Pending">
      <formula>NOT(ISERROR(SEARCH("Pending",Z3)))</formula>
    </cfRule>
  </conditionalFormatting>
  <conditionalFormatting sqref="AY25">
    <cfRule type="containsText" dxfId="12015" priority="4060" operator="containsText" text="Pending">
      <formula>NOT(ISERROR(SEARCH("Pending",Z3)))</formula>
    </cfRule>
  </conditionalFormatting>
  <conditionalFormatting sqref="AZ24:AZ25">
    <cfRule type="containsText" dxfId="12014" priority="4061" operator="containsText" text="Pending">
      <formula>NOT(ISERROR(SEARCH("Pending",Z3)))</formula>
    </cfRule>
  </conditionalFormatting>
  <conditionalFormatting sqref="AZ25">
    <cfRule type="containsText" dxfId="12013" priority="4062" operator="containsText" text="Pending">
      <formula>NOT(ISERROR(SEARCH("Pending",Z3)))</formula>
    </cfRule>
  </conditionalFormatting>
  <conditionalFormatting sqref="AA4:AA16 AA18:AA37 AA39:AA40">
    <cfRule type="containsText" dxfId="12012" priority="4" operator="containsText" text="NA">
      <formula>NOT(ISERROR(SEARCH("NA",Z3)))</formula>
    </cfRule>
  </conditionalFormatting>
  <conditionalFormatting sqref="AB4:AB16 AB18:AB22 AB25 AB28 AB30:AB34 AB38:AB41 AB53:AB55">
    <cfRule type="containsText" dxfId="12011" priority="4063" operator="containsText" text="NA">
      <formula>NOT(ISERROR(SEARCH("NA",Z3)))</formula>
    </cfRule>
  </conditionalFormatting>
  <conditionalFormatting sqref="AB56">
    <cfRule type="containsText" dxfId="12010" priority="4064" operator="containsText" text="NA">
      <formula>NOT(ISERROR(SEARCH("NA",Z3)))</formula>
    </cfRule>
  </conditionalFormatting>
  <conditionalFormatting sqref="AC4:AC16 AC18:AC22 AC26:AC29 AC32 AC41 AC48:AC55">
    <cfRule type="containsText" dxfId="12009" priority="4065" operator="containsText" text="NA">
      <formula>NOT(ISERROR(SEARCH("NA",Z3)))</formula>
    </cfRule>
  </conditionalFormatting>
  <conditionalFormatting sqref="AC56">
    <cfRule type="containsText" dxfId="12008" priority="4066" operator="containsText" text="NA">
      <formula>NOT(ISERROR(SEARCH("NA",Z3)))</formula>
    </cfRule>
  </conditionalFormatting>
  <conditionalFormatting sqref="AE4:AE55 AF4:AF16 AF18:AF24 AF27:AF55 AG4:AG55 AH4:AH16 AH18:AH55 AI4:AI16 AI18:AI55 AJ4:AJ16 AJ18:AJ55 AK4:AK16 AK18:AK55 AL4:AL16 AL18:AL55 AM4:AM16 AM18:AM55 AN4:AN16 AN18:AN55 AO4:AO16 AO18:AO55 AP4:AP16 AP18:AP55 AQ4:AQ16 AQ18:AQ55 AR4:AR16 AR18:AR55 AS4:AS16 AS18:AS55 AT4:AT16 AT18:AT55 AU4:AU16 AU18:AU55 AV4:AV16 AV18:AV55 AW4:AW16 AW18:AW55 AX4:AX16 AX18:AX55 AY4:AY16 AY18:AY55 AZ4:AZ16 AZ18:AZ55 BA4:BA55">
    <cfRule type="containsText" dxfId="12007" priority="4067" operator="containsText" text="NA">
      <formula>NOT(ISERROR(SEARCH("NA",Z3)))</formula>
    </cfRule>
  </conditionalFormatting>
  <conditionalFormatting sqref="AE56 AF56 AH56 AI56 AO56 AP56 AQ56 BA56">
    <cfRule type="containsText" dxfId="12006" priority="4068" operator="containsText" text="NA">
      <formula>NOT(ISERROR(SEARCH("NA",Z3)))</formula>
    </cfRule>
  </conditionalFormatting>
  <conditionalFormatting sqref="AE50 AF50">
    <cfRule type="containsText" dxfId="12005" priority="4069" operator="containsText" text="NA">
      <formula>NOT(ISERROR(SEARCH("NA",Z3)))</formula>
    </cfRule>
  </conditionalFormatting>
  <conditionalFormatting sqref="AG5 AH5">
    <cfRule type="containsText" dxfId="12004" priority="4070" operator="containsText" text="NA">
      <formula>NOT(ISERROR(SEARCH("NA",Z3)))</formula>
    </cfRule>
  </conditionalFormatting>
  <conditionalFormatting sqref="AG6 AH6">
    <cfRule type="containsText" dxfId="12003" priority="4071" operator="containsText" text="NA">
      <formula>NOT(ISERROR(SEARCH("NA",Z3)))</formula>
    </cfRule>
  </conditionalFormatting>
  <conditionalFormatting sqref="AJ6 AK6">
    <cfRule type="containsText" dxfId="12002" priority="4072" operator="containsText" text="NA">
      <formula>NOT(ISERROR(SEARCH("NA",Z3)))</formula>
    </cfRule>
  </conditionalFormatting>
  <conditionalFormatting sqref="AA6">
    <cfRule type="containsText" dxfId="12001" priority="4073" operator="containsText" text="NA">
      <formula>NOT(ISERROR(SEARCH("NA",Z3)))</formula>
    </cfRule>
  </conditionalFormatting>
  <conditionalFormatting sqref="AA7">
    <cfRule type="containsText" dxfId="12000" priority="4074" operator="containsText" text="NA">
      <formula>NOT(ISERROR(SEARCH("NA",Z3)))</formula>
    </cfRule>
  </conditionalFormatting>
  <conditionalFormatting sqref="AA9">
    <cfRule type="containsText" dxfId="11999" priority="4075" operator="containsText" text="NA">
      <formula>NOT(ISERROR(SEARCH("NA",Z3)))</formula>
    </cfRule>
  </conditionalFormatting>
  <conditionalFormatting sqref="AA4">
    <cfRule type="containsText" dxfId="11998" priority="4076" operator="containsText" text="NA">
      <formula>NOT(ISERROR(SEARCH("NA",Z3)))</formula>
    </cfRule>
  </conditionalFormatting>
  <conditionalFormatting sqref="AA3">
    <cfRule type="containsText" dxfId="11997" priority="4077" operator="containsText" text="NA">
      <formula>NOT(ISERROR(SEARCH("NA",Z3)))</formula>
    </cfRule>
  </conditionalFormatting>
  <conditionalFormatting sqref="AF8">
    <cfRule type="containsText" dxfId="11996" priority="4078" operator="containsText" text="NA">
      <formula>NOT(ISERROR(SEARCH("NA",Z3)))</formula>
    </cfRule>
  </conditionalFormatting>
  <conditionalFormatting sqref="AE4 AF4 AG4 AH4 AI4 AJ4 AK4 AL4 AM4 AN4 AO4 AP4 AQ4 AR4 AS4 AT4 AU4 AV4 AW4 AX4 AY4 AZ4">
    <cfRule type="containsText" dxfId="11995" priority="4079" operator="containsText" text="NA">
      <formula>NOT(ISERROR(SEARCH("NA",Z3)))</formula>
    </cfRule>
  </conditionalFormatting>
  <conditionalFormatting sqref="AF4">
    <cfRule type="containsText" dxfId="11994" priority="4080" operator="containsText" text="NA">
      <formula>NOT(ISERROR(SEARCH("NA",Z3)))</formula>
    </cfRule>
  </conditionalFormatting>
  <conditionalFormatting sqref="AG3 AH3">
    <cfRule type="containsText" dxfId="11993" priority="4081" operator="containsText" text="NA">
      <formula>NOT(ISERROR(SEARCH("NA",Z3)))</formula>
    </cfRule>
  </conditionalFormatting>
  <conditionalFormatting sqref="AG3 AH3">
    <cfRule type="containsText" dxfId="11992" priority="4082" operator="containsText" text="NA">
      <formula>NOT(ISERROR(SEARCH("NA",Z3)))</formula>
    </cfRule>
  </conditionalFormatting>
  <conditionalFormatting sqref="AJ3 AK3 AL3 AM3 AN3 AO3 AP3 AQ3 AR3 AS3 AT3">
    <cfRule type="containsText" dxfId="11991" priority="4083" operator="containsText" text="NA">
      <formula>NOT(ISERROR(SEARCH("NA",Z3)))</formula>
    </cfRule>
  </conditionalFormatting>
  <conditionalFormatting sqref="AU3 AV3 AW3 AX3 AY3 AZ3">
    <cfRule type="containsText" dxfId="11990" priority="4084" operator="containsText" text="NA">
      <formula>NOT(ISERROR(SEARCH("NA",Z3)))</formula>
    </cfRule>
  </conditionalFormatting>
  <conditionalFormatting sqref="AG54">
    <cfRule type="containsText" dxfId="11989" priority="4085" operator="containsText" text="NA">
      <formula>NOT(ISERROR(SEARCH("NA",Z3)))</formula>
    </cfRule>
  </conditionalFormatting>
  <conditionalFormatting sqref="AF25">
    <cfRule type="containsText" dxfId="11988" priority="4086" operator="containsText" text="NA">
      <formula>NOT(ISERROR(SEARCH("NA",Z3)))</formula>
    </cfRule>
  </conditionalFormatting>
  <conditionalFormatting sqref="AF31">
    <cfRule type="containsText" dxfId="11987" priority="4087" operator="containsText" text="NA">
      <formula>NOT(ISERROR(SEARCH("NA",Z3)))</formula>
    </cfRule>
  </conditionalFormatting>
  <conditionalFormatting sqref="AF30">
    <cfRule type="containsText" dxfId="11986" priority="4088" operator="containsText" text="NA">
      <formula>NOT(ISERROR(SEARCH("NA",Z3)))</formula>
    </cfRule>
  </conditionalFormatting>
  <conditionalFormatting sqref="AE30">
    <cfRule type="containsText" dxfId="11985" priority="4089" operator="containsText" text="NA">
      <formula>NOT(ISERROR(SEARCH("NA",Z3)))</formula>
    </cfRule>
  </conditionalFormatting>
  <conditionalFormatting sqref="AE31">
    <cfRule type="containsText" dxfId="11984" priority="4090" operator="containsText" text="NA">
      <formula>NOT(ISERROR(SEARCH("NA",Z3)))</formula>
    </cfRule>
  </conditionalFormatting>
  <conditionalFormatting sqref="AE28">
    <cfRule type="containsText" dxfId="11983" priority="4091" operator="containsText" text="NA">
      <formula>NOT(ISERROR(SEARCH("NA",Z3)))</formula>
    </cfRule>
  </conditionalFormatting>
  <conditionalFormatting sqref="AE15:AE16">
    <cfRule type="containsText" dxfId="11982" priority="4092" operator="containsText" text="NA">
      <formula>NOT(ISERROR(SEARCH("NA",Z3)))</formula>
    </cfRule>
  </conditionalFormatting>
  <conditionalFormatting sqref="AF15:AF16">
    <cfRule type="containsText" dxfId="11981" priority="4093" operator="containsText" text="NA">
      <formula>NOT(ISERROR(SEARCH("NA",Z3)))</formula>
    </cfRule>
  </conditionalFormatting>
  <conditionalFormatting sqref="AB24">
    <cfRule type="containsText" dxfId="11980" priority="4094" operator="containsText" text="NA">
      <formula>NOT(ISERROR(SEARCH("NA",Z3)))</formula>
    </cfRule>
  </conditionalFormatting>
  <conditionalFormatting sqref="AB26">
    <cfRule type="containsText" dxfId="11979" priority="4095" operator="containsText" text="NA">
      <formula>NOT(ISERROR(SEARCH("NA",Z3)))</formula>
    </cfRule>
  </conditionalFormatting>
  <conditionalFormatting sqref="AB27">
    <cfRule type="containsText" dxfId="11978" priority="4096" operator="containsText" text="NA">
      <formula>NOT(ISERROR(SEARCH("NA",Z3)))</formula>
    </cfRule>
  </conditionalFormatting>
  <conditionalFormatting sqref="AB29">
    <cfRule type="containsText" dxfId="11977" priority="4097" operator="containsText" text="NA">
      <formula>NOT(ISERROR(SEARCH("NA",Z3)))</formula>
    </cfRule>
  </conditionalFormatting>
  <conditionalFormatting sqref="AC23">
    <cfRule type="containsText" dxfId="11976" priority="4098" operator="containsText" text="NA">
      <formula>NOT(ISERROR(SEARCH("NA",Z3)))</formula>
    </cfRule>
  </conditionalFormatting>
  <conditionalFormatting sqref="AC24">
    <cfRule type="containsText" dxfId="11975" priority="4099" operator="containsText" text="NA">
      <formula>NOT(ISERROR(SEARCH("NA",Z3)))</formula>
    </cfRule>
  </conditionalFormatting>
  <conditionalFormatting sqref="AC25">
    <cfRule type="containsText" dxfId="11974" priority="4100" operator="containsText" text="NA">
      <formula>NOT(ISERROR(SEARCH("NA",Z3)))</formula>
    </cfRule>
  </conditionalFormatting>
  <conditionalFormatting sqref="AC30">
    <cfRule type="containsText" dxfId="11973" priority="4101" operator="containsText" text="NA">
      <formula>NOT(ISERROR(SEARCH("NA",Z3)))</formula>
    </cfRule>
  </conditionalFormatting>
  <conditionalFormatting sqref="AC31">
    <cfRule type="containsText" dxfId="11972" priority="4102" operator="containsText" text="NA">
      <formula>NOT(ISERROR(SEARCH("NA",Z3)))</formula>
    </cfRule>
  </conditionalFormatting>
  <conditionalFormatting sqref="AB23">
    <cfRule type="containsText" dxfId="11971" priority="4103" operator="containsText" text="NA">
      <formula>NOT(ISERROR(SEARCH("NA",Z3)))</formula>
    </cfRule>
  </conditionalFormatting>
  <conditionalFormatting sqref="AL12">
    <cfRule type="containsText" dxfId="11970" priority="4104" operator="containsText" text="NA">
      <formula>NOT(ISERROR(SEARCH("NA",Z3)))</formula>
    </cfRule>
  </conditionalFormatting>
  <conditionalFormatting sqref="AG14 AH14">
    <cfRule type="containsText" dxfId="11969" priority="4105" operator="containsText" text="NA">
      <formula>NOT(ISERROR(SEARCH("NA",Z3)))</formula>
    </cfRule>
  </conditionalFormatting>
  <conditionalFormatting sqref="AJ14">
    <cfRule type="containsText" dxfId="11968" priority="4106" operator="containsText" text="NA">
      <formula>NOT(ISERROR(SEARCH("NA",Z3)))</formula>
    </cfRule>
  </conditionalFormatting>
  <conditionalFormatting sqref="AK14">
    <cfRule type="containsText" dxfId="11967" priority="4107" operator="containsText" text="NA">
      <formula>NOT(ISERROR(SEARCH("NA",Z3)))</formula>
    </cfRule>
  </conditionalFormatting>
  <conditionalFormatting sqref="AJ18">
    <cfRule type="containsText" dxfId="11966" priority="4108" operator="containsText" text="NA">
      <formula>NOT(ISERROR(SEARCH("NA",Z3)))</formula>
    </cfRule>
  </conditionalFormatting>
  <conditionalFormatting sqref="AG20 AH20 AI20">
    <cfRule type="containsText" dxfId="11965" priority="4109" operator="containsText" text="NA">
      <formula>NOT(ISERROR(SEARCH("NA",Z3)))</formula>
    </cfRule>
  </conditionalFormatting>
  <conditionalFormatting sqref="AO49">
    <cfRule type="containsText" dxfId="11964" priority="4110" operator="containsText" text="NA">
      <formula>NOT(ISERROR(SEARCH("NA",Z3)))</formula>
    </cfRule>
  </conditionalFormatting>
  <conditionalFormatting sqref="AO50">
    <cfRule type="containsText" dxfId="11963" priority="4111" operator="containsText" text="NA">
      <formula>NOT(ISERROR(SEARCH("NA",Z3)))</formula>
    </cfRule>
  </conditionalFormatting>
  <conditionalFormatting sqref="AO50">
    <cfRule type="containsText" dxfId="11962" priority="4112" operator="containsText" text="NA">
      <formula>NOT(ISERROR(SEARCH("NA",Z3)))</formula>
    </cfRule>
  </conditionalFormatting>
  <conditionalFormatting sqref="AO51">
    <cfRule type="containsText" dxfId="11961" priority="4113" operator="containsText" text="NA">
      <formula>NOT(ISERROR(SEARCH("NA",Z3)))</formula>
    </cfRule>
  </conditionalFormatting>
  <conditionalFormatting sqref="AO51">
    <cfRule type="containsText" dxfId="11960" priority="4114" operator="containsText" text="NA">
      <formula>NOT(ISERROR(SEARCH("NA",Z3)))</formula>
    </cfRule>
  </conditionalFormatting>
  <conditionalFormatting sqref="AO51">
    <cfRule type="containsText" dxfId="11959" priority="4115" operator="containsText" text="NA">
      <formula>NOT(ISERROR(SEARCH("NA",Z3)))</formula>
    </cfRule>
  </conditionalFormatting>
  <conditionalFormatting sqref="AC49:AC50">
    <cfRule type="containsText" dxfId="11958" priority="4116" operator="containsText" text="NA">
      <formula>NOT(ISERROR(SEARCH("NA",Z3)))</formula>
    </cfRule>
  </conditionalFormatting>
  <conditionalFormatting sqref="AB48">
    <cfRule type="containsText" dxfId="11957" priority="4117" operator="containsText" text="NA">
      <formula>NOT(ISERROR(SEARCH("NA",Z3)))</formula>
    </cfRule>
  </conditionalFormatting>
  <conditionalFormatting sqref="AB49:AB50">
    <cfRule type="containsText" dxfId="11956" priority="4118" operator="containsText" text="NA">
      <formula>NOT(ISERROR(SEARCH("NA",Z3)))</formula>
    </cfRule>
  </conditionalFormatting>
  <conditionalFormatting sqref="AB51:AB52">
    <cfRule type="containsText" dxfId="11955" priority="4119" operator="containsText" text="NA">
      <formula>NOT(ISERROR(SEARCH("NA",Z3)))</formula>
    </cfRule>
  </conditionalFormatting>
  <conditionalFormatting sqref="AV15">
    <cfRule type="containsText" dxfId="11954" priority="4120" operator="containsText" text="NA">
      <formula>NOT(ISERROR(SEARCH("NA",Z3)))</formula>
    </cfRule>
  </conditionalFormatting>
  <conditionalFormatting sqref="AW15">
    <cfRule type="containsText" dxfId="11953" priority="4121" operator="containsText" text="NA">
      <formula>NOT(ISERROR(SEARCH("NA",Z3)))</formula>
    </cfRule>
  </conditionalFormatting>
  <conditionalFormatting sqref="AX15">
    <cfRule type="containsText" dxfId="11952" priority="4122" operator="containsText" text="NA">
      <formula>NOT(ISERROR(SEARCH("NA",Z3)))</formula>
    </cfRule>
  </conditionalFormatting>
  <conditionalFormatting sqref="AY15">
    <cfRule type="containsText" dxfId="11951" priority="4123" operator="containsText" text="NA">
      <formula>NOT(ISERROR(SEARCH("NA",Z3)))</formula>
    </cfRule>
  </conditionalFormatting>
  <conditionalFormatting sqref="AZ15">
    <cfRule type="containsText" dxfId="11950" priority="4124" operator="containsText" text="NA">
      <formula>NOT(ISERROR(SEARCH("NA",Z3)))</formula>
    </cfRule>
  </conditionalFormatting>
  <conditionalFormatting sqref="AA11">
    <cfRule type="containsText" dxfId="11949" priority="4125" operator="containsText" text="NA">
      <formula>NOT(ISERROR(SEARCH("NA",Z3)))</formula>
    </cfRule>
  </conditionalFormatting>
  <conditionalFormatting sqref="AB11">
    <cfRule type="containsText" dxfId="11948" priority="4126" operator="containsText" text="NA">
      <formula>NOT(ISERROR(SEARCH("NA",Z3)))</formula>
    </cfRule>
  </conditionalFormatting>
  <conditionalFormatting sqref="AC11">
    <cfRule type="containsText" dxfId="11947" priority="4127" operator="containsText" text="NA">
      <formula>NOT(ISERROR(SEARCH("NA",Z3)))</formula>
    </cfRule>
  </conditionalFormatting>
  <conditionalFormatting sqref="AA13">
    <cfRule type="containsText" dxfId="11946" priority="4128" operator="containsText" text="NA">
      <formula>NOT(ISERROR(SEARCH("NA",Z3)))</formula>
    </cfRule>
  </conditionalFormatting>
  <conditionalFormatting sqref="AB13">
    <cfRule type="containsText" dxfId="11945" priority="4129" operator="containsText" text="NA">
      <formula>NOT(ISERROR(SEARCH("NA",Z3)))</formula>
    </cfRule>
  </conditionalFormatting>
  <conditionalFormatting sqref="AC13">
    <cfRule type="containsText" dxfId="11944" priority="4130" operator="containsText" text="NA">
      <formula>NOT(ISERROR(SEARCH("NA",Z3)))</formula>
    </cfRule>
  </conditionalFormatting>
  <conditionalFormatting sqref="AA19">
    <cfRule type="containsText" dxfId="11943" priority="4131" operator="containsText" text="NA">
      <formula>NOT(ISERROR(SEARCH("NA",Z3)))</formula>
    </cfRule>
  </conditionalFormatting>
  <conditionalFormatting sqref="AB19">
    <cfRule type="containsText" dxfId="11942" priority="4132" operator="containsText" text="NA">
      <formula>NOT(ISERROR(SEARCH("NA",Z3)))</formula>
    </cfRule>
  </conditionalFormatting>
  <conditionalFormatting sqref="AC19">
    <cfRule type="containsText" dxfId="11941" priority="4133" operator="containsText" text="NA">
      <formula>NOT(ISERROR(SEARCH("NA",Z3)))</formula>
    </cfRule>
  </conditionalFormatting>
  <conditionalFormatting sqref="AB20">
    <cfRule type="containsText" dxfId="11940" priority="4134" operator="containsText" text="NA">
      <formula>NOT(ISERROR(SEARCH("NA",Z3)))</formula>
    </cfRule>
  </conditionalFormatting>
  <conditionalFormatting sqref="AC20">
    <cfRule type="containsText" dxfId="11939" priority="4135" operator="containsText" text="NA">
      <formula>NOT(ISERROR(SEARCH("NA",Z3)))</formula>
    </cfRule>
  </conditionalFormatting>
  <conditionalFormatting sqref="AD20">
    <cfRule type="containsText" dxfId="11938" priority="4136" operator="containsText" text="NA">
      <formula>NOT(ISERROR(SEARCH("NA",Z3)))</formula>
    </cfRule>
  </conditionalFormatting>
  <conditionalFormatting sqref="AB21">
    <cfRule type="containsText" dxfId="11937" priority="4137" operator="containsText" text="NA">
      <formula>NOT(ISERROR(SEARCH("NA",Z3)))</formula>
    </cfRule>
  </conditionalFormatting>
  <conditionalFormatting sqref="AC21">
    <cfRule type="containsText" dxfId="11936" priority="4138" operator="containsText" text="NA">
      <formula>NOT(ISERROR(SEARCH("NA",Z3)))</formula>
    </cfRule>
  </conditionalFormatting>
  <conditionalFormatting sqref="AD21">
    <cfRule type="containsText" dxfId="11935" priority="4139" operator="containsText" text="NA">
      <formula>NOT(ISERROR(SEARCH("NA",Z3)))</formula>
    </cfRule>
  </conditionalFormatting>
  <conditionalFormatting sqref="AG43">
    <cfRule type="containsText" dxfId="11934" priority="4140" operator="containsText" text="NA">
      <formula>NOT(ISERROR(SEARCH("NA",Z3)))</formula>
    </cfRule>
  </conditionalFormatting>
  <conditionalFormatting sqref="AG44">
    <cfRule type="containsText" dxfId="11933" priority="4141" operator="containsText" text="NA">
      <formula>NOT(ISERROR(SEARCH("NA",Z3)))</formula>
    </cfRule>
  </conditionalFormatting>
  <conditionalFormatting sqref="AG45">
    <cfRule type="containsText" dxfId="11932" priority="4142" operator="containsText" text="NA">
      <formula>NOT(ISERROR(SEARCH("NA",Z3)))</formula>
    </cfRule>
  </conditionalFormatting>
  <conditionalFormatting sqref="AG47">
    <cfRule type="containsText" dxfId="11931" priority="4143" operator="containsText" text="NA">
      <formula>NOT(ISERROR(SEARCH("NA",Z3)))</formula>
    </cfRule>
  </conditionalFormatting>
  <conditionalFormatting sqref="AG47">
    <cfRule type="containsText" dxfId="11930" priority="4144" operator="containsText" text="NA">
      <formula>NOT(ISERROR(SEARCH("NA",Z3)))</formula>
    </cfRule>
  </conditionalFormatting>
  <conditionalFormatting sqref="AH44:AH46">
    <cfRule type="containsText" dxfId="11929" priority="4145" operator="containsText" text="NA">
      <formula>NOT(ISERROR(SEARCH("NA",Z3)))</formula>
    </cfRule>
  </conditionalFormatting>
  <conditionalFormatting sqref="AH44">
    <cfRule type="containsText" dxfId="11928" priority="4146" operator="containsText" text="NA">
      <formula>NOT(ISERROR(SEARCH("NA",Z3)))</formula>
    </cfRule>
  </conditionalFormatting>
  <conditionalFormatting sqref="AH45">
    <cfRule type="containsText" dxfId="11927" priority="4147" operator="containsText" text="NA">
      <formula>NOT(ISERROR(SEARCH("NA",Z3)))</formula>
    </cfRule>
  </conditionalFormatting>
  <conditionalFormatting sqref="AH48">
    <cfRule type="containsText" dxfId="11926" priority="4148" operator="containsText" text="NA">
      <formula>NOT(ISERROR(SEARCH("NA",Z3)))</formula>
    </cfRule>
  </conditionalFormatting>
  <conditionalFormatting sqref="AH48">
    <cfRule type="containsText" dxfId="11925" priority="4149" operator="containsText" text="NA">
      <formula>NOT(ISERROR(SEARCH("NA",Z3)))</formula>
    </cfRule>
  </conditionalFormatting>
  <conditionalFormatting sqref="AH48">
    <cfRule type="containsText" dxfId="11924" priority="4150" operator="containsText" text="NA">
      <formula>NOT(ISERROR(SEARCH("NA",Z3)))</formula>
    </cfRule>
  </conditionalFormatting>
  <conditionalFormatting sqref="AH48">
    <cfRule type="containsText" dxfId="11923" priority="4151" operator="containsText" text="NA">
      <formula>NOT(ISERROR(SEARCH("NA",Z3)))</formula>
    </cfRule>
  </conditionalFormatting>
  <conditionalFormatting sqref="AR10">
    <cfRule type="containsText" dxfId="11922" priority="4152" operator="containsText" text="NA">
      <formula>NOT(ISERROR(SEARCH("NA",Z3)))</formula>
    </cfRule>
  </conditionalFormatting>
  <conditionalFormatting sqref="AT10">
    <cfRule type="containsText" dxfId="11921" priority="4153" operator="containsText" text="NA">
      <formula>NOT(ISERROR(SEARCH("NA",Z3)))</formula>
    </cfRule>
  </conditionalFormatting>
  <conditionalFormatting sqref="AA29">
    <cfRule type="containsText" dxfId="11920" priority="4154" operator="containsText" text="NA">
      <formula>NOT(ISERROR(SEARCH("NA",Z3)))</formula>
    </cfRule>
  </conditionalFormatting>
  <conditionalFormatting sqref="AA30">
    <cfRule type="containsText" dxfId="11919" priority="4155" operator="containsText" text="NA">
      <formula>NOT(ISERROR(SEARCH("NA",Z3)))</formula>
    </cfRule>
  </conditionalFormatting>
  <conditionalFormatting sqref="AA31">
    <cfRule type="containsText" dxfId="11918" priority="4156" operator="containsText" text="NA">
      <formula>NOT(ISERROR(SEARCH("NA",Z3)))</formula>
    </cfRule>
  </conditionalFormatting>
  <conditionalFormatting sqref="AF13">
    <cfRule type="containsText" dxfId="11917" priority="4157" operator="containsText" text="NA">
      <formula>NOT(ISERROR(SEARCH("NA",Z3)))</formula>
    </cfRule>
  </conditionalFormatting>
  <conditionalFormatting sqref="AH13">
    <cfRule type="containsText" dxfId="11916" priority="4158" operator="containsText" text="NA">
      <formula>NOT(ISERROR(SEARCH("NA",Z3)))</formula>
    </cfRule>
  </conditionalFormatting>
  <conditionalFormatting sqref="AI13">
    <cfRule type="containsText" dxfId="11915" priority="4159" operator="containsText" text="NA">
      <formula>NOT(ISERROR(SEARCH("NA",Z3)))</formula>
    </cfRule>
  </conditionalFormatting>
  <conditionalFormatting sqref="AJ13">
    <cfRule type="containsText" dxfId="11914" priority="4160" operator="containsText" text="NA">
      <formula>NOT(ISERROR(SEARCH("NA",Z3)))</formula>
    </cfRule>
  </conditionalFormatting>
  <conditionalFormatting sqref="AK13">
    <cfRule type="containsText" dxfId="11913" priority="4161" operator="containsText" text="NA">
      <formula>NOT(ISERROR(SEARCH("NA",Z3)))</formula>
    </cfRule>
  </conditionalFormatting>
  <conditionalFormatting sqref="AL13">
    <cfRule type="containsText" dxfId="11912" priority="4162" operator="containsText" text="NA">
      <formula>NOT(ISERROR(SEARCH("NA",Z3)))</formula>
    </cfRule>
  </conditionalFormatting>
  <conditionalFormatting sqref="AM13">
    <cfRule type="containsText" dxfId="11911" priority="4163" operator="containsText" text="NA">
      <formula>NOT(ISERROR(SEARCH("NA",Z3)))</formula>
    </cfRule>
  </conditionalFormatting>
  <conditionalFormatting sqref="AN13">
    <cfRule type="containsText" dxfId="11910" priority="4164" operator="containsText" text="NA">
      <formula>NOT(ISERROR(SEARCH("NA",Z3)))</formula>
    </cfRule>
  </conditionalFormatting>
  <conditionalFormatting sqref="AO13">
    <cfRule type="containsText" dxfId="11909" priority="4165" operator="containsText" text="NA">
      <formula>NOT(ISERROR(SEARCH("NA",Z3)))</formula>
    </cfRule>
  </conditionalFormatting>
  <conditionalFormatting sqref="AP13">
    <cfRule type="containsText" dxfId="11908" priority="4166" operator="containsText" text="NA">
      <formula>NOT(ISERROR(SEARCH("NA",Z3)))</formula>
    </cfRule>
  </conditionalFormatting>
  <conditionalFormatting sqref="AQ13">
    <cfRule type="containsText" dxfId="11907" priority="4167" operator="containsText" text="NA">
      <formula>NOT(ISERROR(SEARCH("NA",Z3)))</formula>
    </cfRule>
  </conditionalFormatting>
  <conditionalFormatting sqref="AR13">
    <cfRule type="containsText" dxfId="11906" priority="4168" operator="containsText" text="NA">
      <formula>NOT(ISERROR(SEARCH("NA",Z3)))</formula>
    </cfRule>
  </conditionalFormatting>
  <conditionalFormatting sqref="AS13">
    <cfRule type="containsText" dxfId="11905" priority="4169" operator="containsText" text="NA">
      <formula>NOT(ISERROR(SEARCH("NA",Z3)))</formula>
    </cfRule>
  </conditionalFormatting>
  <conditionalFormatting sqref="AT13">
    <cfRule type="containsText" dxfId="11904" priority="4170" operator="containsText" text="NA">
      <formula>NOT(ISERROR(SEARCH("NA",Z3)))</formula>
    </cfRule>
  </conditionalFormatting>
  <conditionalFormatting sqref="AU13">
    <cfRule type="containsText" dxfId="11903" priority="4171" operator="containsText" text="NA">
      <formula>NOT(ISERROR(SEARCH("NA",Z3)))</formula>
    </cfRule>
  </conditionalFormatting>
  <conditionalFormatting sqref="AV13">
    <cfRule type="containsText" dxfId="11902" priority="4172" operator="containsText" text="NA">
      <formula>NOT(ISERROR(SEARCH("NA",Z3)))</formula>
    </cfRule>
  </conditionalFormatting>
  <conditionalFormatting sqref="AW13">
    <cfRule type="containsText" dxfId="11901" priority="4173" operator="containsText" text="NA">
      <formula>NOT(ISERROR(SEARCH("NA",Z3)))</formula>
    </cfRule>
  </conditionalFormatting>
  <conditionalFormatting sqref="AX13">
    <cfRule type="containsText" dxfId="11900" priority="4174" operator="containsText" text="NA">
      <formula>NOT(ISERROR(SEARCH("NA",Z3)))</formula>
    </cfRule>
  </conditionalFormatting>
  <conditionalFormatting sqref="AY13">
    <cfRule type="containsText" dxfId="11899" priority="4175" operator="containsText" text="NA">
      <formula>NOT(ISERROR(SEARCH("NA",Z3)))</formula>
    </cfRule>
  </conditionalFormatting>
  <conditionalFormatting sqref="AZ13">
    <cfRule type="containsText" dxfId="11898" priority="4176" operator="containsText" text="NA">
      <formula>NOT(ISERROR(SEARCH("NA",Z3)))</formula>
    </cfRule>
  </conditionalFormatting>
  <conditionalFormatting sqref="AJ20:AJ21">
    <cfRule type="containsText" dxfId="11897" priority="4177" operator="containsText" text="NA">
      <formula>NOT(ISERROR(SEARCH("NA",Z3)))</formula>
    </cfRule>
  </conditionalFormatting>
  <conditionalFormatting sqref="AJ20">
    <cfRule type="containsText" dxfId="11896" priority="4178" operator="containsText" text="NA">
      <formula>NOT(ISERROR(SEARCH("NA",Z3)))</formula>
    </cfRule>
  </conditionalFormatting>
  <conditionalFormatting sqref="AJ41">
    <cfRule type="containsText" dxfId="11895" priority="4179" operator="containsText" text="NA">
      <formula>NOT(ISERROR(SEARCH("NA",Z3)))</formula>
    </cfRule>
  </conditionalFormatting>
  <conditionalFormatting sqref="AJ42">
    <cfRule type="containsText" dxfId="11894" priority="4180" operator="containsText" text="NA">
      <formula>NOT(ISERROR(SEARCH("NA",Z3)))</formula>
    </cfRule>
  </conditionalFormatting>
  <conditionalFormatting sqref="AJ42">
    <cfRule type="containsText" dxfId="11893" priority="4181" operator="containsText" text="NA">
      <formula>NOT(ISERROR(SEARCH("NA",Z3)))</formula>
    </cfRule>
  </conditionalFormatting>
  <conditionalFormatting sqref="AK41:AK52">
    <cfRule type="containsText" dxfId="11892" priority="4182" operator="containsText" text="NA">
      <formula>NOT(ISERROR(SEARCH("NA",Z3)))</formula>
    </cfRule>
  </conditionalFormatting>
  <conditionalFormatting sqref="AK41">
    <cfRule type="containsText" dxfId="11891" priority="4183" operator="containsText" text="NA">
      <formula>NOT(ISERROR(SEARCH("NA",Z3)))</formula>
    </cfRule>
  </conditionalFormatting>
  <conditionalFormatting sqref="AK42">
    <cfRule type="containsText" dxfId="11890" priority="4184" operator="containsText" text="NA">
      <formula>NOT(ISERROR(SEARCH("NA",Z3)))</formula>
    </cfRule>
  </conditionalFormatting>
  <conditionalFormatting sqref="AK42">
    <cfRule type="containsText" dxfId="11889" priority="4185" operator="containsText" text="NA">
      <formula>NOT(ISERROR(SEARCH("NA",Z3)))</formula>
    </cfRule>
  </conditionalFormatting>
  <conditionalFormatting sqref="AJ54">
    <cfRule type="containsText" dxfId="11888" priority="4186" operator="containsText" text="NA">
      <formula>NOT(ISERROR(SEARCH("NA",Z3)))</formula>
    </cfRule>
  </conditionalFormatting>
  <conditionalFormatting sqref="AK53">
    <cfRule type="containsText" dxfId="11887" priority="4187" operator="containsText" text="NA">
      <formula>NOT(ISERROR(SEARCH("NA",Z3)))</formula>
    </cfRule>
  </conditionalFormatting>
  <conditionalFormatting sqref="AR54">
    <cfRule type="containsText" dxfId="11886" priority="4188" operator="containsText" text="NA">
      <formula>NOT(ISERROR(SEARCH("NA",Z3)))</formula>
    </cfRule>
  </conditionalFormatting>
  <conditionalFormatting sqref="AB42 AB44 AB45 AB46 AB47 AC42 AC43 AC44 AC45 AC46 AC47">
    <cfRule type="containsText" dxfId="11885" priority="4189" operator="containsText" text="NA">
      <formula>NOT(ISERROR(SEARCH("NA",Z3)))</formula>
    </cfRule>
  </conditionalFormatting>
  <conditionalFormatting sqref="AB43">
    <cfRule type="containsText" dxfId="11884" priority="4190" operator="containsText" text="NA">
      <formula>NOT(ISERROR(SEARCH("NA",Z3)))</formula>
    </cfRule>
  </conditionalFormatting>
  <conditionalFormatting sqref="AG40 AH40">
    <cfRule type="containsText" dxfId="11883" priority="4191" operator="containsText" text="NA">
      <formula>NOT(ISERROR(SEARCH("NA",Z3)))</formula>
    </cfRule>
  </conditionalFormatting>
  <conditionalFormatting sqref="AC34">
    <cfRule type="containsText" dxfId="11882" priority="4192" operator="containsText" text="NA">
      <formula>NOT(ISERROR(SEARCH("NA",Z3)))</formula>
    </cfRule>
  </conditionalFormatting>
  <conditionalFormatting sqref="AC33">
    <cfRule type="containsText" dxfId="11881" priority="4193" operator="containsText" text="NA">
      <formula>NOT(ISERROR(SEARCH("NA",Z3)))</formula>
    </cfRule>
  </conditionalFormatting>
  <conditionalFormatting sqref="AC35">
    <cfRule type="containsText" dxfId="11880" priority="4194" operator="containsText" text="NA">
      <formula>NOT(ISERROR(SEARCH("NA",Z3)))</formula>
    </cfRule>
  </conditionalFormatting>
  <conditionalFormatting sqref="AC36">
    <cfRule type="containsText" dxfId="11879" priority="4195" operator="containsText" text="NA">
      <formula>NOT(ISERROR(SEARCH("NA",Z3)))</formula>
    </cfRule>
  </conditionalFormatting>
  <conditionalFormatting sqref="AC37">
    <cfRule type="containsText" dxfId="11878" priority="4196" operator="containsText" text="NA">
      <formula>NOT(ISERROR(SEARCH("NA",Z3)))</formula>
    </cfRule>
  </conditionalFormatting>
  <conditionalFormatting sqref="AC38">
    <cfRule type="containsText" dxfId="11877" priority="4197" operator="containsText" text="NA">
      <formula>NOT(ISERROR(SEARCH("NA",Z3)))</formula>
    </cfRule>
  </conditionalFormatting>
  <conditionalFormatting sqref="AC39">
    <cfRule type="containsText" dxfId="11876" priority="4198" operator="containsText" text="NA">
      <formula>NOT(ISERROR(SEARCH("NA",Z3)))</formula>
    </cfRule>
  </conditionalFormatting>
  <conditionalFormatting sqref="AC40">
    <cfRule type="containsText" dxfId="11875" priority="4199" operator="containsText" text="NA">
      <formula>NOT(ISERROR(SEARCH("NA",Z3)))</formula>
    </cfRule>
  </conditionalFormatting>
  <conditionalFormatting sqref="AB35">
    <cfRule type="containsText" dxfId="11874" priority="4200" operator="containsText" text="NA">
      <formula>NOT(ISERROR(SEARCH("NA",Z3)))</formula>
    </cfRule>
  </conditionalFormatting>
  <conditionalFormatting sqref="AB36">
    <cfRule type="containsText" dxfId="11873" priority="4201" operator="containsText" text="NA">
      <formula>NOT(ISERROR(SEARCH("NA",Z3)))</formula>
    </cfRule>
  </conditionalFormatting>
  <conditionalFormatting sqref="AB37">
    <cfRule type="containsText" dxfId="11872" priority="4202" operator="containsText" text="NA">
      <formula>NOT(ISERROR(SEARCH("NA",Z3)))</formula>
    </cfRule>
  </conditionalFormatting>
  <conditionalFormatting sqref="AM44:AM52">
    <cfRule type="containsText" dxfId="11871" priority="4203" operator="containsText" text="NA">
      <formula>NOT(ISERROR(SEARCH("NA",Z3)))</formula>
    </cfRule>
  </conditionalFormatting>
  <conditionalFormatting sqref="AM41">
    <cfRule type="containsText" dxfId="11870" priority="4204" operator="containsText" text="NA">
      <formula>NOT(ISERROR(SEARCH("NA",Z3)))</formula>
    </cfRule>
  </conditionalFormatting>
  <conditionalFormatting sqref="AN40:AN52">
    <cfRule type="containsText" dxfId="11869" priority="4205" operator="containsText" text="NA">
      <formula>NOT(ISERROR(SEARCH("NA",Z3)))</formula>
    </cfRule>
  </conditionalFormatting>
  <conditionalFormatting sqref="AN44:AN52">
    <cfRule type="containsText" dxfId="11868" priority="4206" operator="containsText" text="NA">
      <formula>NOT(ISERROR(SEARCH("NA",Z3)))</formula>
    </cfRule>
  </conditionalFormatting>
  <conditionalFormatting sqref="AN41">
    <cfRule type="containsText" dxfId="11867" priority="4207" operator="containsText" text="NA">
      <formula>NOT(ISERROR(SEARCH("NA",Z3)))</formula>
    </cfRule>
  </conditionalFormatting>
  <conditionalFormatting sqref="AQ42:AQ52">
    <cfRule type="containsText" dxfId="11866" priority="4208" operator="containsText" text="NA">
      <formula>NOT(ISERROR(SEARCH("NA",Z3)))</formula>
    </cfRule>
  </conditionalFormatting>
  <conditionalFormatting sqref="AP41">
    <cfRule type="containsText" dxfId="11865" priority="4209" operator="containsText" text="NA">
      <formula>NOT(ISERROR(SEARCH("NA",Z3)))</formula>
    </cfRule>
  </conditionalFormatting>
  <conditionalFormatting sqref="AM53">
    <cfRule type="containsText" dxfId="11864" priority="4210" operator="containsText" text="NA">
      <formula>NOT(ISERROR(SEARCH("NA",Z3)))</formula>
    </cfRule>
  </conditionalFormatting>
  <conditionalFormatting sqref="AL54">
    <cfRule type="containsText" dxfId="11863" priority="4211" operator="containsText" text="NA">
      <formula>NOT(ISERROR(SEARCH("NA",Z3)))</formula>
    </cfRule>
  </conditionalFormatting>
  <conditionalFormatting sqref="AU54">
    <cfRule type="containsText" dxfId="11862" priority="4212" operator="containsText" text="NA">
      <formula>NOT(ISERROR(SEARCH("NA",Z3)))</formula>
    </cfRule>
  </conditionalFormatting>
  <conditionalFormatting sqref="AV53">
    <cfRule type="containsText" dxfId="11861" priority="4213" operator="containsText" text="NA">
      <formula>NOT(ISERROR(SEARCH("NA",Z3)))</formula>
    </cfRule>
  </conditionalFormatting>
  <conditionalFormatting sqref="AX53">
    <cfRule type="containsText" dxfId="11860" priority="4214" operator="containsText" text="NA">
      <formula>NOT(ISERROR(SEARCH("NA",Z3)))</formula>
    </cfRule>
  </conditionalFormatting>
  <conditionalFormatting sqref="AY53">
    <cfRule type="containsText" dxfId="11859" priority="4215" operator="containsText" text="NA">
      <formula>NOT(ISERROR(SEARCH("NA",Z3)))</formula>
    </cfRule>
  </conditionalFormatting>
  <conditionalFormatting sqref="AS53">
    <cfRule type="containsText" dxfId="11858" priority="4216" operator="containsText" text="NA">
      <formula>NOT(ISERROR(SEARCH("NA",Z3)))</formula>
    </cfRule>
  </conditionalFormatting>
  <conditionalFormatting sqref="AT53">
    <cfRule type="containsText" dxfId="11857" priority="4217" operator="containsText" text="NA">
      <formula>NOT(ISERROR(SEARCH("NA",Z3)))</formula>
    </cfRule>
  </conditionalFormatting>
  <conditionalFormatting sqref="AS55">
    <cfRule type="containsText" dxfId="11856" priority="4218" operator="containsText" text="NA">
      <formula>NOT(ISERROR(SEARCH("NA",Z3)))</formula>
    </cfRule>
  </conditionalFormatting>
  <conditionalFormatting sqref="AG25">
    <cfRule type="containsText" dxfId="11855" priority="4219" operator="containsText" text="NA">
      <formula>NOT(ISERROR(SEARCH("NA",Z3)))</formula>
    </cfRule>
  </conditionalFormatting>
  <conditionalFormatting sqref="AH25">
    <cfRule type="containsText" dxfId="11854" priority="4220" operator="containsText" text="NA">
      <formula>NOT(ISERROR(SEARCH("NA",Z3)))</formula>
    </cfRule>
  </conditionalFormatting>
  <conditionalFormatting sqref="AG28">
    <cfRule type="containsText" dxfId="11853" priority="4221" operator="containsText" text="NA">
      <formula>NOT(ISERROR(SEARCH("NA",Z3)))</formula>
    </cfRule>
  </conditionalFormatting>
  <conditionalFormatting sqref="AH28">
    <cfRule type="containsText" dxfId="11852" priority="4222" operator="containsText" text="NA">
      <formula>NOT(ISERROR(SEARCH("NA",Z3)))</formula>
    </cfRule>
  </conditionalFormatting>
  <conditionalFormatting sqref="AK23">
    <cfRule type="containsText" dxfId="11851" priority="4223" operator="containsText" text="NA">
      <formula>NOT(ISERROR(SEARCH("NA",Z3)))</formula>
    </cfRule>
  </conditionalFormatting>
  <conditionalFormatting sqref="AJ27 AK27">
    <cfRule type="containsText" dxfId="11850" priority="4224" operator="containsText" text="NA">
      <formula>NOT(ISERROR(SEARCH("NA",Z3)))</formula>
    </cfRule>
  </conditionalFormatting>
  <conditionalFormatting sqref="AK27">
    <cfRule type="containsText" dxfId="11849" priority="4225" operator="containsText" text="NA">
      <formula>NOT(ISERROR(SEARCH("NA",Z3)))</formula>
    </cfRule>
  </conditionalFormatting>
  <conditionalFormatting sqref="AK28">
    <cfRule type="containsText" dxfId="11848" priority="4226" operator="containsText" text="NA">
      <formula>NOT(ISERROR(SEARCH("NA",Z3)))</formula>
    </cfRule>
  </conditionalFormatting>
  <conditionalFormatting sqref="AK31">
    <cfRule type="containsText" dxfId="11847" priority="4227" operator="containsText" text="NA">
      <formula>NOT(ISERROR(SEARCH("NA",Z3)))</formula>
    </cfRule>
  </conditionalFormatting>
  <conditionalFormatting sqref="AN23:AN31">
    <cfRule type="containsText" dxfId="11846" priority="4228" operator="containsText" text="NA">
      <formula>NOT(ISERROR(SEARCH("NA",Z3)))</formula>
    </cfRule>
  </conditionalFormatting>
  <conditionalFormatting sqref="AO24">
    <cfRule type="containsText" dxfId="11845" priority="4229" operator="containsText" text="NA">
      <formula>NOT(ISERROR(SEARCH("NA",Z3)))</formula>
    </cfRule>
  </conditionalFormatting>
  <conditionalFormatting sqref="AP23:AP31">
    <cfRule type="containsText" dxfId="11844" priority="4230" operator="containsText" text="NA">
      <formula>NOT(ISERROR(SEARCH("NA",Z3)))</formula>
    </cfRule>
  </conditionalFormatting>
  <conditionalFormatting sqref="AP23:AP31">
    <cfRule type="containsText" dxfId="11843" priority="4231" operator="containsText" text="NA">
      <formula>NOT(ISERROR(SEARCH("NA",Z3)))</formula>
    </cfRule>
  </conditionalFormatting>
  <conditionalFormatting sqref="AQ23:AQ31">
    <cfRule type="containsText" dxfId="11842" priority="4232" operator="containsText" text="NA">
      <formula>NOT(ISERROR(SEARCH("NA",Z3)))</formula>
    </cfRule>
  </conditionalFormatting>
  <conditionalFormatting sqref="AQ23:AQ31">
    <cfRule type="containsText" dxfId="11841" priority="4233" operator="containsText" text="NA">
      <formula>NOT(ISERROR(SEARCH("NA",Z3)))</formula>
    </cfRule>
  </conditionalFormatting>
  <conditionalFormatting sqref="AR24">
    <cfRule type="containsText" dxfId="11840" priority="4234" operator="containsText" text="NA">
      <formula>NOT(ISERROR(SEARCH("NA",Z3)))</formula>
    </cfRule>
  </conditionalFormatting>
  <conditionalFormatting sqref="AR25">
    <cfRule type="containsText" dxfId="11839" priority="4235" operator="containsText" text="NA">
      <formula>NOT(ISERROR(SEARCH("NA",Z3)))</formula>
    </cfRule>
  </conditionalFormatting>
  <conditionalFormatting sqref="AR31">
    <cfRule type="containsText" dxfId="11838" priority="4236" operator="containsText" text="NA">
      <formula>NOT(ISERROR(SEARCH("NA",Z3)))</formula>
    </cfRule>
  </conditionalFormatting>
  <conditionalFormatting sqref="AR31">
    <cfRule type="containsText" dxfId="11837" priority="4237" operator="containsText" text="NA">
      <formula>NOT(ISERROR(SEARCH("NA",Z3)))</formula>
    </cfRule>
  </conditionalFormatting>
  <conditionalFormatting sqref="AR27">
    <cfRule type="containsText" dxfId="11836" priority="4238" operator="containsText" text="NA">
      <formula>NOT(ISERROR(SEARCH("NA",Z3)))</formula>
    </cfRule>
  </conditionalFormatting>
  <conditionalFormatting sqref="AS23:AS25">
    <cfRule type="containsText" dxfId="11835" priority="4239" operator="containsText" text="NA">
      <formula>NOT(ISERROR(SEARCH("NA",Z3)))</formula>
    </cfRule>
  </conditionalFormatting>
  <conditionalFormatting sqref="AS24">
    <cfRule type="containsText" dxfId="11834" priority="4240" operator="containsText" text="NA">
      <formula>NOT(ISERROR(SEARCH("NA",Z3)))</formula>
    </cfRule>
  </conditionalFormatting>
  <conditionalFormatting sqref="AS25">
    <cfRule type="containsText" dxfId="11833" priority="4241" operator="containsText" text="NA">
      <formula>NOT(ISERROR(SEARCH("NA",Z3)))</formula>
    </cfRule>
  </conditionalFormatting>
  <conditionalFormatting sqref="AS26:AS31">
    <cfRule type="containsText" dxfId="11832" priority="4242" operator="containsText" text="NA">
      <formula>NOT(ISERROR(SEARCH("NA",Z3)))</formula>
    </cfRule>
  </conditionalFormatting>
  <conditionalFormatting sqref="AS31">
    <cfRule type="containsText" dxfId="11831" priority="4243" operator="containsText" text="NA">
      <formula>NOT(ISERROR(SEARCH("NA",Z3)))</formula>
    </cfRule>
  </conditionalFormatting>
  <conditionalFormatting sqref="AS31">
    <cfRule type="containsText" dxfId="11830" priority="4244" operator="containsText" text="NA">
      <formula>NOT(ISERROR(SEARCH("NA",Z3)))</formula>
    </cfRule>
  </conditionalFormatting>
  <conditionalFormatting sqref="AS27">
    <cfRule type="containsText" dxfId="11829" priority="4245" operator="containsText" text="NA">
      <formula>NOT(ISERROR(SEARCH("NA",Z3)))</formula>
    </cfRule>
  </conditionalFormatting>
  <conditionalFormatting sqref="AT23:AT31">
    <cfRule type="containsText" dxfId="11828" priority="4246" operator="containsText" text="NA">
      <formula>NOT(ISERROR(SEARCH("NA",Z3)))</formula>
    </cfRule>
  </conditionalFormatting>
  <conditionalFormatting sqref="AT23:AT25">
    <cfRule type="containsText" dxfId="11827" priority="4247" operator="containsText" text="NA">
      <formula>NOT(ISERROR(SEARCH("NA",Z3)))</formula>
    </cfRule>
  </conditionalFormatting>
  <conditionalFormatting sqref="AT24">
    <cfRule type="containsText" dxfId="11826" priority="4248" operator="containsText" text="NA">
      <formula>NOT(ISERROR(SEARCH("NA",Z3)))</formula>
    </cfRule>
  </conditionalFormatting>
  <conditionalFormatting sqref="AT25">
    <cfRule type="containsText" dxfId="11825" priority="4249" operator="containsText" text="NA">
      <formula>NOT(ISERROR(SEARCH("NA",Z3)))</formula>
    </cfRule>
  </conditionalFormatting>
  <conditionalFormatting sqref="AT26:AT31">
    <cfRule type="containsText" dxfId="11824" priority="4250" operator="containsText" text="NA">
      <formula>NOT(ISERROR(SEARCH("NA",Z3)))</formula>
    </cfRule>
  </conditionalFormatting>
  <conditionalFormatting sqref="AT31">
    <cfRule type="containsText" dxfId="11823" priority="4251" operator="containsText" text="NA">
      <formula>NOT(ISERROR(SEARCH("NA",Z3)))</formula>
    </cfRule>
  </conditionalFormatting>
  <conditionalFormatting sqref="AT31">
    <cfRule type="containsText" dxfId="11822" priority="4252" operator="containsText" text="NA">
      <formula>NOT(ISERROR(SEARCH("NA",Z3)))</formula>
    </cfRule>
  </conditionalFormatting>
  <conditionalFormatting sqref="AT27">
    <cfRule type="containsText" dxfId="11821" priority="4253" operator="containsText" text="NA">
      <formula>NOT(ISERROR(SEARCH("NA",Z3)))</formula>
    </cfRule>
  </conditionalFormatting>
  <conditionalFormatting sqref="AU25 AV25">
    <cfRule type="containsText" dxfId="11820" priority="4254" operator="containsText" text="NA">
      <formula>NOT(ISERROR(SEARCH("NA",Z3)))</formula>
    </cfRule>
  </conditionalFormatting>
  <conditionalFormatting sqref="AU27 AV27">
    <cfRule type="containsText" dxfId="11819" priority="4255" operator="containsText" text="NA">
      <formula>NOT(ISERROR(SEARCH("NA",Z3)))</formula>
    </cfRule>
  </conditionalFormatting>
  <conditionalFormatting sqref="AU26">
    <cfRule type="containsText" dxfId="11818" priority="4256" operator="containsText" text="NA">
      <formula>NOT(ISERROR(SEARCH("NA",Z3)))</formula>
    </cfRule>
  </conditionalFormatting>
  <conditionalFormatting sqref="AU28 AV28">
    <cfRule type="containsText" dxfId="11817" priority="4257" operator="containsText" text="NA">
      <formula>NOT(ISERROR(SEARCH("NA",Z3)))</formula>
    </cfRule>
  </conditionalFormatting>
  <conditionalFormatting sqref="AU28">
    <cfRule type="containsText" dxfId="11816" priority="4258" operator="containsText" text="NA">
      <formula>NOT(ISERROR(SEARCH("NA",Z3)))</formula>
    </cfRule>
  </conditionalFormatting>
  <conditionalFormatting sqref="AX23">
    <cfRule type="containsText" dxfId="11815" priority="4259" operator="containsText" text="NA">
      <formula>NOT(ISERROR(SEARCH("NA",Z3)))</formula>
    </cfRule>
  </conditionalFormatting>
  <conditionalFormatting sqref="AY23">
    <cfRule type="containsText" dxfId="11814" priority="4260" operator="containsText" text="NA">
      <formula>NOT(ISERROR(SEARCH("NA",Z3)))</formula>
    </cfRule>
  </conditionalFormatting>
  <conditionalFormatting sqref="AZ23">
    <cfRule type="containsText" dxfId="11813" priority="4261" operator="containsText" text="NA">
      <formula>NOT(ISERROR(SEARCH("NA",Z3)))</formula>
    </cfRule>
  </conditionalFormatting>
  <conditionalFormatting sqref="AY26">
    <cfRule type="containsText" dxfId="11812" priority="4262" operator="containsText" text="NA">
      <formula>NOT(ISERROR(SEARCH("NA",Z3)))</formula>
    </cfRule>
  </conditionalFormatting>
  <conditionalFormatting sqref="AY28">
    <cfRule type="containsText" dxfId="11811" priority="4263" operator="containsText" text="NA">
      <formula>NOT(ISERROR(SEARCH("NA",Z3)))</formula>
    </cfRule>
  </conditionalFormatting>
  <conditionalFormatting sqref="AZ28">
    <cfRule type="containsText" dxfId="11810" priority="4264" operator="containsText" text="NA">
      <formula>NOT(ISERROR(SEARCH("NA",Z3)))</formula>
    </cfRule>
  </conditionalFormatting>
  <conditionalFormatting sqref="AS56">
    <cfRule type="containsText" dxfId="11809" priority="4265" operator="containsText" text="NA">
      <formula>NOT(ISERROR(SEARCH("NA",Z3)))</formula>
    </cfRule>
  </conditionalFormatting>
  <conditionalFormatting sqref="AS56">
    <cfRule type="containsText" dxfId="11808" priority="4266" operator="containsText" text="NA">
      <formula>NOT(ISERROR(SEARCH("NA",Z3)))</formula>
    </cfRule>
  </conditionalFormatting>
  <conditionalFormatting sqref="AT55">
    <cfRule type="containsText" dxfId="11807" priority="4267" operator="containsText" text="NA">
      <formula>NOT(ISERROR(SEARCH("NA",Z3)))</formula>
    </cfRule>
  </conditionalFormatting>
  <conditionalFormatting sqref="AT55">
    <cfRule type="containsText" dxfId="11806" priority="4268" operator="containsText" text="NA">
      <formula>NOT(ISERROR(SEARCH("NA",Z3)))</formula>
    </cfRule>
  </conditionalFormatting>
  <conditionalFormatting sqref="AT56">
    <cfRule type="containsText" dxfId="11805" priority="4269" operator="containsText" text="NA">
      <formula>NOT(ISERROR(SEARCH("NA",Z3)))</formula>
    </cfRule>
  </conditionalFormatting>
  <conditionalFormatting sqref="AT56">
    <cfRule type="containsText" dxfId="11804" priority="4270" operator="containsText" text="NA">
      <formula>NOT(ISERROR(SEARCH("NA",Z3)))</formula>
    </cfRule>
  </conditionalFormatting>
  <conditionalFormatting sqref="AO25">
    <cfRule type="containsText" dxfId="11803" priority="4271" operator="containsText" text="NA">
      <formula>NOT(ISERROR(SEARCH("NA",Z3)))</formula>
    </cfRule>
  </conditionalFormatting>
  <conditionalFormatting sqref="AO25">
    <cfRule type="containsText" dxfId="11802" priority="4272" operator="containsText" text="NA">
      <formula>NOT(ISERROR(SEARCH("NA",Z3)))</formula>
    </cfRule>
  </conditionalFormatting>
  <conditionalFormatting sqref="AF26">
    <cfRule type="containsText" dxfId="11801" priority="4273" operator="containsText" text="NA">
      <formula>NOT(ISERROR(SEARCH("NA",Z3)))</formula>
    </cfRule>
  </conditionalFormatting>
  <conditionalFormatting sqref="AI26">
    <cfRule type="containsText" dxfId="11800" priority="4274" operator="containsText" text="NA">
      <formula>NOT(ISERROR(SEARCH("NA",Z3)))</formula>
    </cfRule>
  </conditionalFormatting>
  <conditionalFormatting sqref="AW26">
    <cfRule type="containsText" dxfId="11799" priority="4275" operator="containsText" text="NA">
      <formula>NOT(ISERROR(SEARCH("NA",Z3)))</formula>
    </cfRule>
  </conditionalFormatting>
  <conditionalFormatting sqref="AY41:AY52">
    <cfRule type="containsText" dxfId="11798" priority="4276" operator="containsText" text="NA">
      <formula>NOT(ISERROR(SEARCH("NA",Z3)))</formula>
    </cfRule>
  </conditionalFormatting>
  <conditionalFormatting sqref="AZ41:AZ52">
    <cfRule type="containsText" dxfId="11797" priority="4277" operator="containsText" text="NA">
      <formula>NOT(ISERROR(SEARCH("NA",Z3)))</formula>
    </cfRule>
  </conditionalFormatting>
  <conditionalFormatting sqref="AG42 AH42">
    <cfRule type="containsText" dxfId="11796" priority="4278" operator="containsText" text="NA">
      <formula>NOT(ISERROR(SEARCH("NA",Z3)))</formula>
    </cfRule>
  </conditionalFormatting>
  <conditionalFormatting sqref="AH47">
    <cfRule type="containsText" dxfId="11795" priority="4279" operator="containsText" text="NA">
      <formula>NOT(ISERROR(SEARCH("NA",Z3)))</formula>
    </cfRule>
  </conditionalFormatting>
  <conditionalFormatting sqref="AH47">
    <cfRule type="containsText" dxfId="11794" priority="4280" operator="containsText" text="NA">
      <formula>NOT(ISERROR(SEARCH("NA",Z3)))</formula>
    </cfRule>
  </conditionalFormatting>
  <conditionalFormatting sqref="AH47">
    <cfRule type="containsText" dxfId="11793" priority="4281" operator="containsText" text="NA">
      <formula>NOT(ISERROR(SEARCH("NA",Z3)))</formula>
    </cfRule>
  </conditionalFormatting>
  <conditionalFormatting sqref="AH49">
    <cfRule type="containsText" dxfId="11792" priority="4282" operator="containsText" text="NA">
      <formula>NOT(ISERROR(SEARCH("NA",Z3)))</formula>
    </cfRule>
  </conditionalFormatting>
  <conditionalFormatting sqref="AH43">
    <cfRule type="containsText" dxfId="11791" priority="4283" operator="containsText" text="NA">
      <formula>NOT(ISERROR(SEARCH("NA",Z3)))</formula>
    </cfRule>
  </conditionalFormatting>
  <conditionalFormatting sqref="AH43">
    <cfRule type="containsText" dxfId="11790" priority="4284" operator="containsText" text="NA">
      <formula>NOT(ISERROR(SEARCH("NA",Z3)))</formula>
    </cfRule>
  </conditionalFormatting>
  <conditionalFormatting sqref="AU43">
    <cfRule type="containsText" dxfId="11789" priority="4285" operator="containsText" text="NA">
      <formula>NOT(ISERROR(SEARCH("NA",Z3)))</formula>
    </cfRule>
  </conditionalFormatting>
  <conditionalFormatting sqref="AU44">
    <cfRule type="containsText" dxfId="11788" priority="4286" operator="containsText" text="NA">
      <formula>NOT(ISERROR(SEARCH("NA",Z3)))</formula>
    </cfRule>
  </conditionalFormatting>
  <conditionalFormatting sqref="AU46">
    <cfRule type="containsText" dxfId="11787" priority="4287" operator="containsText" text="NA">
      <formula>NOT(ISERROR(SEARCH("NA",Z3)))</formula>
    </cfRule>
  </conditionalFormatting>
  <conditionalFormatting sqref="AU47">
    <cfRule type="containsText" dxfId="11786" priority="4288" operator="containsText" text="NA">
      <formula>NOT(ISERROR(SEARCH("NA",Z3)))</formula>
    </cfRule>
  </conditionalFormatting>
  <conditionalFormatting sqref="AU48">
    <cfRule type="containsText" dxfId="11785" priority="4289" operator="containsText" text="NA">
      <formula>NOT(ISERROR(SEARCH("NA",Z3)))</formula>
    </cfRule>
  </conditionalFormatting>
  <conditionalFormatting sqref="AU49">
    <cfRule type="containsText" dxfId="11784" priority="4290" operator="containsText" text="NA">
      <formula>NOT(ISERROR(SEARCH("NA",Z3)))</formula>
    </cfRule>
  </conditionalFormatting>
  <conditionalFormatting sqref="AU50">
    <cfRule type="containsText" dxfId="11783" priority="4291" operator="containsText" text="NA">
      <formula>NOT(ISERROR(SEARCH("NA",Z3)))</formula>
    </cfRule>
  </conditionalFormatting>
  <conditionalFormatting sqref="AU51">
    <cfRule type="containsText" dxfId="11782" priority="4292" operator="containsText" text="NA">
      <formula>NOT(ISERROR(SEARCH("NA",Z3)))</formula>
    </cfRule>
  </conditionalFormatting>
  <conditionalFormatting sqref="AU52">
    <cfRule type="containsText" dxfId="11781" priority="4293" operator="containsText" text="NA">
      <formula>NOT(ISERROR(SEARCH("NA",Z3)))</formula>
    </cfRule>
  </conditionalFormatting>
  <conditionalFormatting sqref="AV42:AV43">
    <cfRule type="containsText" dxfId="11780" priority="4294" operator="containsText" text="NA">
      <formula>NOT(ISERROR(SEARCH("NA",Z3)))</formula>
    </cfRule>
  </conditionalFormatting>
  <conditionalFormatting sqref="AV43">
    <cfRule type="containsText" dxfId="11779" priority="4295" operator="containsText" text="NA">
      <formula>NOT(ISERROR(SEARCH("NA",Z3)))</formula>
    </cfRule>
  </conditionalFormatting>
  <conditionalFormatting sqref="AV41">
    <cfRule type="containsText" dxfId="11778" priority="4296" operator="containsText" text="NA">
      <formula>NOT(ISERROR(SEARCH("NA",Z3)))</formula>
    </cfRule>
  </conditionalFormatting>
  <conditionalFormatting sqref="AV45:AV52">
    <cfRule type="containsText" dxfId="11777" priority="4297" operator="containsText" text="NA">
      <formula>NOT(ISERROR(SEARCH("NA",Z3)))</formula>
    </cfRule>
  </conditionalFormatting>
  <conditionalFormatting sqref="AV46">
    <cfRule type="containsText" dxfId="11776" priority="4298" operator="containsText" text="NA">
      <formula>NOT(ISERROR(SEARCH("NA",Z3)))</formula>
    </cfRule>
  </conditionalFormatting>
  <conditionalFormatting sqref="AV47">
    <cfRule type="containsText" dxfId="11775" priority="4299" operator="containsText" text="NA">
      <formula>NOT(ISERROR(SEARCH("NA",Z3)))</formula>
    </cfRule>
  </conditionalFormatting>
  <conditionalFormatting sqref="AV48">
    <cfRule type="containsText" dxfId="11774" priority="4300" operator="containsText" text="NA">
      <formula>NOT(ISERROR(SEARCH("NA",Z3)))</formula>
    </cfRule>
  </conditionalFormatting>
  <conditionalFormatting sqref="AV49">
    <cfRule type="containsText" dxfId="11773" priority="4301" operator="containsText" text="NA">
      <formula>NOT(ISERROR(SEARCH("NA",Z3)))</formula>
    </cfRule>
  </conditionalFormatting>
  <conditionalFormatting sqref="AV50">
    <cfRule type="containsText" dxfId="11772" priority="4302" operator="containsText" text="NA">
      <formula>NOT(ISERROR(SEARCH("NA",Z3)))</formula>
    </cfRule>
  </conditionalFormatting>
  <conditionalFormatting sqref="AV51">
    <cfRule type="containsText" dxfId="11771" priority="4303" operator="containsText" text="NA">
      <formula>NOT(ISERROR(SEARCH("NA",Z3)))</formula>
    </cfRule>
  </conditionalFormatting>
  <conditionalFormatting sqref="AV52">
    <cfRule type="containsText" dxfId="11770" priority="4304" operator="containsText" text="NA">
      <formula>NOT(ISERROR(SEARCH("NA",Z3)))</formula>
    </cfRule>
  </conditionalFormatting>
  <conditionalFormatting sqref="AW33:AW40">
    <cfRule type="containsText" dxfId="11769" priority="4305" operator="containsText" text="NA">
      <formula>NOT(ISERROR(SEARCH("NA",Z3)))</formula>
    </cfRule>
  </conditionalFormatting>
  <conditionalFormatting sqref="AY32:AY40">
    <cfRule type="containsText" dxfId="11768" priority="4306" operator="containsText" text="NA">
      <formula>NOT(ISERROR(SEARCH("NA",Z3)))</formula>
    </cfRule>
  </conditionalFormatting>
  <conditionalFormatting sqref="AZ32:AZ40">
    <cfRule type="containsText" dxfId="11767" priority="4307" operator="containsText" text="NA">
      <formula>NOT(ISERROR(SEARCH("NA",Z3)))</formula>
    </cfRule>
  </conditionalFormatting>
  <conditionalFormatting sqref="AJ33 AK33 AL33 AM33 AN33 AO33 AP33 AQ33 AR33 AS33 AT33">
    <cfRule type="containsText" dxfId="11766" priority="4308" operator="containsText" text="NA">
      <formula>NOT(ISERROR(SEARCH("NA",Z3)))</formula>
    </cfRule>
  </conditionalFormatting>
  <conditionalFormatting sqref="AS34">
    <cfRule type="containsText" dxfId="11765" priority="4309" operator="containsText" text="NA">
      <formula>NOT(ISERROR(SEARCH("NA",Z3)))</formula>
    </cfRule>
  </conditionalFormatting>
  <conditionalFormatting sqref="AP35:AP36 AQ35:AQ36">
    <cfRule type="containsText" dxfId="11764" priority="4310" operator="containsText" text="NA">
      <formula>NOT(ISERROR(SEARCH("NA",Z3)))</formula>
    </cfRule>
  </conditionalFormatting>
  <conditionalFormatting sqref="AL39">
    <cfRule type="containsText" dxfId="11763" priority="4311" operator="containsText" text="NA">
      <formula>NOT(ISERROR(SEARCH("NA",Z3)))</formula>
    </cfRule>
  </conditionalFormatting>
  <conditionalFormatting sqref="AX31">
    <cfRule type="containsText" dxfId="11762" priority="4312" operator="containsText" text="NA">
      <formula>NOT(ISERROR(SEARCH("NA",Z3)))</formula>
    </cfRule>
  </conditionalFormatting>
  <conditionalFormatting sqref="AX31">
    <cfRule type="containsText" dxfId="11761" priority="4313" operator="containsText" text="NA">
      <formula>NOT(ISERROR(SEARCH("NA",Z3)))</formula>
    </cfRule>
  </conditionalFormatting>
  <conditionalFormatting sqref="AY31">
    <cfRule type="containsText" dxfId="11760" priority="4314" operator="containsText" text="NA">
      <formula>NOT(ISERROR(SEARCH("NA",Z3)))</formula>
    </cfRule>
  </conditionalFormatting>
  <conditionalFormatting sqref="AY31">
    <cfRule type="containsText" dxfId="11759" priority="4315" operator="containsText" text="NA">
      <formula>NOT(ISERROR(SEARCH("NA",Z3)))</formula>
    </cfRule>
  </conditionalFormatting>
  <conditionalFormatting sqref="AZ31">
    <cfRule type="containsText" dxfId="11758" priority="4316" operator="containsText" text="NA">
      <formula>NOT(ISERROR(SEARCH("NA",Z3)))</formula>
    </cfRule>
  </conditionalFormatting>
  <conditionalFormatting sqref="AZ31">
    <cfRule type="containsText" dxfId="11757" priority="4317" operator="containsText" text="NA">
      <formula>NOT(ISERROR(SEARCH("NA",Z3)))</formula>
    </cfRule>
  </conditionalFormatting>
  <conditionalFormatting sqref="AV24:AV25">
    <cfRule type="containsText" dxfId="11756" priority="4318" operator="containsText" text="NA">
      <formula>NOT(ISERROR(SEARCH("NA",Z3)))</formula>
    </cfRule>
  </conditionalFormatting>
  <conditionalFormatting sqref="AV25">
    <cfRule type="containsText" dxfId="11755" priority="4319" operator="containsText" text="NA">
      <formula>NOT(ISERROR(SEARCH("NA",Z3)))</formula>
    </cfRule>
  </conditionalFormatting>
  <conditionalFormatting sqref="AW24:AW25">
    <cfRule type="containsText" dxfId="11754" priority="4320" operator="containsText" text="NA">
      <formula>NOT(ISERROR(SEARCH("NA",Z3)))</formula>
    </cfRule>
  </conditionalFormatting>
  <conditionalFormatting sqref="AW25">
    <cfRule type="containsText" dxfId="11753" priority="4321" operator="containsText" text="NA">
      <formula>NOT(ISERROR(SEARCH("NA",Z3)))</formula>
    </cfRule>
  </conditionalFormatting>
  <conditionalFormatting sqref="AX24:AX25">
    <cfRule type="containsText" dxfId="11752" priority="4322" operator="containsText" text="NA">
      <formula>NOT(ISERROR(SEARCH("NA",Z3)))</formula>
    </cfRule>
  </conditionalFormatting>
  <conditionalFormatting sqref="AX25">
    <cfRule type="containsText" dxfId="11751" priority="4323" operator="containsText" text="NA">
      <formula>NOT(ISERROR(SEARCH("NA",Z3)))</formula>
    </cfRule>
  </conditionalFormatting>
  <conditionalFormatting sqref="AY24:AY25">
    <cfRule type="containsText" dxfId="11750" priority="4324" operator="containsText" text="NA">
      <formula>NOT(ISERROR(SEARCH("NA",Z3)))</formula>
    </cfRule>
  </conditionalFormatting>
  <conditionalFormatting sqref="AY25">
    <cfRule type="containsText" dxfId="11749" priority="4325" operator="containsText" text="NA">
      <formula>NOT(ISERROR(SEARCH("NA",Z3)))</formula>
    </cfRule>
  </conditionalFormatting>
  <conditionalFormatting sqref="AZ24:AZ25">
    <cfRule type="containsText" dxfId="11748" priority="4326" operator="containsText" text="NA">
      <formula>NOT(ISERROR(SEARCH("NA",Z3)))</formula>
    </cfRule>
  </conditionalFormatting>
  <conditionalFormatting sqref="AZ25">
    <cfRule type="containsText" dxfId="11747" priority="4327" operator="containsText" text="NA">
      <formula>NOT(ISERROR(SEARCH("NA",Z3)))</formula>
    </cfRule>
  </conditionalFormatting>
  <pageMargins left="0.7" right="0.7" top="0.75" bottom="0.75" header="0.3" footer="0.3"/>
  <pageSetup paperSize="9" scale="14" fitToHeight="0"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BD56"/>
  <sheetViews>
    <sheetView showGridLines="0" workbookViewId="0">
      <pane xSplit="6" ySplit="2" topLeftCell="G3" activePane="bottomRight" state="frozen"/>
      <selection pane="topRight"/>
      <selection pane="bottomLeft"/>
      <selection pane="bottomRight" activeCell="A3" sqref="A3"/>
    </sheetView>
  </sheetViews>
  <sheetFormatPr defaultColWidth="9.140625" defaultRowHeight="15" x14ac:dyDescent="0.25"/>
  <cols>
    <col min="1" max="1" width="9.140625" style="3"/>
    <col min="2" max="2" width="16.28515625" style="3" customWidth="1"/>
    <col min="3" max="3" width="39.7109375" style="4" customWidth="1"/>
    <col min="4" max="4" width="12.28515625" style="3" bestFit="1" customWidth="1"/>
    <col min="5" max="5" width="10.42578125" style="3" bestFit="1"/>
    <col min="6" max="6" width="17.85546875" style="3" customWidth="1"/>
    <col min="7" max="7" width="13.28515625" style="3" customWidth="1"/>
    <col min="8" max="9" width="11.7109375" style="3" customWidth="1"/>
    <col min="10" max="10" width="12" style="3" customWidth="1"/>
    <col min="11" max="11" width="9.140625" style="5"/>
    <col min="12" max="12" width="11.42578125" style="5" customWidth="1"/>
    <col min="13" max="13" width="11.42578125" style="6" customWidth="1"/>
    <col min="14" max="14" width="10.7109375" style="3" customWidth="1"/>
    <col min="15" max="15" width="10.85546875" style="3" customWidth="1"/>
    <col min="16" max="24" width="9.140625" style="3"/>
    <col min="25" max="25" width="12.42578125" style="3" customWidth="1"/>
    <col min="26" max="27" width="9.140625" style="3"/>
    <col min="28" max="28" width="14.140625" style="3" bestFit="1"/>
    <col min="29" max="29" width="15.140625" style="3" bestFit="1"/>
    <col min="30" max="30" width="9.140625" style="3"/>
    <col min="31" max="32" width="11.7109375" style="3" bestFit="1"/>
    <col min="33" max="33" width="13" style="3" customWidth="1"/>
    <col min="34" max="34" width="13.140625" style="3" customWidth="1"/>
    <col min="35" max="35" width="10.7109375" style="3" bestFit="1"/>
    <col min="36" max="37" width="9.140625" style="3"/>
    <col min="38" max="38" width="12.42578125" style="3" customWidth="1"/>
    <col min="39" max="39" width="9.140625" style="3"/>
    <col min="40" max="40" width="12" style="3" customWidth="1"/>
    <col min="41" max="41" width="13.140625" style="3" customWidth="1"/>
    <col min="42" max="42" width="11.42578125" style="3" customWidth="1"/>
    <col min="43" max="43" width="11.85546875" style="3" customWidth="1"/>
    <col min="44" max="45" width="9.140625" style="3"/>
    <col min="46" max="46" width="12.140625" style="3" customWidth="1"/>
    <col min="47" max="47" width="13.28515625" style="3" bestFit="1" customWidth="1"/>
    <col min="48" max="48" width="14.85546875" style="3" customWidth="1"/>
    <col min="49" max="49" width="15.42578125" style="3" customWidth="1"/>
    <col min="50" max="50" width="14.28515625" style="3" customWidth="1"/>
    <col min="51" max="51" width="11.42578125" style="3" customWidth="1"/>
    <col min="52" max="52" width="16.42578125" style="3" customWidth="1"/>
    <col min="53" max="53" width="9.140625" style="3"/>
    <col min="54" max="54" width="14.28515625" style="3" customWidth="1"/>
    <col min="55" max="55" width="9.140625" style="3"/>
    <col min="56" max="56" width="12.85546875" style="3" customWidth="1"/>
    <col min="57" max="16384" width="9.140625" style="3"/>
  </cols>
  <sheetData>
    <row r="2" spans="1:56" ht="63.75" x14ac:dyDescent="0.25">
      <c r="A2" s="7" t="s">
        <v>370</v>
      </c>
      <c r="B2" s="7" t="s">
        <v>371</v>
      </c>
      <c r="C2" s="7" t="s">
        <v>372</v>
      </c>
      <c r="D2" s="7" t="s">
        <v>373</v>
      </c>
      <c r="E2" s="7" t="s">
        <v>374</v>
      </c>
      <c r="F2" s="7" t="s">
        <v>375</v>
      </c>
      <c r="G2" s="7" t="s">
        <v>450</v>
      </c>
      <c r="H2" s="7" t="s">
        <v>451</v>
      </c>
      <c r="I2" s="7" t="s">
        <v>452</v>
      </c>
      <c r="J2" s="8" t="s">
        <v>453</v>
      </c>
      <c r="K2" s="8" t="s">
        <v>376</v>
      </c>
      <c r="L2" s="9" t="s">
        <v>377</v>
      </c>
      <c r="M2" s="10" t="s">
        <v>378</v>
      </c>
      <c r="N2" s="11" t="s">
        <v>379</v>
      </c>
      <c r="O2" s="11" t="s">
        <v>380</v>
      </c>
      <c r="P2" s="11" t="s">
        <v>381</v>
      </c>
      <c r="Q2" s="11" t="s">
        <v>382</v>
      </c>
      <c r="R2" s="11" t="s">
        <v>383</v>
      </c>
      <c r="S2" s="11" t="s">
        <v>384</v>
      </c>
      <c r="T2" s="11" t="s">
        <v>385</v>
      </c>
      <c r="U2" s="11" t="s">
        <v>386</v>
      </c>
      <c r="V2" s="11" t="s">
        <v>387</v>
      </c>
      <c r="W2" s="11" t="s">
        <v>388</v>
      </c>
      <c r="X2" s="11" t="s">
        <v>389</v>
      </c>
      <c r="Y2" s="11" t="s">
        <v>390</v>
      </c>
      <c r="Z2" s="11" t="s">
        <v>391</v>
      </c>
      <c r="AA2" s="11" t="s">
        <v>392</v>
      </c>
      <c r="AB2" s="11" t="s">
        <v>454</v>
      </c>
      <c r="AC2" s="11" t="s">
        <v>393</v>
      </c>
      <c r="AE2" s="11" t="s">
        <v>455</v>
      </c>
      <c r="AF2" s="11" t="s">
        <v>394</v>
      </c>
      <c r="AG2" s="11" t="s">
        <v>456</v>
      </c>
      <c r="AH2" s="11" t="s">
        <v>395</v>
      </c>
      <c r="AI2" s="11" t="s">
        <v>457</v>
      </c>
      <c r="AJ2" s="11" t="s">
        <v>396</v>
      </c>
      <c r="AK2" s="11" t="s">
        <v>397</v>
      </c>
      <c r="AL2" s="11" t="s">
        <v>458</v>
      </c>
      <c r="AM2" s="11" t="s">
        <v>398</v>
      </c>
      <c r="AN2" s="11" t="s">
        <v>399</v>
      </c>
      <c r="AO2" s="11" t="s">
        <v>459</v>
      </c>
      <c r="AP2" s="11" t="s">
        <v>400</v>
      </c>
      <c r="AQ2" s="11" t="s">
        <v>401</v>
      </c>
      <c r="AR2" s="11" t="s">
        <v>460</v>
      </c>
      <c r="AS2" s="11" t="s">
        <v>402</v>
      </c>
      <c r="AT2" s="11" t="s">
        <v>403</v>
      </c>
      <c r="AU2" s="11" t="s">
        <v>461</v>
      </c>
      <c r="AV2" s="11" t="s">
        <v>404</v>
      </c>
      <c r="AW2" s="11" t="s">
        <v>405</v>
      </c>
      <c r="AX2" s="11" t="s">
        <v>462</v>
      </c>
      <c r="AY2" s="11" t="s">
        <v>406</v>
      </c>
      <c r="AZ2" s="11" t="s">
        <v>407</v>
      </c>
      <c r="BB2" s="12" t="s">
        <v>408</v>
      </c>
      <c r="BC2" s="12" t="s">
        <v>409</v>
      </c>
      <c r="BD2" s="12" t="s">
        <v>410</v>
      </c>
    </row>
    <row r="3" spans="1:56" x14ac:dyDescent="0.25">
      <c r="A3" s="13">
        <v>1</v>
      </c>
      <c r="B3" s="375" t="s">
        <v>135</v>
      </c>
      <c r="C3" s="14" t="s">
        <v>348</v>
      </c>
      <c r="D3" s="15" t="s">
        <v>416</v>
      </c>
      <c r="E3" s="15" t="s">
        <v>417</v>
      </c>
      <c r="F3" s="16" t="s">
        <v>135</v>
      </c>
      <c r="G3" s="17" t="s">
        <v>463</v>
      </c>
      <c r="H3" s="18" t="s">
        <v>464</v>
      </c>
      <c r="I3" s="18" t="s">
        <v>465</v>
      </c>
      <c r="J3" s="19">
        <v>45453</v>
      </c>
      <c r="K3" s="20" t="s">
        <v>140</v>
      </c>
      <c r="L3" s="21">
        <v>45453</v>
      </c>
      <c r="M3" s="22" t="s">
        <v>466</v>
      </c>
      <c r="N3" s="23" t="s">
        <v>140</v>
      </c>
      <c r="O3" s="23" t="s">
        <v>140</v>
      </c>
      <c r="P3" s="23" t="s">
        <v>140</v>
      </c>
      <c r="Q3" s="23" t="s">
        <v>140</v>
      </c>
      <c r="R3" s="23" t="s">
        <v>11</v>
      </c>
      <c r="S3" s="23" t="s">
        <v>140</v>
      </c>
      <c r="T3" s="23" t="s">
        <v>11</v>
      </c>
      <c r="U3" s="23" t="s">
        <v>11</v>
      </c>
      <c r="V3" s="23" t="s">
        <v>140</v>
      </c>
      <c r="W3" s="23" t="s">
        <v>140</v>
      </c>
      <c r="X3" s="23" t="s">
        <v>140</v>
      </c>
      <c r="Y3" s="23" t="s">
        <v>11</v>
      </c>
      <c r="Z3" s="23" t="s">
        <v>11</v>
      </c>
      <c r="AA3" s="23" t="s">
        <v>11</v>
      </c>
      <c r="AB3" s="23" t="s">
        <v>467</v>
      </c>
      <c r="AC3" s="23" t="s">
        <v>468</v>
      </c>
      <c r="AE3" s="24">
        <v>73205</v>
      </c>
      <c r="AF3" s="24">
        <v>80525</v>
      </c>
      <c r="AG3" s="23" t="s">
        <v>140</v>
      </c>
      <c r="AH3" s="23" t="s">
        <v>148</v>
      </c>
      <c r="AI3" s="24">
        <v>13310</v>
      </c>
      <c r="AJ3" s="23" t="s">
        <v>140</v>
      </c>
      <c r="AK3" s="23" t="s">
        <v>148</v>
      </c>
      <c r="AL3" s="23" t="s">
        <v>11</v>
      </c>
      <c r="AM3" s="23" t="s">
        <v>11</v>
      </c>
      <c r="AN3" s="23" t="s">
        <v>11</v>
      </c>
      <c r="AO3" s="23" t="s">
        <v>140</v>
      </c>
      <c r="AP3" s="23" t="s">
        <v>140</v>
      </c>
      <c r="AQ3" s="23" t="s">
        <v>140</v>
      </c>
      <c r="AR3" s="23" t="s">
        <v>140</v>
      </c>
      <c r="AS3" s="23" t="s">
        <v>140</v>
      </c>
      <c r="AT3" s="23" t="s">
        <v>140</v>
      </c>
      <c r="AU3" s="23" t="s">
        <v>11</v>
      </c>
      <c r="AV3" s="23" t="s">
        <v>11</v>
      </c>
      <c r="AW3" s="23" t="s">
        <v>11</v>
      </c>
      <c r="AX3" s="23" t="s">
        <v>140</v>
      </c>
      <c r="AY3" s="23" t="s">
        <v>140</v>
      </c>
      <c r="AZ3" s="23" t="s">
        <v>140</v>
      </c>
      <c r="BB3" s="25">
        <v>45565</v>
      </c>
      <c r="BC3" s="25" t="s">
        <v>147</v>
      </c>
      <c r="BD3" s="25" t="s">
        <v>11</v>
      </c>
    </row>
    <row r="4" spans="1:56" x14ac:dyDescent="0.25">
      <c r="A4" s="13">
        <f t="shared" ref="A4:A54" si="0">A3+1</f>
        <v>2</v>
      </c>
      <c r="B4" s="376"/>
      <c r="C4" s="14" t="s">
        <v>411</v>
      </c>
      <c r="D4" s="15" t="s">
        <v>11</v>
      </c>
      <c r="E4" s="15" t="s">
        <v>11</v>
      </c>
      <c r="F4" s="26" t="s">
        <v>11</v>
      </c>
      <c r="G4" s="27" t="s">
        <v>11</v>
      </c>
      <c r="H4" s="27" t="s">
        <v>11</v>
      </c>
      <c r="I4" s="27" t="s">
        <v>11</v>
      </c>
      <c r="J4" s="27" t="s">
        <v>11</v>
      </c>
      <c r="K4" s="23" t="s">
        <v>11</v>
      </c>
      <c r="L4" s="23" t="s">
        <v>11</v>
      </c>
      <c r="M4" s="28" t="s">
        <v>11</v>
      </c>
      <c r="N4" s="23" t="s">
        <v>11</v>
      </c>
      <c r="O4" s="23" t="s">
        <v>11</v>
      </c>
      <c r="P4" s="23" t="s">
        <v>11</v>
      </c>
      <c r="Q4" s="23" t="s">
        <v>11</v>
      </c>
      <c r="R4" s="23" t="s">
        <v>11</v>
      </c>
      <c r="S4" s="23" t="s">
        <v>11</v>
      </c>
      <c r="T4" s="23" t="s">
        <v>11</v>
      </c>
      <c r="U4" s="23" t="s">
        <v>11</v>
      </c>
      <c r="V4" s="23" t="s">
        <v>11</v>
      </c>
      <c r="W4" s="23" t="s">
        <v>11</v>
      </c>
      <c r="X4" s="23" t="s">
        <v>11</v>
      </c>
      <c r="Y4" s="23" t="s">
        <v>11</v>
      </c>
      <c r="Z4" s="23" t="s">
        <v>11</v>
      </c>
      <c r="AA4" s="23" t="s">
        <v>11</v>
      </c>
      <c r="AB4" s="23" t="s">
        <v>11</v>
      </c>
      <c r="AC4" s="23" t="s">
        <v>11</v>
      </c>
      <c r="AE4" s="23" t="s">
        <v>11</v>
      </c>
      <c r="AF4" s="23" t="s">
        <v>11</v>
      </c>
      <c r="AG4" s="23" t="s">
        <v>11</v>
      </c>
      <c r="AH4" s="23" t="s">
        <v>11</v>
      </c>
      <c r="AI4" s="23" t="s">
        <v>11</v>
      </c>
      <c r="AJ4" s="23" t="s">
        <v>11</v>
      </c>
      <c r="AK4" s="23" t="s">
        <v>11</v>
      </c>
      <c r="AL4" s="23" t="s">
        <v>11</v>
      </c>
      <c r="AM4" s="23" t="s">
        <v>11</v>
      </c>
      <c r="AN4" s="23" t="s">
        <v>11</v>
      </c>
      <c r="AO4" s="23" t="s">
        <v>11</v>
      </c>
      <c r="AP4" s="23" t="s">
        <v>11</v>
      </c>
      <c r="AQ4" s="23" t="s">
        <v>11</v>
      </c>
      <c r="AR4" s="23" t="s">
        <v>11</v>
      </c>
      <c r="AS4" s="23" t="s">
        <v>11</v>
      </c>
      <c r="AT4" s="23" t="s">
        <v>11</v>
      </c>
      <c r="AU4" s="23" t="s">
        <v>11</v>
      </c>
      <c r="AV4" s="23" t="s">
        <v>11</v>
      </c>
      <c r="AW4" s="23" t="s">
        <v>11</v>
      </c>
      <c r="AX4" s="23" t="s">
        <v>11</v>
      </c>
      <c r="AY4" s="23" t="s">
        <v>11</v>
      </c>
      <c r="AZ4" s="23" t="s">
        <v>11</v>
      </c>
      <c r="BB4" s="29" t="s">
        <v>11</v>
      </c>
      <c r="BC4" s="29" t="s">
        <v>11</v>
      </c>
      <c r="BD4" s="29" t="s">
        <v>11</v>
      </c>
    </row>
    <row r="5" spans="1:56" x14ac:dyDescent="0.25">
      <c r="A5" s="13">
        <f t="shared" si="0"/>
        <v>3</v>
      </c>
      <c r="B5" s="376"/>
      <c r="C5" s="14" t="s">
        <v>132</v>
      </c>
      <c r="D5" s="15" t="s">
        <v>469</v>
      </c>
      <c r="E5" s="15" t="s">
        <v>413</v>
      </c>
      <c r="F5" s="16" t="s">
        <v>135</v>
      </c>
      <c r="G5" s="30" t="s">
        <v>470</v>
      </c>
      <c r="H5" s="31" t="s">
        <v>471</v>
      </c>
      <c r="I5" s="31" t="s">
        <v>471</v>
      </c>
      <c r="J5" s="32">
        <v>45402</v>
      </c>
      <c r="K5" s="20" t="s">
        <v>140</v>
      </c>
      <c r="L5" s="21">
        <v>45399</v>
      </c>
      <c r="M5" s="22" t="s">
        <v>11</v>
      </c>
      <c r="N5" s="23" t="s">
        <v>140</v>
      </c>
      <c r="O5" s="23" t="s">
        <v>140</v>
      </c>
      <c r="P5" s="23" t="s">
        <v>140</v>
      </c>
      <c r="Q5" s="23" t="s">
        <v>140</v>
      </c>
      <c r="R5" s="23" t="s">
        <v>11</v>
      </c>
      <c r="S5" s="23" t="s">
        <v>140</v>
      </c>
      <c r="T5" s="23" t="s">
        <v>11</v>
      </c>
      <c r="U5" s="23" t="s">
        <v>11</v>
      </c>
      <c r="V5" s="23" t="s">
        <v>140</v>
      </c>
      <c r="W5" s="23" t="s">
        <v>140</v>
      </c>
      <c r="X5" s="23" t="s">
        <v>140</v>
      </c>
      <c r="Y5" s="23" t="s">
        <v>11</v>
      </c>
      <c r="Z5" s="23" t="s">
        <v>11</v>
      </c>
      <c r="AA5" s="23" t="s">
        <v>11</v>
      </c>
      <c r="AB5" s="23" t="s">
        <v>472</v>
      </c>
      <c r="AC5" s="23" t="s">
        <v>473</v>
      </c>
      <c r="AE5" s="23" t="s">
        <v>11</v>
      </c>
      <c r="AF5" s="24">
        <v>85000</v>
      </c>
      <c r="AG5" s="23" t="s">
        <v>140</v>
      </c>
      <c r="AH5" s="23" t="s">
        <v>140</v>
      </c>
      <c r="AI5" s="24">
        <v>12100</v>
      </c>
      <c r="AJ5" s="23" t="s">
        <v>140</v>
      </c>
      <c r="AK5" s="23" t="s">
        <v>140</v>
      </c>
      <c r="AL5" s="23" t="s">
        <v>11</v>
      </c>
      <c r="AM5" s="23" t="s">
        <v>11</v>
      </c>
      <c r="AN5" s="23" t="s">
        <v>11</v>
      </c>
      <c r="AO5" s="23" t="s">
        <v>140</v>
      </c>
      <c r="AP5" s="23" t="s">
        <v>140</v>
      </c>
      <c r="AQ5" s="23" t="s">
        <v>140</v>
      </c>
      <c r="AR5" s="23" t="s">
        <v>11</v>
      </c>
      <c r="AS5" s="23" t="s">
        <v>11</v>
      </c>
      <c r="AT5" s="23" t="s">
        <v>11</v>
      </c>
      <c r="AU5" s="23" t="s">
        <v>11</v>
      </c>
      <c r="AV5" s="23" t="s">
        <v>11</v>
      </c>
      <c r="AW5" s="23" t="s">
        <v>11</v>
      </c>
      <c r="AX5" s="23" t="s">
        <v>140</v>
      </c>
      <c r="AY5" s="23" t="s">
        <v>140</v>
      </c>
      <c r="AZ5" s="23" t="s">
        <v>140</v>
      </c>
      <c r="BB5" s="25">
        <v>45539</v>
      </c>
      <c r="BC5" s="25" t="s">
        <v>11</v>
      </c>
      <c r="BD5" s="25" t="s">
        <v>11</v>
      </c>
    </row>
    <row r="6" spans="1:56" x14ac:dyDescent="0.25">
      <c r="A6" s="13">
        <f t="shared" si="0"/>
        <v>4</v>
      </c>
      <c r="B6" s="376"/>
      <c r="C6" s="14" t="s">
        <v>414</v>
      </c>
      <c r="D6" s="15" t="s">
        <v>469</v>
      </c>
      <c r="E6" s="15" t="s">
        <v>413</v>
      </c>
      <c r="F6" s="16" t="s">
        <v>135</v>
      </c>
      <c r="G6" s="30" t="s">
        <v>474</v>
      </c>
      <c r="H6" s="31">
        <v>45422</v>
      </c>
      <c r="I6" s="31">
        <v>45424</v>
      </c>
      <c r="J6" s="32">
        <v>45442</v>
      </c>
      <c r="K6" s="20" t="s">
        <v>140</v>
      </c>
      <c r="L6" s="21">
        <v>45432</v>
      </c>
      <c r="M6" s="22" t="s">
        <v>475</v>
      </c>
      <c r="N6" s="23" t="s">
        <v>140</v>
      </c>
      <c r="O6" s="23" t="s">
        <v>140</v>
      </c>
      <c r="P6" s="23" t="s">
        <v>140</v>
      </c>
      <c r="Q6" s="23" t="s">
        <v>140</v>
      </c>
      <c r="R6" s="23" t="s">
        <v>11</v>
      </c>
      <c r="S6" s="23" t="s">
        <v>140</v>
      </c>
      <c r="T6" s="23" t="s">
        <v>11</v>
      </c>
      <c r="U6" s="23" t="s">
        <v>11</v>
      </c>
      <c r="V6" s="23" t="s">
        <v>140</v>
      </c>
      <c r="W6" s="23" t="s">
        <v>140</v>
      </c>
      <c r="X6" s="23" t="s">
        <v>140</v>
      </c>
      <c r="Y6" s="23" t="s">
        <v>11</v>
      </c>
      <c r="Z6" s="23" t="s">
        <v>140</v>
      </c>
      <c r="AA6" s="23" t="s">
        <v>11</v>
      </c>
      <c r="AB6" s="23" t="s">
        <v>476</v>
      </c>
      <c r="AC6" s="23" t="s">
        <v>415</v>
      </c>
      <c r="AE6" s="23" t="s">
        <v>11</v>
      </c>
      <c r="AF6" s="24">
        <v>85000</v>
      </c>
      <c r="AG6" s="23" t="s">
        <v>140</v>
      </c>
      <c r="AH6" s="23" t="s">
        <v>148</v>
      </c>
      <c r="AI6" s="24">
        <v>12100</v>
      </c>
      <c r="AJ6" s="23" t="s">
        <v>140</v>
      </c>
      <c r="AK6" s="23" t="s">
        <v>140</v>
      </c>
      <c r="AL6" s="23" t="s">
        <v>140</v>
      </c>
      <c r="AM6" s="23" t="s">
        <v>140</v>
      </c>
      <c r="AN6" s="23" t="s">
        <v>140</v>
      </c>
      <c r="AO6" s="23" t="s">
        <v>140</v>
      </c>
      <c r="AP6" s="23" t="s">
        <v>140</v>
      </c>
      <c r="AQ6" s="23" t="s">
        <v>140</v>
      </c>
      <c r="AR6" s="23" t="s">
        <v>11</v>
      </c>
      <c r="AS6" s="23" t="s">
        <v>11</v>
      </c>
      <c r="AT6" s="23" t="s">
        <v>11</v>
      </c>
      <c r="AU6" s="23" t="s">
        <v>140</v>
      </c>
      <c r="AV6" s="23" t="s">
        <v>140</v>
      </c>
      <c r="AW6" s="23" t="s">
        <v>148</v>
      </c>
      <c r="AX6" s="23" t="s">
        <v>140</v>
      </c>
      <c r="AY6" s="23" t="s">
        <v>140</v>
      </c>
      <c r="AZ6" s="23" t="s">
        <v>140</v>
      </c>
      <c r="BB6" s="25">
        <v>45565</v>
      </c>
      <c r="BC6" s="25" t="s">
        <v>147</v>
      </c>
      <c r="BD6" s="25" t="s">
        <v>11</v>
      </c>
    </row>
    <row r="7" spans="1:56" x14ac:dyDescent="0.25">
      <c r="A7" s="13">
        <f t="shared" si="0"/>
        <v>5</v>
      </c>
      <c r="B7" s="376"/>
      <c r="C7" s="14" t="s">
        <v>143</v>
      </c>
      <c r="D7" s="15" t="s">
        <v>416</v>
      </c>
      <c r="E7" s="15" t="s">
        <v>477</v>
      </c>
      <c r="F7" s="16" t="s">
        <v>135</v>
      </c>
      <c r="G7" s="30">
        <v>45400</v>
      </c>
      <c r="H7" s="31">
        <v>45402</v>
      </c>
      <c r="I7" s="31">
        <v>45405</v>
      </c>
      <c r="J7" s="32">
        <v>45412</v>
      </c>
      <c r="K7" s="20" t="s">
        <v>140</v>
      </c>
      <c r="L7" s="21">
        <v>45412</v>
      </c>
      <c r="M7" s="22" t="s">
        <v>11</v>
      </c>
      <c r="N7" s="23" t="s">
        <v>140</v>
      </c>
      <c r="O7" s="23" t="s">
        <v>140</v>
      </c>
      <c r="P7" s="23" t="s">
        <v>140</v>
      </c>
      <c r="Q7" s="23" t="s">
        <v>140</v>
      </c>
      <c r="R7" s="23" t="s">
        <v>11</v>
      </c>
      <c r="S7" s="23" t="s">
        <v>140</v>
      </c>
      <c r="T7" s="23" t="s">
        <v>11</v>
      </c>
      <c r="U7" s="23" t="s">
        <v>11</v>
      </c>
      <c r="V7" s="23" t="s">
        <v>140</v>
      </c>
      <c r="W7" s="23" t="s">
        <v>140</v>
      </c>
      <c r="X7" s="23" t="s">
        <v>140</v>
      </c>
      <c r="Y7" s="23" t="s">
        <v>11</v>
      </c>
      <c r="Z7" s="23" t="s">
        <v>140</v>
      </c>
      <c r="AA7" s="23" t="s">
        <v>140</v>
      </c>
      <c r="AB7" s="23" t="s">
        <v>478</v>
      </c>
      <c r="AC7" s="23" t="s">
        <v>479</v>
      </c>
      <c r="AE7" s="23" t="s">
        <v>480</v>
      </c>
      <c r="AF7" s="23" t="s">
        <v>418</v>
      </c>
      <c r="AG7" s="23" t="s">
        <v>140</v>
      </c>
      <c r="AH7" s="23" t="s">
        <v>140</v>
      </c>
      <c r="AI7" s="24">
        <v>20000</v>
      </c>
      <c r="AJ7" s="23" t="s">
        <v>140</v>
      </c>
      <c r="AK7" s="23" t="s">
        <v>140</v>
      </c>
      <c r="AL7" s="23" t="s">
        <v>481</v>
      </c>
      <c r="AM7" s="23" t="s">
        <v>11</v>
      </c>
      <c r="AN7" s="23" t="s">
        <v>11</v>
      </c>
      <c r="AO7" s="23" t="s">
        <v>140</v>
      </c>
      <c r="AP7" s="23" t="s">
        <v>140</v>
      </c>
      <c r="AQ7" s="23" t="s">
        <v>140</v>
      </c>
      <c r="AR7" s="23" t="s">
        <v>140</v>
      </c>
      <c r="AS7" s="23" t="s">
        <v>140</v>
      </c>
      <c r="AT7" s="23" t="s">
        <v>140</v>
      </c>
      <c r="AU7" s="23" t="s">
        <v>140</v>
      </c>
      <c r="AV7" s="23" t="s">
        <v>140</v>
      </c>
      <c r="AW7" s="23" t="s">
        <v>148</v>
      </c>
      <c r="AX7" s="23" t="s">
        <v>140</v>
      </c>
      <c r="AY7" s="23" t="s">
        <v>140</v>
      </c>
      <c r="AZ7" s="23" t="s">
        <v>140</v>
      </c>
      <c r="BB7" s="25">
        <v>45565</v>
      </c>
      <c r="BC7" s="25" t="s">
        <v>11</v>
      </c>
      <c r="BD7" s="25" t="s">
        <v>11</v>
      </c>
    </row>
    <row r="8" spans="1:56" x14ac:dyDescent="0.25">
      <c r="A8" s="13">
        <f t="shared" si="0"/>
        <v>6</v>
      </c>
      <c r="B8" s="376"/>
      <c r="C8" s="14" t="s">
        <v>419</v>
      </c>
      <c r="D8" s="15" t="s">
        <v>11</v>
      </c>
      <c r="E8" s="15" t="s">
        <v>11</v>
      </c>
      <c r="F8" s="26" t="s">
        <v>135</v>
      </c>
      <c r="G8" s="27" t="s">
        <v>11</v>
      </c>
      <c r="H8" s="27" t="s">
        <v>11</v>
      </c>
      <c r="I8" s="27" t="s">
        <v>11</v>
      </c>
      <c r="J8" s="27" t="s">
        <v>11</v>
      </c>
      <c r="K8" s="23" t="s">
        <v>11</v>
      </c>
      <c r="L8" s="23" t="s">
        <v>11</v>
      </c>
      <c r="M8" s="28" t="s">
        <v>11</v>
      </c>
      <c r="N8" s="23" t="s">
        <v>11</v>
      </c>
      <c r="O8" s="23" t="s">
        <v>11</v>
      </c>
      <c r="P8" s="23" t="s">
        <v>11</v>
      </c>
      <c r="Q8" s="23" t="s">
        <v>11</v>
      </c>
      <c r="R8" s="23" t="s">
        <v>11</v>
      </c>
      <c r="S8" s="23" t="s">
        <v>11</v>
      </c>
      <c r="T8" s="23" t="s">
        <v>11</v>
      </c>
      <c r="U8" s="23" t="s">
        <v>11</v>
      </c>
      <c r="V8" s="23" t="s">
        <v>11</v>
      </c>
      <c r="W8" s="23" t="s">
        <v>11</v>
      </c>
      <c r="X8" s="23" t="s">
        <v>11</v>
      </c>
      <c r="Y8" s="23" t="s">
        <v>11</v>
      </c>
      <c r="Z8" s="23" t="s">
        <v>11</v>
      </c>
      <c r="AA8" s="23" t="s">
        <v>11</v>
      </c>
      <c r="AB8" s="23" t="s">
        <v>11</v>
      </c>
      <c r="AC8" s="23" t="s">
        <v>11</v>
      </c>
      <c r="AE8" s="23" t="s">
        <v>11</v>
      </c>
      <c r="AF8" s="23" t="s">
        <v>11</v>
      </c>
      <c r="AG8" s="23" t="s">
        <v>11</v>
      </c>
      <c r="AH8" s="23" t="s">
        <v>11</v>
      </c>
      <c r="AI8" s="23" t="s">
        <v>11</v>
      </c>
      <c r="AJ8" s="23" t="s">
        <v>11</v>
      </c>
      <c r="AK8" s="23" t="s">
        <v>11</v>
      </c>
      <c r="AL8" s="23" t="s">
        <v>11</v>
      </c>
      <c r="AM8" s="23" t="s">
        <v>11</v>
      </c>
      <c r="AN8" s="23" t="s">
        <v>11</v>
      </c>
      <c r="AO8" s="23" t="s">
        <v>11</v>
      </c>
      <c r="AP8" s="23" t="s">
        <v>11</v>
      </c>
      <c r="AQ8" s="23" t="s">
        <v>11</v>
      </c>
      <c r="AR8" s="23" t="s">
        <v>11</v>
      </c>
      <c r="AS8" s="23" t="s">
        <v>11</v>
      </c>
      <c r="AT8" s="23" t="s">
        <v>11</v>
      </c>
      <c r="AU8" s="23" t="s">
        <v>11</v>
      </c>
      <c r="AV8" s="23" t="s">
        <v>11</v>
      </c>
      <c r="AW8" s="23" t="s">
        <v>11</v>
      </c>
      <c r="AX8" s="23" t="s">
        <v>11</v>
      </c>
      <c r="AY8" s="23" t="s">
        <v>11</v>
      </c>
      <c r="AZ8" s="23" t="s">
        <v>11</v>
      </c>
      <c r="BB8" s="29" t="s">
        <v>11</v>
      </c>
      <c r="BC8" s="29" t="s">
        <v>11</v>
      </c>
      <c r="BD8" s="29" t="s">
        <v>11</v>
      </c>
    </row>
    <row r="9" spans="1:56" x14ac:dyDescent="0.25">
      <c r="A9" s="13">
        <f t="shared" si="0"/>
        <v>7</v>
      </c>
      <c r="B9" s="377"/>
      <c r="C9" s="14" t="s">
        <v>153</v>
      </c>
      <c r="D9" s="15" t="s">
        <v>416</v>
      </c>
      <c r="E9" s="15" t="s">
        <v>413</v>
      </c>
      <c r="F9" s="16" t="s">
        <v>135</v>
      </c>
      <c r="G9" s="30" t="s">
        <v>474</v>
      </c>
      <c r="H9" s="31">
        <v>45422</v>
      </c>
      <c r="I9" s="31">
        <v>45424</v>
      </c>
      <c r="J9" s="32">
        <v>45442</v>
      </c>
      <c r="K9" s="20" t="s">
        <v>140</v>
      </c>
      <c r="L9" s="21">
        <v>45441</v>
      </c>
      <c r="M9" s="22" t="s">
        <v>466</v>
      </c>
      <c r="N9" s="23" t="s">
        <v>140</v>
      </c>
      <c r="O9" s="23" t="s">
        <v>140</v>
      </c>
      <c r="P9" s="23" t="s">
        <v>140</v>
      </c>
      <c r="Q9" s="23" t="s">
        <v>140</v>
      </c>
      <c r="R9" s="23" t="s">
        <v>11</v>
      </c>
      <c r="S9" s="23" t="s">
        <v>140</v>
      </c>
      <c r="T9" s="23" t="s">
        <v>11</v>
      </c>
      <c r="U9" s="23" t="s">
        <v>11</v>
      </c>
      <c r="V9" s="23" t="s">
        <v>140</v>
      </c>
      <c r="W9" s="23" t="s">
        <v>140</v>
      </c>
      <c r="X9" s="23" t="s">
        <v>140</v>
      </c>
      <c r="Y9" s="23" t="s">
        <v>11</v>
      </c>
      <c r="Z9" s="23" t="s">
        <v>11</v>
      </c>
      <c r="AA9" s="23" t="s">
        <v>11</v>
      </c>
      <c r="AB9" s="23" t="s">
        <v>482</v>
      </c>
      <c r="AC9" s="23" t="s">
        <v>483</v>
      </c>
      <c r="AE9" s="24">
        <v>93500</v>
      </c>
      <c r="AF9" s="23" t="s">
        <v>420</v>
      </c>
      <c r="AG9" s="23" t="s">
        <v>140</v>
      </c>
      <c r="AH9" s="23" t="s">
        <v>140</v>
      </c>
      <c r="AI9" s="24">
        <v>15000</v>
      </c>
      <c r="AJ9" s="23" t="s">
        <v>148</v>
      </c>
      <c r="AK9" s="23" t="s">
        <v>148</v>
      </c>
      <c r="AL9" s="23" t="s">
        <v>481</v>
      </c>
      <c r="AM9" s="23" t="s">
        <v>11</v>
      </c>
      <c r="AN9" s="23" t="s">
        <v>11</v>
      </c>
      <c r="AO9" s="23" t="s">
        <v>140</v>
      </c>
      <c r="AP9" s="23" t="s">
        <v>140</v>
      </c>
      <c r="AQ9" s="23" t="s">
        <v>140</v>
      </c>
      <c r="AR9" s="23" t="s">
        <v>140</v>
      </c>
      <c r="AS9" s="23" t="s">
        <v>140</v>
      </c>
      <c r="AT9" s="23" t="s">
        <v>140</v>
      </c>
      <c r="AU9" s="23" t="s">
        <v>11</v>
      </c>
      <c r="AV9" s="23" t="s">
        <v>11</v>
      </c>
      <c r="AW9" s="23" t="s">
        <v>11</v>
      </c>
      <c r="AX9" s="23" t="s">
        <v>140</v>
      </c>
      <c r="AY9" s="23" t="s">
        <v>140</v>
      </c>
      <c r="AZ9" s="23" t="s">
        <v>140</v>
      </c>
      <c r="BB9" s="25">
        <v>45565</v>
      </c>
      <c r="BC9" s="25" t="s">
        <v>11</v>
      </c>
      <c r="BD9" s="25" t="s">
        <v>11</v>
      </c>
    </row>
    <row r="10" spans="1:56" x14ac:dyDescent="0.25">
      <c r="A10" s="13">
        <f t="shared" si="0"/>
        <v>8</v>
      </c>
      <c r="B10" s="375" t="s">
        <v>448</v>
      </c>
      <c r="C10" s="14" t="s">
        <v>173</v>
      </c>
      <c r="D10" s="15" t="s">
        <v>11</v>
      </c>
      <c r="E10" s="15" t="s">
        <v>11</v>
      </c>
      <c r="F10" s="26"/>
      <c r="G10" s="27" t="s">
        <v>11</v>
      </c>
      <c r="H10" s="27" t="s">
        <v>11</v>
      </c>
      <c r="I10" s="27" t="s">
        <v>11</v>
      </c>
      <c r="J10" s="27" t="s">
        <v>11</v>
      </c>
      <c r="K10" s="23" t="s">
        <v>11</v>
      </c>
      <c r="L10" s="23" t="s">
        <v>11</v>
      </c>
      <c r="M10" s="28" t="s">
        <v>11</v>
      </c>
      <c r="N10" s="33" t="s">
        <v>11</v>
      </c>
      <c r="O10" s="23" t="s">
        <v>11</v>
      </c>
      <c r="P10" s="23" t="s">
        <v>11</v>
      </c>
      <c r="Q10" s="23" t="s">
        <v>11</v>
      </c>
      <c r="R10" s="23" t="s">
        <v>11</v>
      </c>
      <c r="S10" s="23" t="s">
        <v>11</v>
      </c>
      <c r="T10" s="23" t="s">
        <v>11</v>
      </c>
      <c r="U10" s="23" t="s">
        <v>11</v>
      </c>
      <c r="V10" s="23" t="s">
        <v>11</v>
      </c>
      <c r="W10" s="23" t="s">
        <v>11</v>
      </c>
      <c r="X10" s="23" t="s">
        <v>11</v>
      </c>
      <c r="Y10" s="23" t="s">
        <v>11</v>
      </c>
      <c r="Z10" s="23" t="s">
        <v>11</v>
      </c>
      <c r="AA10" s="23" t="s">
        <v>11</v>
      </c>
      <c r="AB10" s="23" t="s">
        <v>11</v>
      </c>
      <c r="AC10" s="23" t="s">
        <v>133</v>
      </c>
      <c r="AE10" s="23" t="s">
        <v>11</v>
      </c>
      <c r="AF10" s="23" t="s">
        <v>11</v>
      </c>
      <c r="AG10" s="23" t="s">
        <v>11</v>
      </c>
      <c r="AH10" s="23" t="s">
        <v>11</v>
      </c>
      <c r="AI10" s="23" t="s">
        <v>11</v>
      </c>
      <c r="AJ10" s="23" t="s">
        <v>11</v>
      </c>
      <c r="AK10" s="23" t="s">
        <v>11</v>
      </c>
      <c r="AL10" s="23" t="s">
        <v>481</v>
      </c>
      <c r="AM10" s="23" t="s">
        <v>11</v>
      </c>
      <c r="AN10" s="23" t="s">
        <v>11</v>
      </c>
      <c r="AO10" s="23" t="s">
        <v>11</v>
      </c>
      <c r="AP10" s="23" t="s">
        <v>11</v>
      </c>
      <c r="AQ10" s="23" t="s">
        <v>11</v>
      </c>
      <c r="AR10" s="23" t="s">
        <v>11</v>
      </c>
      <c r="AS10" s="23" t="s">
        <v>11</v>
      </c>
      <c r="AT10" s="23" t="s">
        <v>11</v>
      </c>
      <c r="AU10" s="23" t="s">
        <v>11</v>
      </c>
      <c r="AV10" s="23" t="s">
        <v>11</v>
      </c>
      <c r="AW10" s="23" t="s">
        <v>11</v>
      </c>
      <c r="AX10" s="23" t="s">
        <v>11</v>
      </c>
      <c r="AY10" s="23" t="s">
        <v>11</v>
      </c>
      <c r="AZ10" s="23" t="s">
        <v>11</v>
      </c>
      <c r="BB10" s="29" t="s">
        <v>11</v>
      </c>
      <c r="BC10" s="29" t="s">
        <v>11</v>
      </c>
      <c r="BD10" s="29" t="s">
        <v>11</v>
      </c>
    </row>
    <row r="11" spans="1:56" x14ac:dyDescent="0.25">
      <c r="A11" s="13">
        <f t="shared" si="0"/>
        <v>9</v>
      </c>
      <c r="B11" s="376"/>
      <c r="C11" s="14" t="s">
        <v>421</v>
      </c>
      <c r="D11" s="15" t="s">
        <v>11</v>
      </c>
      <c r="E11" s="15" t="s">
        <v>11</v>
      </c>
      <c r="F11" s="26"/>
      <c r="G11" s="27" t="s">
        <v>11</v>
      </c>
      <c r="H11" s="27" t="s">
        <v>11</v>
      </c>
      <c r="I11" s="27" t="s">
        <v>11</v>
      </c>
      <c r="J11" s="27" t="s">
        <v>11</v>
      </c>
      <c r="K11" s="23" t="s">
        <v>11</v>
      </c>
      <c r="L11" s="23" t="s">
        <v>11</v>
      </c>
      <c r="M11" s="28" t="s">
        <v>11</v>
      </c>
      <c r="N11" s="33" t="s">
        <v>11</v>
      </c>
      <c r="O11" s="23" t="s">
        <v>11</v>
      </c>
      <c r="P11" s="23" t="s">
        <v>11</v>
      </c>
      <c r="Q11" s="23" t="s">
        <v>11</v>
      </c>
      <c r="R11" s="23" t="s">
        <v>11</v>
      </c>
      <c r="S11" s="23" t="s">
        <v>11</v>
      </c>
      <c r="T11" s="23" t="s">
        <v>11</v>
      </c>
      <c r="U11" s="23" t="s">
        <v>11</v>
      </c>
      <c r="V11" s="23" t="s">
        <v>11</v>
      </c>
      <c r="W11" s="23" t="s">
        <v>11</v>
      </c>
      <c r="X11" s="23" t="s">
        <v>11</v>
      </c>
      <c r="Y11" s="23" t="s">
        <v>11</v>
      </c>
      <c r="Z11" s="23" t="s">
        <v>11</v>
      </c>
      <c r="AA11" s="23" t="s">
        <v>11</v>
      </c>
      <c r="AB11" s="23" t="s">
        <v>11</v>
      </c>
      <c r="AC11" s="23" t="s">
        <v>133</v>
      </c>
      <c r="AE11" s="23" t="s">
        <v>11</v>
      </c>
      <c r="AF11" s="23" t="s">
        <v>11</v>
      </c>
      <c r="AG11" s="23" t="s">
        <v>177</v>
      </c>
      <c r="AH11" s="23" t="s">
        <v>11</v>
      </c>
      <c r="AI11" s="23" t="s">
        <v>11</v>
      </c>
      <c r="AJ11" s="23" t="s">
        <v>11</v>
      </c>
      <c r="AK11" s="23" t="s">
        <v>11</v>
      </c>
      <c r="AL11" s="23" t="s">
        <v>481</v>
      </c>
      <c r="AM11" s="23" t="s">
        <v>11</v>
      </c>
      <c r="AN11" s="23" t="s">
        <v>11</v>
      </c>
      <c r="AO11" s="23" t="s">
        <v>11</v>
      </c>
      <c r="AP11" s="23" t="s">
        <v>11</v>
      </c>
      <c r="AQ11" s="23" t="s">
        <v>11</v>
      </c>
      <c r="AR11" s="23" t="s">
        <v>11</v>
      </c>
      <c r="AS11" s="23" t="s">
        <v>11</v>
      </c>
      <c r="AT11" s="23" t="s">
        <v>11</v>
      </c>
      <c r="AU11" s="23" t="s">
        <v>11</v>
      </c>
      <c r="AV11" s="23" t="s">
        <v>11</v>
      </c>
      <c r="AW11" s="23" t="s">
        <v>11</v>
      </c>
      <c r="AX11" s="23" t="s">
        <v>11</v>
      </c>
      <c r="AY11" s="23" t="s">
        <v>11</v>
      </c>
      <c r="AZ11" s="23" t="s">
        <v>11</v>
      </c>
      <c r="BB11" s="29" t="s">
        <v>11</v>
      </c>
      <c r="BC11" s="29" t="s">
        <v>11</v>
      </c>
      <c r="BD11" s="29" t="s">
        <v>11</v>
      </c>
    </row>
    <row r="12" spans="1:56" x14ac:dyDescent="0.25">
      <c r="A12" s="13">
        <f t="shared" si="0"/>
        <v>10</v>
      </c>
      <c r="B12" s="376"/>
      <c r="C12" s="14" t="s">
        <v>198</v>
      </c>
      <c r="D12" s="15" t="s">
        <v>423</v>
      </c>
      <c r="E12" s="15" t="s">
        <v>426</v>
      </c>
      <c r="F12" s="16" t="s">
        <v>484</v>
      </c>
      <c r="G12" s="30">
        <v>45443</v>
      </c>
      <c r="H12" s="31">
        <v>45453</v>
      </c>
      <c r="I12" s="31">
        <v>45458</v>
      </c>
      <c r="J12" s="32">
        <v>45458</v>
      </c>
      <c r="K12" s="20" t="s">
        <v>140</v>
      </c>
      <c r="L12" s="34">
        <v>45477</v>
      </c>
      <c r="M12" s="35">
        <v>45519</v>
      </c>
      <c r="N12" s="23" t="s">
        <v>140</v>
      </c>
      <c r="O12" s="23" t="s">
        <v>209</v>
      </c>
      <c r="P12" s="23" t="s">
        <v>140</v>
      </c>
      <c r="Q12" s="23" t="s">
        <v>140</v>
      </c>
      <c r="R12" s="23" t="s">
        <v>11</v>
      </c>
      <c r="S12" s="23" t="s">
        <v>140</v>
      </c>
      <c r="T12" s="23" t="s">
        <v>11</v>
      </c>
      <c r="U12" s="23" t="s">
        <v>11</v>
      </c>
      <c r="V12" s="23" t="s">
        <v>140</v>
      </c>
      <c r="W12" s="23" t="s">
        <v>140</v>
      </c>
      <c r="X12" s="23" t="s">
        <v>140</v>
      </c>
      <c r="Y12" s="23" t="s">
        <v>11</v>
      </c>
      <c r="Z12" s="23" t="s">
        <v>11</v>
      </c>
      <c r="AA12" s="23" t="s">
        <v>11</v>
      </c>
      <c r="AB12" s="23">
        <v>141000</v>
      </c>
      <c r="AC12" s="23" t="s">
        <v>427</v>
      </c>
      <c r="AE12" s="23">
        <v>75000</v>
      </c>
      <c r="AF12" s="23">
        <v>82500</v>
      </c>
      <c r="AG12" s="23" t="s">
        <v>140</v>
      </c>
      <c r="AH12" s="23" t="s">
        <v>140</v>
      </c>
      <c r="AI12" s="23">
        <v>16500</v>
      </c>
      <c r="AJ12" s="23" t="s">
        <v>209</v>
      </c>
      <c r="AK12" s="23" t="s">
        <v>148</v>
      </c>
      <c r="AL12" s="23" t="s">
        <v>148</v>
      </c>
      <c r="AM12" s="23" t="s">
        <v>148</v>
      </c>
      <c r="AN12" s="23" t="s">
        <v>148</v>
      </c>
      <c r="AO12" s="23" t="s">
        <v>140</v>
      </c>
      <c r="AP12" s="23" t="s">
        <v>148</v>
      </c>
      <c r="AQ12" s="23" t="s">
        <v>148</v>
      </c>
      <c r="AR12" s="23" t="s">
        <v>140</v>
      </c>
      <c r="AS12" s="23" t="s">
        <v>148</v>
      </c>
      <c r="AT12" s="23" t="s">
        <v>148</v>
      </c>
      <c r="AU12" s="23" t="s">
        <v>11</v>
      </c>
      <c r="AV12" s="23" t="s">
        <v>11</v>
      </c>
      <c r="AW12" s="23" t="s">
        <v>11</v>
      </c>
      <c r="AX12" s="23" t="s">
        <v>11</v>
      </c>
      <c r="AY12" s="23" t="s">
        <v>11</v>
      </c>
      <c r="AZ12" s="23" t="s">
        <v>11</v>
      </c>
      <c r="BB12" s="25" t="s">
        <v>485</v>
      </c>
      <c r="BC12" s="25" t="s">
        <v>138</v>
      </c>
      <c r="BD12" s="25" t="s">
        <v>138</v>
      </c>
    </row>
    <row r="13" spans="1:56" x14ac:dyDescent="0.25">
      <c r="A13" s="13">
        <f t="shared" si="0"/>
        <v>11</v>
      </c>
      <c r="B13" s="376"/>
      <c r="C13" s="14" t="s">
        <v>486</v>
      </c>
      <c r="D13" s="15" t="s">
        <v>11</v>
      </c>
      <c r="E13" s="15" t="s">
        <v>11</v>
      </c>
      <c r="F13" s="26"/>
      <c r="G13" s="27" t="s">
        <v>11</v>
      </c>
      <c r="H13" s="27" t="s">
        <v>11</v>
      </c>
      <c r="I13" s="27" t="s">
        <v>11</v>
      </c>
      <c r="J13" s="27" t="s">
        <v>11</v>
      </c>
      <c r="K13" s="23" t="s">
        <v>11</v>
      </c>
      <c r="L13" s="23" t="s">
        <v>11</v>
      </c>
      <c r="M13" s="28" t="s">
        <v>11</v>
      </c>
      <c r="N13" s="33" t="s">
        <v>11</v>
      </c>
      <c r="O13" s="23" t="s">
        <v>11</v>
      </c>
      <c r="P13" s="23" t="s">
        <v>11</v>
      </c>
      <c r="Q13" s="23" t="s">
        <v>11</v>
      </c>
      <c r="R13" s="23" t="s">
        <v>11</v>
      </c>
      <c r="S13" s="23" t="s">
        <v>11</v>
      </c>
      <c r="T13" s="23" t="s">
        <v>11</v>
      </c>
      <c r="U13" s="23" t="s">
        <v>11</v>
      </c>
      <c r="V13" s="23" t="s">
        <v>11</v>
      </c>
      <c r="W13" s="23" t="s">
        <v>11</v>
      </c>
      <c r="X13" s="23" t="s">
        <v>11</v>
      </c>
      <c r="Y13" s="23" t="s">
        <v>11</v>
      </c>
      <c r="Z13" s="23" t="s">
        <v>11</v>
      </c>
      <c r="AA13" s="23" t="s">
        <v>11</v>
      </c>
      <c r="AB13" s="23" t="s">
        <v>11</v>
      </c>
      <c r="AC13" s="23" t="s">
        <v>133</v>
      </c>
      <c r="AE13" s="23" t="s">
        <v>11</v>
      </c>
      <c r="AF13" s="23" t="s">
        <v>11</v>
      </c>
      <c r="AG13" s="23" t="s">
        <v>11</v>
      </c>
      <c r="AH13" s="23" t="s">
        <v>11</v>
      </c>
      <c r="AI13" s="23" t="s">
        <v>11</v>
      </c>
      <c r="AJ13" s="23" t="s">
        <v>11</v>
      </c>
      <c r="AK13" s="23" t="s">
        <v>11</v>
      </c>
      <c r="AL13" s="23" t="s">
        <v>11</v>
      </c>
      <c r="AM13" s="23" t="s">
        <v>11</v>
      </c>
      <c r="AN13" s="23" t="s">
        <v>11</v>
      </c>
      <c r="AO13" s="23" t="s">
        <v>11</v>
      </c>
      <c r="AP13" s="23" t="s">
        <v>11</v>
      </c>
      <c r="AQ13" s="23" t="s">
        <v>11</v>
      </c>
      <c r="AR13" s="23" t="s">
        <v>11</v>
      </c>
      <c r="AS13" s="23" t="s">
        <v>11</v>
      </c>
      <c r="AT13" s="23" t="s">
        <v>11</v>
      </c>
      <c r="AU13" s="23" t="s">
        <v>11</v>
      </c>
      <c r="AV13" s="23" t="s">
        <v>11</v>
      </c>
      <c r="AW13" s="23" t="s">
        <v>11</v>
      </c>
      <c r="AX13" s="23" t="s">
        <v>11</v>
      </c>
      <c r="AY13" s="23" t="s">
        <v>11</v>
      </c>
      <c r="AZ13" s="23" t="s">
        <v>11</v>
      </c>
      <c r="BB13" s="29"/>
      <c r="BC13" s="29" t="s">
        <v>11</v>
      </c>
      <c r="BD13" s="29" t="s">
        <v>11</v>
      </c>
    </row>
    <row r="14" spans="1:56" x14ac:dyDescent="0.25">
      <c r="A14" s="13">
        <f t="shared" si="0"/>
        <v>12</v>
      </c>
      <c r="B14" s="376"/>
      <c r="C14" s="14" t="s">
        <v>424</v>
      </c>
      <c r="D14" s="15" t="s">
        <v>416</v>
      </c>
      <c r="E14" s="15" t="s">
        <v>413</v>
      </c>
      <c r="F14" s="16" t="s">
        <v>484</v>
      </c>
      <c r="G14" s="30">
        <v>45443</v>
      </c>
      <c r="H14" s="31">
        <v>45453</v>
      </c>
      <c r="I14" s="31">
        <v>45458</v>
      </c>
      <c r="J14" s="32">
        <v>45458</v>
      </c>
      <c r="K14" s="20" t="s">
        <v>140</v>
      </c>
      <c r="L14" s="34">
        <v>45464</v>
      </c>
      <c r="M14" s="35">
        <v>45504</v>
      </c>
      <c r="N14" s="23" t="s">
        <v>140</v>
      </c>
      <c r="O14" s="23" t="s">
        <v>140</v>
      </c>
      <c r="P14" s="23" t="s">
        <v>209</v>
      </c>
      <c r="Q14" s="23" t="s">
        <v>140</v>
      </c>
      <c r="R14" s="23" t="s">
        <v>11</v>
      </c>
      <c r="S14" s="23" t="s">
        <v>140</v>
      </c>
      <c r="T14" s="23" t="s">
        <v>147</v>
      </c>
      <c r="U14" s="23" t="s">
        <v>11</v>
      </c>
      <c r="V14" s="23" t="s">
        <v>11</v>
      </c>
      <c r="W14" s="23" t="s">
        <v>11</v>
      </c>
      <c r="X14" s="23" t="s">
        <v>11</v>
      </c>
      <c r="Y14" s="23" t="s">
        <v>140</v>
      </c>
      <c r="Z14" s="23" t="s">
        <v>11</v>
      </c>
      <c r="AA14" s="23" t="s">
        <v>11</v>
      </c>
      <c r="AB14" s="36">
        <v>9006047.75</v>
      </c>
      <c r="AC14" s="37">
        <v>16878989.09</v>
      </c>
      <c r="AE14" s="23">
        <v>50000</v>
      </c>
      <c r="AF14" s="23">
        <v>82500</v>
      </c>
      <c r="AG14" s="23" t="s">
        <v>140</v>
      </c>
      <c r="AH14" s="23" t="s">
        <v>140</v>
      </c>
      <c r="AI14" s="23">
        <v>16500</v>
      </c>
      <c r="AJ14" s="23" t="s">
        <v>140</v>
      </c>
      <c r="AK14" s="23" t="s">
        <v>140</v>
      </c>
      <c r="AL14" s="23" t="s">
        <v>481</v>
      </c>
      <c r="AM14" s="23" t="s">
        <v>481</v>
      </c>
      <c r="AN14" s="23" t="s">
        <v>481</v>
      </c>
      <c r="AO14" s="23" t="s">
        <v>140</v>
      </c>
      <c r="AP14" s="23" t="s">
        <v>11</v>
      </c>
      <c r="AQ14" s="23" t="s">
        <v>177</v>
      </c>
      <c r="AR14" s="23" t="s">
        <v>11</v>
      </c>
      <c r="AS14" s="23" t="s">
        <v>11</v>
      </c>
      <c r="AT14" s="23" t="s">
        <v>11</v>
      </c>
      <c r="AU14" s="23" t="s">
        <v>11</v>
      </c>
      <c r="AV14" s="23" t="s">
        <v>11</v>
      </c>
      <c r="AW14" s="23" t="s">
        <v>11</v>
      </c>
      <c r="AX14" s="23" t="s">
        <v>11</v>
      </c>
      <c r="AY14" s="23" t="s">
        <v>11</v>
      </c>
      <c r="AZ14" s="23" t="s">
        <v>11</v>
      </c>
      <c r="BB14" s="25"/>
      <c r="BC14" s="25" t="s">
        <v>138</v>
      </c>
      <c r="BD14" s="25" t="s">
        <v>138</v>
      </c>
    </row>
    <row r="15" spans="1:56" x14ac:dyDescent="0.25">
      <c r="A15" s="13">
        <f t="shared" si="0"/>
        <v>13</v>
      </c>
      <c r="B15" s="376"/>
      <c r="C15" s="14" t="s">
        <v>203</v>
      </c>
      <c r="D15" s="15" t="s">
        <v>416</v>
      </c>
      <c r="E15" s="15" t="s">
        <v>11</v>
      </c>
      <c r="F15" s="16" t="s">
        <v>201</v>
      </c>
      <c r="G15" s="30">
        <v>45427</v>
      </c>
      <c r="H15" s="31">
        <v>45429</v>
      </c>
      <c r="I15" s="31">
        <v>45429</v>
      </c>
      <c r="J15" s="32">
        <v>45430</v>
      </c>
      <c r="K15" s="20" t="s">
        <v>140</v>
      </c>
      <c r="L15" s="21">
        <v>45422</v>
      </c>
      <c r="M15" s="22">
        <v>45504</v>
      </c>
      <c r="N15" s="23" t="s">
        <v>140</v>
      </c>
      <c r="O15" s="23" t="s">
        <v>140</v>
      </c>
      <c r="P15" s="23" t="s">
        <v>209</v>
      </c>
      <c r="Q15" s="23" t="s">
        <v>140</v>
      </c>
      <c r="R15" s="23" t="s">
        <v>147</v>
      </c>
      <c r="S15" s="23" t="s">
        <v>140</v>
      </c>
      <c r="T15" s="23" t="s">
        <v>177</v>
      </c>
      <c r="U15" s="23" t="s">
        <v>177</v>
      </c>
      <c r="V15" s="23" t="s">
        <v>140</v>
      </c>
      <c r="W15" s="23" t="s">
        <v>140</v>
      </c>
      <c r="X15" s="23" t="s">
        <v>140</v>
      </c>
      <c r="Y15" s="23" t="s">
        <v>11</v>
      </c>
      <c r="Z15" s="23" t="s">
        <v>209</v>
      </c>
      <c r="AA15" s="23" t="s">
        <v>140</v>
      </c>
      <c r="AB15" s="23" t="s">
        <v>487</v>
      </c>
      <c r="AC15" s="23" t="s">
        <v>488</v>
      </c>
      <c r="AE15" s="23">
        <v>125000</v>
      </c>
      <c r="AF15" s="38">
        <v>137500</v>
      </c>
      <c r="AG15" s="38" t="s">
        <v>140</v>
      </c>
      <c r="AH15" s="23" t="s">
        <v>140</v>
      </c>
      <c r="AI15" s="23" t="s">
        <v>11</v>
      </c>
      <c r="AJ15" s="23" t="s">
        <v>11</v>
      </c>
      <c r="AK15" s="23" t="s">
        <v>11</v>
      </c>
      <c r="AL15" s="23" t="s">
        <v>11</v>
      </c>
      <c r="AM15" s="23" t="s">
        <v>11</v>
      </c>
      <c r="AN15" s="23" t="s">
        <v>11</v>
      </c>
      <c r="AO15" s="23" t="s">
        <v>11</v>
      </c>
      <c r="AP15" s="23" t="s">
        <v>11</v>
      </c>
      <c r="AQ15" s="23" t="s">
        <v>177</v>
      </c>
      <c r="AR15" s="23" t="s">
        <v>209</v>
      </c>
      <c r="AS15" s="23" t="s">
        <v>11</v>
      </c>
      <c r="AT15" s="23" t="s">
        <v>11</v>
      </c>
      <c r="AU15" s="23" t="s">
        <v>140</v>
      </c>
      <c r="AV15" s="23" t="s">
        <v>140</v>
      </c>
      <c r="AW15" s="23" t="s">
        <v>140</v>
      </c>
      <c r="AX15" s="23" t="s">
        <v>140</v>
      </c>
      <c r="AY15" s="23" t="s">
        <v>140</v>
      </c>
      <c r="AZ15" s="23" t="s">
        <v>140</v>
      </c>
      <c r="BB15" s="25"/>
      <c r="BC15" s="25" t="s">
        <v>138</v>
      </c>
      <c r="BD15" s="25" t="s">
        <v>138</v>
      </c>
    </row>
    <row r="16" spans="1:56" x14ac:dyDescent="0.25">
      <c r="A16" s="13">
        <f t="shared" si="0"/>
        <v>14</v>
      </c>
      <c r="B16" s="376"/>
      <c r="C16" s="14" t="s">
        <v>425</v>
      </c>
      <c r="D16" s="15" t="s">
        <v>416</v>
      </c>
      <c r="E16" s="15" t="s">
        <v>413</v>
      </c>
      <c r="F16" s="16" t="s">
        <v>136</v>
      </c>
      <c r="G16" s="30">
        <v>45402</v>
      </c>
      <c r="H16" s="31">
        <v>45402</v>
      </c>
      <c r="I16" s="31">
        <v>45405</v>
      </c>
      <c r="J16" s="32">
        <v>45412</v>
      </c>
      <c r="K16" s="20" t="s">
        <v>140</v>
      </c>
      <c r="L16" s="21">
        <v>45412</v>
      </c>
      <c r="M16" s="22">
        <v>45504</v>
      </c>
      <c r="N16" s="33" t="s">
        <v>140</v>
      </c>
      <c r="O16" s="23" t="s">
        <v>140</v>
      </c>
      <c r="P16" s="23" t="s">
        <v>140</v>
      </c>
      <c r="Q16" s="23" t="s">
        <v>140</v>
      </c>
      <c r="R16" s="23" t="s">
        <v>147</v>
      </c>
      <c r="S16" s="23" t="s">
        <v>140</v>
      </c>
      <c r="T16" s="23" t="s">
        <v>177</v>
      </c>
      <c r="U16" s="23" t="s">
        <v>11</v>
      </c>
      <c r="V16" s="23" t="s">
        <v>140</v>
      </c>
      <c r="W16" s="23" t="s">
        <v>140</v>
      </c>
      <c r="X16" s="23" t="s">
        <v>140</v>
      </c>
      <c r="Y16" s="23" t="s">
        <v>11</v>
      </c>
      <c r="Z16" s="23" t="s">
        <v>11</v>
      </c>
      <c r="AA16" s="23" t="s">
        <v>11</v>
      </c>
      <c r="AB16" s="23" t="s">
        <v>133</v>
      </c>
      <c r="AC16" s="23" t="s">
        <v>133</v>
      </c>
      <c r="AE16" s="23">
        <v>105000</v>
      </c>
      <c r="AF16" s="38">
        <v>110000</v>
      </c>
      <c r="AG16" s="38" t="s">
        <v>140</v>
      </c>
      <c r="AH16" s="23" t="s">
        <v>140</v>
      </c>
      <c r="AI16" s="23" t="s">
        <v>11</v>
      </c>
      <c r="AJ16" s="23"/>
      <c r="AK16" s="23"/>
      <c r="AL16" s="23"/>
      <c r="AM16" s="23"/>
      <c r="AN16" s="23"/>
      <c r="AO16" s="23"/>
      <c r="AP16" s="23"/>
      <c r="AQ16" s="23"/>
      <c r="AR16" s="23"/>
      <c r="AS16" s="23"/>
      <c r="AT16" s="23"/>
      <c r="AU16" s="23"/>
      <c r="AV16" s="23"/>
      <c r="AW16" s="23"/>
      <c r="AX16" s="23"/>
      <c r="AY16" s="23"/>
      <c r="AZ16" s="23"/>
      <c r="BB16" s="39"/>
      <c r="BC16" s="25" t="s">
        <v>489</v>
      </c>
      <c r="BD16" s="25" t="s">
        <v>489</v>
      </c>
    </row>
    <row r="17" spans="1:56" x14ac:dyDescent="0.25">
      <c r="A17" s="13">
        <f t="shared" si="0"/>
        <v>15</v>
      </c>
      <c r="B17" s="376"/>
      <c r="C17" s="14" t="s">
        <v>210</v>
      </c>
      <c r="D17" s="15" t="s">
        <v>11</v>
      </c>
      <c r="E17" s="15" t="s">
        <v>11</v>
      </c>
      <c r="F17" s="26"/>
      <c r="G17" s="27" t="s">
        <v>11</v>
      </c>
      <c r="H17" s="27" t="s">
        <v>11</v>
      </c>
      <c r="I17" s="27" t="s">
        <v>11</v>
      </c>
      <c r="J17" s="27" t="s">
        <v>11</v>
      </c>
      <c r="K17" s="23" t="s">
        <v>11</v>
      </c>
      <c r="L17" s="23" t="s">
        <v>11</v>
      </c>
      <c r="M17" s="28" t="s">
        <v>11</v>
      </c>
      <c r="N17" s="33" t="s">
        <v>11</v>
      </c>
      <c r="O17" s="23" t="s">
        <v>11</v>
      </c>
      <c r="P17" s="23" t="s">
        <v>177</v>
      </c>
      <c r="Q17" s="23" t="s">
        <v>11</v>
      </c>
      <c r="R17" s="23" t="s">
        <v>11</v>
      </c>
      <c r="S17" s="23" t="s">
        <v>11</v>
      </c>
      <c r="T17" s="23" t="s">
        <v>11</v>
      </c>
      <c r="U17" s="23" t="s">
        <v>11</v>
      </c>
      <c r="V17" s="23" t="s">
        <v>11</v>
      </c>
      <c r="W17" s="23" t="s">
        <v>11</v>
      </c>
      <c r="X17" s="23" t="s">
        <v>11</v>
      </c>
      <c r="Y17" s="23" t="s">
        <v>11</v>
      </c>
      <c r="Z17" s="23" t="s">
        <v>11</v>
      </c>
      <c r="AA17" s="23" t="s">
        <v>11</v>
      </c>
      <c r="AB17" s="23" t="s">
        <v>11</v>
      </c>
      <c r="AC17" s="23" t="s">
        <v>11</v>
      </c>
      <c r="AE17" s="23" t="s">
        <v>11</v>
      </c>
      <c r="AF17" s="23" t="s">
        <v>11</v>
      </c>
      <c r="AG17" s="23" t="s">
        <v>11</v>
      </c>
      <c r="AH17" s="23" t="s">
        <v>11</v>
      </c>
      <c r="AI17" s="23" t="s">
        <v>11</v>
      </c>
      <c r="AJ17" s="23" t="s">
        <v>11</v>
      </c>
      <c r="AK17" s="23" t="s">
        <v>11</v>
      </c>
      <c r="AL17" s="23" t="s">
        <v>11</v>
      </c>
      <c r="AM17" s="23" t="s">
        <v>11</v>
      </c>
      <c r="AN17" s="23" t="s">
        <v>11</v>
      </c>
      <c r="AO17" s="23" t="s">
        <v>11</v>
      </c>
      <c r="AP17" s="23" t="s">
        <v>11</v>
      </c>
      <c r="AQ17" s="23" t="s">
        <v>11</v>
      </c>
      <c r="AR17" s="23" t="s">
        <v>11</v>
      </c>
      <c r="AS17" s="23" t="s">
        <v>11</v>
      </c>
      <c r="AT17" s="23" t="s">
        <v>11</v>
      </c>
      <c r="AU17" s="23" t="s">
        <v>11</v>
      </c>
      <c r="AV17" s="23" t="s">
        <v>11</v>
      </c>
      <c r="AW17" s="23" t="s">
        <v>11</v>
      </c>
      <c r="AX17" s="23" t="s">
        <v>11</v>
      </c>
      <c r="AY17" s="23" t="s">
        <v>11</v>
      </c>
      <c r="AZ17" s="23" t="s">
        <v>11</v>
      </c>
      <c r="BB17" s="23" t="s">
        <v>11</v>
      </c>
      <c r="BC17" s="40" t="s">
        <v>11</v>
      </c>
      <c r="BD17" s="29" t="s">
        <v>11</v>
      </c>
    </row>
    <row r="18" spans="1:56" x14ac:dyDescent="0.25">
      <c r="A18" s="13">
        <f t="shared" si="0"/>
        <v>16</v>
      </c>
      <c r="B18" s="376"/>
      <c r="C18" s="14" t="s">
        <v>490</v>
      </c>
      <c r="D18" s="15" t="s">
        <v>416</v>
      </c>
      <c r="E18" s="15" t="s">
        <v>417</v>
      </c>
      <c r="F18" s="41" t="s">
        <v>176</v>
      </c>
      <c r="G18" s="30">
        <v>45412</v>
      </c>
      <c r="H18" s="31">
        <v>45417</v>
      </c>
      <c r="I18" s="31">
        <v>45422</v>
      </c>
      <c r="J18" s="32">
        <v>45427</v>
      </c>
      <c r="K18" s="20" t="s">
        <v>140</v>
      </c>
      <c r="L18" s="21">
        <v>45430</v>
      </c>
      <c r="M18" s="22">
        <v>45486</v>
      </c>
      <c r="N18" s="23" t="s">
        <v>140</v>
      </c>
      <c r="O18" s="23" t="s">
        <v>140</v>
      </c>
      <c r="P18" s="23" t="s">
        <v>140</v>
      </c>
      <c r="Q18" s="23" t="s">
        <v>140</v>
      </c>
      <c r="R18" s="23" t="s">
        <v>11</v>
      </c>
      <c r="S18" s="23" t="s">
        <v>140</v>
      </c>
      <c r="T18" s="23" t="s">
        <v>11</v>
      </c>
      <c r="U18" s="23" t="s">
        <v>11</v>
      </c>
      <c r="V18" s="23" t="s">
        <v>11</v>
      </c>
      <c r="W18" s="23" t="s">
        <v>140</v>
      </c>
      <c r="X18" s="23" t="s">
        <v>140</v>
      </c>
      <c r="Y18" s="23" t="s">
        <v>11</v>
      </c>
      <c r="Z18" s="23" t="s">
        <v>11</v>
      </c>
      <c r="AA18" s="23" t="s">
        <v>11</v>
      </c>
      <c r="AB18" s="23">
        <v>0</v>
      </c>
      <c r="AC18" s="23">
        <v>650000</v>
      </c>
      <c r="AE18" s="23" t="s">
        <v>11</v>
      </c>
      <c r="AF18" s="23">
        <v>85000</v>
      </c>
      <c r="AG18" s="23" t="s">
        <v>140</v>
      </c>
      <c r="AH18" s="23" t="s">
        <v>140</v>
      </c>
      <c r="AI18" s="23">
        <v>10000</v>
      </c>
      <c r="AJ18" s="23" t="s">
        <v>140</v>
      </c>
      <c r="AK18" s="23" t="s">
        <v>140</v>
      </c>
      <c r="AL18" s="23" t="s">
        <v>481</v>
      </c>
      <c r="AM18" s="23" t="s">
        <v>481</v>
      </c>
      <c r="AN18" s="23" t="s">
        <v>481</v>
      </c>
      <c r="AO18" s="23" t="s">
        <v>140</v>
      </c>
      <c r="AP18" s="23" t="s">
        <v>140</v>
      </c>
      <c r="AQ18" s="23" t="s">
        <v>481</v>
      </c>
      <c r="AR18" s="23" t="s">
        <v>11</v>
      </c>
      <c r="AS18" s="23" t="s">
        <v>11</v>
      </c>
      <c r="AT18" s="23" t="s">
        <v>11</v>
      </c>
      <c r="AU18" s="23" t="s">
        <v>11</v>
      </c>
      <c r="AV18" s="23" t="s">
        <v>11</v>
      </c>
      <c r="AW18" s="23" t="s">
        <v>11</v>
      </c>
      <c r="AX18" s="23" t="s">
        <v>11</v>
      </c>
      <c r="AY18" s="23" t="s">
        <v>11</v>
      </c>
      <c r="AZ18" s="23" t="s">
        <v>11</v>
      </c>
      <c r="BB18" s="42"/>
      <c r="BC18" s="25" t="s">
        <v>138</v>
      </c>
      <c r="BD18" s="25" t="s">
        <v>138</v>
      </c>
    </row>
    <row r="19" spans="1:56" x14ac:dyDescent="0.25">
      <c r="A19" s="13">
        <f t="shared" si="0"/>
        <v>17</v>
      </c>
      <c r="B19" s="376"/>
      <c r="C19" s="14" t="s">
        <v>422</v>
      </c>
      <c r="D19" s="15" t="s">
        <v>11</v>
      </c>
      <c r="E19" s="15" t="s">
        <v>11</v>
      </c>
      <c r="G19" s="27" t="s">
        <v>11</v>
      </c>
      <c r="H19" s="27" t="s">
        <v>11</v>
      </c>
      <c r="I19" s="27" t="s">
        <v>11</v>
      </c>
      <c r="J19" s="27" t="s">
        <v>11</v>
      </c>
      <c r="K19" s="23" t="s">
        <v>11</v>
      </c>
      <c r="L19" s="23" t="s">
        <v>11</v>
      </c>
      <c r="M19" s="28" t="s">
        <v>11</v>
      </c>
      <c r="N19" s="33" t="s">
        <v>11</v>
      </c>
      <c r="O19" s="23" t="s">
        <v>11</v>
      </c>
      <c r="P19" s="23" t="s">
        <v>11</v>
      </c>
      <c r="Q19" s="23" t="s">
        <v>11</v>
      </c>
      <c r="R19" s="23" t="s">
        <v>11</v>
      </c>
      <c r="S19" s="23" t="s">
        <v>11</v>
      </c>
      <c r="T19" s="23" t="s">
        <v>11</v>
      </c>
      <c r="U19" s="23" t="s">
        <v>11</v>
      </c>
      <c r="V19" s="23" t="s">
        <v>11</v>
      </c>
      <c r="W19" s="23" t="s">
        <v>11</v>
      </c>
      <c r="X19" s="23" t="s">
        <v>11</v>
      </c>
      <c r="Y19" s="23" t="s">
        <v>11</v>
      </c>
      <c r="Z19" s="23" t="s">
        <v>11</v>
      </c>
      <c r="AA19" s="23" t="s">
        <v>11</v>
      </c>
      <c r="AB19" s="23" t="s">
        <v>11</v>
      </c>
      <c r="AC19" s="23" t="s">
        <v>133</v>
      </c>
      <c r="AE19" s="23" t="s">
        <v>11</v>
      </c>
      <c r="AF19" s="23" t="s">
        <v>11</v>
      </c>
      <c r="AG19" s="23" t="s">
        <v>11</v>
      </c>
      <c r="AH19" s="23" t="s">
        <v>11</v>
      </c>
      <c r="AI19" s="23" t="s">
        <v>11</v>
      </c>
      <c r="AJ19" s="23" t="s">
        <v>11</v>
      </c>
      <c r="AK19" s="23" t="s">
        <v>11</v>
      </c>
      <c r="AL19" s="23" t="s">
        <v>481</v>
      </c>
      <c r="AM19" s="23" t="s">
        <v>11</v>
      </c>
      <c r="AN19" s="23" t="s">
        <v>11</v>
      </c>
      <c r="AO19" s="23" t="s">
        <v>11</v>
      </c>
      <c r="AP19" s="23" t="s">
        <v>11</v>
      </c>
      <c r="AQ19" s="23" t="s">
        <v>11</v>
      </c>
      <c r="AR19" s="23" t="s">
        <v>11</v>
      </c>
      <c r="AS19" s="23" t="s">
        <v>11</v>
      </c>
      <c r="AT19" s="23" t="s">
        <v>11</v>
      </c>
      <c r="AU19" s="23" t="s">
        <v>11</v>
      </c>
      <c r="AV19" s="23" t="s">
        <v>11</v>
      </c>
      <c r="AW19" s="23" t="s">
        <v>11</v>
      </c>
      <c r="AX19" s="23" t="s">
        <v>11</v>
      </c>
      <c r="AY19" s="23" t="s">
        <v>11</v>
      </c>
      <c r="AZ19" s="23" t="s">
        <v>11</v>
      </c>
      <c r="BB19" s="29"/>
      <c r="BC19" s="25" t="s">
        <v>11</v>
      </c>
      <c r="BD19" s="25" t="s">
        <v>11</v>
      </c>
    </row>
    <row r="20" spans="1:56" x14ac:dyDescent="0.25">
      <c r="A20" s="13">
        <v>18</v>
      </c>
      <c r="B20" s="376"/>
      <c r="C20" s="14" t="s">
        <v>491</v>
      </c>
      <c r="D20" s="15" t="s">
        <v>11</v>
      </c>
      <c r="E20" s="15" t="s">
        <v>11</v>
      </c>
      <c r="F20" s="26"/>
      <c r="G20" s="27">
        <v>45458</v>
      </c>
      <c r="H20" s="27">
        <v>45458</v>
      </c>
      <c r="I20" s="27">
        <v>45463</v>
      </c>
      <c r="J20" s="27" t="s">
        <v>11</v>
      </c>
      <c r="K20" s="23" t="s">
        <v>11</v>
      </c>
      <c r="L20" s="23" t="s">
        <v>11</v>
      </c>
      <c r="M20" s="22">
        <v>45504</v>
      </c>
      <c r="N20" s="28" t="s">
        <v>11</v>
      </c>
      <c r="O20" s="33" t="s">
        <v>11</v>
      </c>
      <c r="P20" s="23" t="s">
        <v>11</v>
      </c>
      <c r="Q20" s="23" t="s">
        <v>11</v>
      </c>
      <c r="R20" s="23" t="s">
        <v>11</v>
      </c>
      <c r="S20" s="23" t="s">
        <v>11</v>
      </c>
      <c r="T20" s="23" t="s">
        <v>11</v>
      </c>
      <c r="U20" s="23" t="s">
        <v>11</v>
      </c>
      <c r="V20" s="23" t="s">
        <v>11</v>
      </c>
      <c r="W20" s="23" t="s">
        <v>11</v>
      </c>
      <c r="X20" s="23" t="s">
        <v>11</v>
      </c>
      <c r="Y20" s="23" t="s">
        <v>11</v>
      </c>
      <c r="Z20" s="23" t="s">
        <v>11</v>
      </c>
      <c r="AA20" s="23" t="s">
        <v>11</v>
      </c>
      <c r="AB20" s="23" t="s">
        <v>11</v>
      </c>
      <c r="AC20" s="23" t="s">
        <v>11</v>
      </c>
      <c r="AD20" s="23" t="s">
        <v>133</v>
      </c>
      <c r="AE20" s="23">
        <v>5500</v>
      </c>
      <c r="AF20" s="23">
        <v>6050</v>
      </c>
      <c r="AG20" s="23" t="s">
        <v>11</v>
      </c>
      <c r="AH20" s="23" t="s">
        <v>11</v>
      </c>
      <c r="AI20" s="23" t="s">
        <v>11</v>
      </c>
      <c r="AJ20" s="23" t="s">
        <v>11</v>
      </c>
      <c r="AK20" s="23" t="s">
        <v>11</v>
      </c>
      <c r="AL20" s="23" t="s">
        <v>11</v>
      </c>
      <c r="AM20" s="23" t="s">
        <v>11</v>
      </c>
      <c r="AN20" s="23" t="s">
        <v>11</v>
      </c>
      <c r="AO20" s="23" t="s">
        <v>11</v>
      </c>
      <c r="AP20" s="23" t="s">
        <v>11</v>
      </c>
      <c r="AQ20" s="23" t="s">
        <v>11</v>
      </c>
      <c r="AR20" s="23" t="s">
        <v>11</v>
      </c>
      <c r="AS20" s="23" t="s">
        <v>11</v>
      </c>
      <c r="AT20" s="23" t="s">
        <v>11</v>
      </c>
      <c r="AU20" s="23" t="s">
        <v>11</v>
      </c>
      <c r="AV20" s="23" t="s">
        <v>11</v>
      </c>
      <c r="AW20" s="23" t="s">
        <v>11</v>
      </c>
      <c r="AX20" s="23" t="s">
        <v>11</v>
      </c>
      <c r="AY20" s="23" t="s">
        <v>11</v>
      </c>
      <c r="AZ20" s="23" t="s">
        <v>11</v>
      </c>
      <c r="BB20" s="29"/>
      <c r="BC20" s="25" t="s">
        <v>11</v>
      </c>
      <c r="BD20" s="25" t="s">
        <v>11</v>
      </c>
    </row>
    <row r="21" spans="1:56" x14ac:dyDescent="0.25">
      <c r="A21" s="13">
        <v>19</v>
      </c>
      <c r="B21" s="376"/>
      <c r="C21" s="14" t="s">
        <v>492</v>
      </c>
      <c r="D21" s="15" t="s">
        <v>11</v>
      </c>
      <c r="E21" s="15" t="s">
        <v>11</v>
      </c>
      <c r="F21" s="26"/>
      <c r="G21" s="27">
        <v>45458</v>
      </c>
      <c r="H21" s="27">
        <v>45458</v>
      </c>
      <c r="I21" s="27">
        <v>45463</v>
      </c>
      <c r="J21" s="27" t="s">
        <v>11</v>
      </c>
      <c r="K21" s="23" t="s">
        <v>11</v>
      </c>
      <c r="L21" s="23" t="s">
        <v>11</v>
      </c>
      <c r="M21" s="22">
        <v>45504</v>
      </c>
      <c r="N21" s="28" t="s">
        <v>11</v>
      </c>
      <c r="O21" s="33" t="s">
        <v>11</v>
      </c>
      <c r="P21" s="23" t="s">
        <v>11</v>
      </c>
      <c r="Q21" s="23" t="s">
        <v>11</v>
      </c>
      <c r="R21" s="23" t="s">
        <v>11</v>
      </c>
      <c r="S21" s="23" t="s">
        <v>11</v>
      </c>
      <c r="T21" s="23" t="s">
        <v>11</v>
      </c>
      <c r="U21" s="23" t="s">
        <v>11</v>
      </c>
      <c r="V21" s="23" t="s">
        <v>11</v>
      </c>
      <c r="W21" s="23" t="s">
        <v>11</v>
      </c>
      <c r="X21" s="23" t="s">
        <v>11</v>
      </c>
      <c r="Y21" s="23" t="s">
        <v>11</v>
      </c>
      <c r="Z21" s="23" t="s">
        <v>11</v>
      </c>
      <c r="AA21" s="23" t="s">
        <v>11</v>
      </c>
      <c r="AB21" s="23" t="s">
        <v>11</v>
      </c>
      <c r="AC21" s="23" t="s">
        <v>11</v>
      </c>
      <c r="AD21" s="23" t="s">
        <v>133</v>
      </c>
      <c r="AE21" s="23">
        <v>15500</v>
      </c>
      <c r="AF21" s="23">
        <v>17050</v>
      </c>
      <c r="AG21" s="23" t="s">
        <v>11</v>
      </c>
      <c r="AH21" s="23" t="s">
        <v>11</v>
      </c>
      <c r="AI21" s="23" t="s">
        <v>11</v>
      </c>
      <c r="AJ21" s="23" t="s">
        <v>11</v>
      </c>
      <c r="AK21" s="23" t="s">
        <v>11</v>
      </c>
      <c r="AL21" s="23" t="s">
        <v>11</v>
      </c>
      <c r="AM21" s="23" t="s">
        <v>11</v>
      </c>
      <c r="AN21" s="23" t="s">
        <v>11</v>
      </c>
      <c r="AO21" s="23" t="s">
        <v>11</v>
      </c>
      <c r="AP21" s="23" t="s">
        <v>11</v>
      </c>
      <c r="AQ21" s="23" t="s">
        <v>11</v>
      </c>
      <c r="AR21" s="23" t="s">
        <v>11</v>
      </c>
      <c r="AS21" s="23" t="s">
        <v>11</v>
      </c>
      <c r="AT21" s="23" t="s">
        <v>11</v>
      </c>
      <c r="AU21" s="23" t="s">
        <v>11</v>
      </c>
      <c r="AV21" s="23" t="s">
        <v>11</v>
      </c>
      <c r="AW21" s="23" t="s">
        <v>11</v>
      </c>
      <c r="AX21" s="23" t="s">
        <v>11</v>
      </c>
      <c r="AY21" s="23" t="s">
        <v>11</v>
      </c>
      <c r="AZ21" s="23" t="s">
        <v>11</v>
      </c>
      <c r="BB21" s="29"/>
      <c r="BC21" s="25" t="s">
        <v>11</v>
      </c>
      <c r="BD21" s="25" t="s">
        <v>11</v>
      </c>
    </row>
    <row r="22" spans="1:56" x14ac:dyDescent="0.25">
      <c r="A22" s="13">
        <v>20</v>
      </c>
      <c r="B22" s="377"/>
      <c r="C22" s="14" t="s">
        <v>429</v>
      </c>
      <c r="D22" s="15" t="s">
        <v>423</v>
      </c>
      <c r="E22" s="15" t="s">
        <v>426</v>
      </c>
      <c r="F22" s="26" t="s">
        <v>136</v>
      </c>
      <c r="G22" s="27" t="s">
        <v>11</v>
      </c>
      <c r="H22" s="27" t="s">
        <v>11</v>
      </c>
      <c r="I22" s="27" t="s">
        <v>11</v>
      </c>
      <c r="J22" s="27" t="s">
        <v>11</v>
      </c>
      <c r="K22" s="23" t="s">
        <v>140</v>
      </c>
      <c r="L22" s="21">
        <v>45426</v>
      </c>
      <c r="M22" s="22" t="s">
        <v>209</v>
      </c>
      <c r="N22" s="33" t="s">
        <v>11</v>
      </c>
      <c r="O22" s="23" t="s">
        <v>147</v>
      </c>
      <c r="P22" s="23" t="s">
        <v>140</v>
      </c>
      <c r="Q22" s="23" t="s">
        <v>140</v>
      </c>
      <c r="R22" s="23" t="s">
        <v>140</v>
      </c>
      <c r="S22" s="23" t="s">
        <v>140</v>
      </c>
      <c r="T22" s="23" t="s">
        <v>11</v>
      </c>
      <c r="U22" s="23" t="s">
        <v>11</v>
      </c>
      <c r="V22" s="23" t="s">
        <v>177</v>
      </c>
      <c r="W22" s="23" t="s">
        <v>140</v>
      </c>
      <c r="X22" s="23" t="s">
        <v>140</v>
      </c>
      <c r="Y22" s="23" t="s">
        <v>11</v>
      </c>
      <c r="Z22" s="23" t="s">
        <v>11</v>
      </c>
      <c r="AA22" s="23" t="s">
        <v>11</v>
      </c>
      <c r="AB22" s="23" t="s">
        <v>133</v>
      </c>
      <c r="AC22" s="23" t="s">
        <v>133</v>
      </c>
      <c r="AE22" s="23">
        <v>40000</v>
      </c>
      <c r="AF22" s="23">
        <v>40000</v>
      </c>
      <c r="AG22" s="23" t="s">
        <v>147</v>
      </c>
      <c r="AH22" s="23" t="s">
        <v>148</v>
      </c>
      <c r="AI22" s="23"/>
      <c r="AJ22" s="23"/>
      <c r="AK22" s="23"/>
      <c r="AL22" s="23"/>
      <c r="AM22" s="23"/>
      <c r="AN22" s="23"/>
      <c r="AO22" s="23"/>
      <c r="AP22" s="23"/>
      <c r="AQ22" s="23"/>
      <c r="AR22" s="23"/>
      <c r="AS22" s="23"/>
      <c r="AT22" s="23"/>
      <c r="AU22" s="23"/>
      <c r="AV22" s="23"/>
      <c r="AW22" s="23"/>
      <c r="AX22" s="23"/>
      <c r="AY22" s="23"/>
      <c r="AZ22" s="23"/>
      <c r="BB22" s="29"/>
      <c r="BC22" s="25" t="s">
        <v>493</v>
      </c>
      <c r="BD22" s="25" t="s">
        <v>493</v>
      </c>
    </row>
    <row r="23" spans="1:56" x14ac:dyDescent="0.25">
      <c r="A23" s="13">
        <f>A22+1</f>
        <v>21</v>
      </c>
      <c r="B23" s="375" t="s">
        <v>367</v>
      </c>
      <c r="C23" s="14" t="s">
        <v>321</v>
      </c>
      <c r="D23" s="15" t="s">
        <v>412</v>
      </c>
      <c r="E23" s="15" t="s">
        <v>426</v>
      </c>
      <c r="F23" s="16" t="s">
        <v>347</v>
      </c>
      <c r="G23" s="30">
        <v>45399</v>
      </c>
      <c r="H23" s="31">
        <v>45404</v>
      </c>
      <c r="I23" s="31">
        <v>45407</v>
      </c>
      <c r="J23" s="32">
        <v>45412</v>
      </c>
      <c r="K23" s="20" t="s">
        <v>140</v>
      </c>
      <c r="L23" s="43">
        <v>45411</v>
      </c>
      <c r="M23" s="44" t="s">
        <v>494</v>
      </c>
      <c r="N23" s="23" t="s">
        <v>140</v>
      </c>
      <c r="O23" s="23" t="s">
        <v>140</v>
      </c>
      <c r="P23" s="23" t="s">
        <v>140</v>
      </c>
      <c r="Q23" s="23" t="s">
        <v>140</v>
      </c>
      <c r="R23" s="23" t="s">
        <v>11</v>
      </c>
      <c r="S23" s="23" t="s">
        <v>140</v>
      </c>
      <c r="T23" s="23" t="s">
        <v>11</v>
      </c>
      <c r="U23" s="23" t="s">
        <v>11</v>
      </c>
      <c r="V23" s="23" t="s">
        <v>140</v>
      </c>
      <c r="W23" s="23" t="s">
        <v>140</v>
      </c>
      <c r="X23" s="23" t="s">
        <v>140</v>
      </c>
      <c r="Y23" s="23" t="s">
        <v>11</v>
      </c>
      <c r="Z23" s="23" t="s">
        <v>140</v>
      </c>
      <c r="AA23" s="23" t="s">
        <v>11</v>
      </c>
      <c r="AB23" s="24" t="s">
        <v>495</v>
      </c>
      <c r="AC23" s="24">
        <v>28464155.530000001</v>
      </c>
      <c r="AE23" s="24">
        <f>73500+24500</f>
        <v>98000</v>
      </c>
      <c r="AF23" s="24">
        <f>80900+27000</f>
        <v>107900</v>
      </c>
      <c r="AG23" s="24" t="s">
        <v>140</v>
      </c>
      <c r="AH23" s="24" t="s">
        <v>140</v>
      </c>
      <c r="AI23" s="24">
        <v>13500</v>
      </c>
      <c r="AJ23" s="23" t="s">
        <v>140</v>
      </c>
      <c r="AK23" s="23" t="s">
        <v>140</v>
      </c>
      <c r="AL23" s="23" t="s">
        <v>140</v>
      </c>
      <c r="AM23" s="23" t="s">
        <v>11</v>
      </c>
      <c r="AN23" s="23" t="s">
        <v>11</v>
      </c>
      <c r="AO23" s="23" t="s">
        <v>140</v>
      </c>
      <c r="AP23" s="23" t="s">
        <v>11</v>
      </c>
      <c r="AQ23" s="23" t="s">
        <v>11</v>
      </c>
      <c r="AR23" s="23" t="s">
        <v>140</v>
      </c>
      <c r="AS23" s="23" t="s">
        <v>140</v>
      </c>
      <c r="AT23" s="23" t="s">
        <v>140</v>
      </c>
      <c r="AU23" s="23" t="s">
        <v>11</v>
      </c>
      <c r="AV23" s="23" t="s">
        <v>11</v>
      </c>
      <c r="AW23" s="23" t="s">
        <v>11</v>
      </c>
      <c r="AX23" s="23" t="s">
        <v>140</v>
      </c>
      <c r="AY23" s="23" t="s">
        <v>140</v>
      </c>
      <c r="AZ23" s="23" t="s">
        <v>140</v>
      </c>
      <c r="BB23" s="25" t="s">
        <v>496</v>
      </c>
      <c r="BC23" s="25" t="s">
        <v>138</v>
      </c>
      <c r="BD23" s="25" t="s">
        <v>138</v>
      </c>
    </row>
    <row r="24" spans="1:56" x14ac:dyDescent="0.25">
      <c r="A24" s="13">
        <f t="shared" si="0"/>
        <v>22</v>
      </c>
      <c r="B24" s="376"/>
      <c r="C24" s="14" t="s">
        <v>327</v>
      </c>
      <c r="D24" s="15" t="s">
        <v>416</v>
      </c>
      <c r="E24" s="15" t="s">
        <v>413</v>
      </c>
      <c r="F24" s="16" t="s">
        <v>369</v>
      </c>
      <c r="G24" s="30">
        <v>45397</v>
      </c>
      <c r="H24" s="31">
        <v>45407</v>
      </c>
      <c r="I24" s="31">
        <v>45419</v>
      </c>
      <c r="J24" s="32">
        <v>45427</v>
      </c>
      <c r="K24" s="20" t="s">
        <v>140</v>
      </c>
      <c r="L24" s="21">
        <v>45427</v>
      </c>
      <c r="M24" s="22" t="s">
        <v>494</v>
      </c>
      <c r="N24" s="23" t="s">
        <v>140</v>
      </c>
      <c r="O24" s="23" t="s">
        <v>140</v>
      </c>
      <c r="P24" s="23" t="s">
        <v>140</v>
      </c>
      <c r="Q24" s="23" t="s">
        <v>140</v>
      </c>
      <c r="R24" s="23" t="s">
        <v>11</v>
      </c>
      <c r="S24" s="23" t="s">
        <v>140</v>
      </c>
      <c r="T24" s="23" t="s">
        <v>11</v>
      </c>
      <c r="U24" s="23" t="s">
        <v>11</v>
      </c>
      <c r="V24" s="23" t="s">
        <v>140</v>
      </c>
      <c r="W24" s="23" t="s">
        <v>11</v>
      </c>
      <c r="X24" s="23" t="s">
        <v>11</v>
      </c>
      <c r="Y24" s="23" t="s">
        <v>140</v>
      </c>
      <c r="Z24" s="23" t="s">
        <v>140</v>
      </c>
      <c r="AA24" s="23" t="s">
        <v>140</v>
      </c>
      <c r="AB24" s="24">
        <v>3404327</v>
      </c>
      <c r="AC24" s="45">
        <v>66630989.57</v>
      </c>
      <c r="AE24" s="24">
        <v>50000</v>
      </c>
      <c r="AF24" s="24">
        <v>99000</v>
      </c>
      <c r="AG24" s="24" t="s">
        <v>140</v>
      </c>
      <c r="AH24" s="24" t="s">
        <v>140</v>
      </c>
      <c r="AI24" s="24">
        <v>11000</v>
      </c>
      <c r="AJ24" s="23" t="s">
        <v>140</v>
      </c>
      <c r="AK24" s="23" t="s">
        <v>140</v>
      </c>
      <c r="AL24" s="23" t="s">
        <v>481</v>
      </c>
      <c r="AM24" s="23" t="s">
        <v>481</v>
      </c>
      <c r="AN24" s="23" t="s">
        <v>481</v>
      </c>
      <c r="AO24" s="23" t="s">
        <v>140</v>
      </c>
      <c r="AP24" s="23" t="s">
        <v>481</v>
      </c>
      <c r="AQ24" s="23" t="s">
        <v>481</v>
      </c>
      <c r="AR24" s="23" t="s">
        <v>140</v>
      </c>
      <c r="AS24" s="23" t="s">
        <v>140</v>
      </c>
      <c r="AT24" s="23" t="s">
        <v>140</v>
      </c>
      <c r="AU24" s="23" t="s">
        <v>140</v>
      </c>
      <c r="AV24" s="23" t="s">
        <v>140</v>
      </c>
      <c r="AW24" s="23" t="s">
        <v>140</v>
      </c>
      <c r="AX24" s="23" t="s">
        <v>140</v>
      </c>
      <c r="AY24" s="23" t="s">
        <v>140</v>
      </c>
      <c r="AZ24" s="23" t="s">
        <v>140</v>
      </c>
      <c r="BB24" s="25" t="s">
        <v>11</v>
      </c>
      <c r="BC24" s="25" t="s">
        <v>11</v>
      </c>
      <c r="BD24" s="25" t="s">
        <v>11</v>
      </c>
    </row>
    <row r="25" spans="1:56" x14ac:dyDescent="0.25">
      <c r="A25" s="13">
        <f t="shared" si="0"/>
        <v>23</v>
      </c>
      <c r="B25" s="376"/>
      <c r="C25" s="14" t="s">
        <v>330</v>
      </c>
      <c r="D25" s="15" t="s">
        <v>416</v>
      </c>
      <c r="E25" s="15" t="s">
        <v>417</v>
      </c>
      <c r="F25" s="16" t="s">
        <v>430</v>
      </c>
      <c r="G25" s="30">
        <v>45379</v>
      </c>
      <c r="H25" s="31">
        <v>45386</v>
      </c>
      <c r="I25" s="31">
        <v>45388</v>
      </c>
      <c r="J25" s="32">
        <v>45392</v>
      </c>
      <c r="K25" s="20" t="s">
        <v>140</v>
      </c>
      <c r="L25" s="43">
        <v>45392</v>
      </c>
      <c r="M25" s="44" t="s">
        <v>494</v>
      </c>
      <c r="N25" s="23" t="s">
        <v>140</v>
      </c>
      <c r="O25" s="23" t="s">
        <v>140</v>
      </c>
      <c r="P25" s="23" t="s">
        <v>140</v>
      </c>
      <c r="Q25" s="23" t="s">
        <v>140</v>
      </c>
      <c r="R25" s="23" t="s">
        <v>11</v>
      </c>
      <c r="S25" s="23" t="s">
        <v>140</v>
      </c>
      <c r="T25" s="23" t="s">
        <v>140</v>
      </c>
      <c r="U25" s="23" t="s">
        <v>140</v>
      </c>
      <c r="V25" s="23" t="s">
        <v>140</v>
      </c>
      <c r="W25" s="23" t="s">
        <v>140</v>
      </c>
      <c r="X25" s="23" t="s">
        <v>140</v>
      </c>
      <c r="Y25" s="23" t="s">
        <v>11</v>
      </c>
      <c r="Z25" s="23" t="s">
        <v>140</v>
      </c>
      <c r="AA25" s="23" t="s">
        <v>140</v>
      </c>
      <c r="AB25" s="24">
        <v>176480731</v>
      </c>
      <c r="AC25" s="24">
        <v>177992406</v>
      </c>
      <c r="AE25" s="24">
        <v>133100</v>
      </c>
      <c r="AF25" s="24">
        <v>146410</v>
      </c>
      <c r="AG25" s="24" t="s">
        <v>140</v>
      </c>
      <c r="AH25" s="24" t="s">
        <v>140</v>
      </c>
      <c r="AI25" s="24">
        <v>21956</v>
      </c>
      <c r="AJ25" s="23" t="s">
        <v>140</v>
      </c>
      <c r="AK25" s="23" t="s">
        <v>140</v>
      </c>
      <c r="AL25" s="23" t="s">
        <v>481</v>
      </c>
      <c r="AM25" s="23" t="s">
        <v>481</v>
      </c>
      <c r="AN25" s="23" t="s">
        <v>481</v>
      </c>
      <c r="AO25" s="23" t="s">
        <v>140</v>
      </c>
      <c r="AP25" s="23" t="s">
        <v>481</v>
      </c>
      <c r="AQ25" s="23" t="s">
        <v>481</v>
      </c>
      <c r="AR25" s="23" t="s">
        <v>140</v>
      </c>
      <c r="AS25" s="23" t="s">
        <v>140</v>
      </c>
      <c r="AT25" s="23" t="s">
        <v>140</v>
      </c>
      <c r="AU25" s="23" t="s">
        <v>140</v>
      </c>
      <c r="AV25" s="23" t="s">
        <v>140</v>
      </c>
      <c r="AW25" s="23" t="s">
        <v>140</v>
      </c>
      <c r="AX25" s="23" t="s">
        <v>140</v>
      </c>
      <c r="AY25" s="23" t="s">
        <v>140</v>
      </c>
      <c r="AZ25" s="23" t="s">
        <v>140</v>
      </c>
      <c r="BB25" s="25"/>
      <c r="BC25" s="25" t="s">
        <v>138</v>
      </c>
      <c r="BD25" s="25" t="s">
        <v>138</v>
      </c>
    </row>
    <row r="26" spans="1:56" x14ac:dyDescent="0.25">
      <c r="A26" s="13">
        <f t="shared" si="0"/>
        <v>24</v>
      </c>
      <c r="B26" s="376"/>
      <c r="C26" s="14" t="s">
        <v>431</v>
      </c>
      <c r="D26" s="15" t="s">
        <v>11</v>
      </c>
      <c r="E26" s="15" t="s">
        <v>11</v>
      </c>
      <c r="F26" s="16" t="s">
        <v>347</v>
      </c>
      <c r="G26" s="46">
        <v>45397</v>
      </c>
      <c r="H26" s="47">
        <v>45407</v>
      </c>
      <c r="I26" s="47">
        <v>45412</v>
      </c>
      <c r="J26" s="32">
        <v>45498</v>
      </c>
      <c r="K26" s="20" t="s">
        <v>140</v>
      </c>
      <c r="L26" s="23" t="s">
        <v>497</v>
      </c>
      <c r="M26" s="28" t="s">
        <v>494</v>
      </c>
      <c r="N26" s="23" t="s">
        <v>140</v>
      </c>
      <c r="O26" s="23" t="s">
        <v>140</v>
      </c>
      <c r="P26" s="23" t="s">
        <v>140</v>
      </c>
      <c r="Q26" s="23" t="s">
        <v>148</v>
      </c>
      <c r="R26" s="23" t="s">
        <v>11</v>
      </c>
      <c r="S26" s="23" t="s">
        <v>140</v>
      </c>
      <c r="T26" s="23" t="s">
        <v>11</v>
      </c>
      <c r="U26" s="23" t="s">
        <v>11</v>
      </c>
      <c r="V26" s="23" t="s">
        <v>11</v>
      </c>
      <c r="W26" s="23" t="s">
        <v>11</v>
      </c>
      <c r="X26" s="23" t="s">
        <v>11</v>
      </c>
      <c r="Y26" s="23" t="s">
        <v>11</v>
      </c>
      <c r="Z26" s="23" t="s">
        <v>11</v>
      </c>
      <c r="AA26" s="23" t="s">
        <v>11</v>
      </c>
      <c r="AB26" s="24">
        <v>3393450</v>
      </c>
      <c r="AC26" s="24">
        <v>0</v>
      </c>
      <c r="AE26" s="48" t="s">
        <v>11</v>
      </c>
      <c r="AF26" s="24">
        <v>30000</v>
      </c>
      <c r="AG26" s="24" t="s">
        <v>140</v>
      </c>
      <c r="AH26" s="24" t="s">
        <v>140</v>
      </c>
      <c r="AI26" s="23" t="s">
        <v>11</v>
      </c>
      <c r="AJ26" s="23" t="s">
        <v>11</v>
      </c>
      <c r="AK26" s="23" t="s">
        <v>11</v>
      </c>
      <c r="AL26" s="23" t="s">
        <v>481</v>
      </c>
      <c r="AM26" s="23" t="s">
        <v>481</v>
      </c>
      <c r="AN26" s="23" t="s">
        <v>481</v>
      </c>
      <c r="AO26" s="23" t="s">
        <v>11</v>
      </c>
      <c r="AP26" s="23" t="s">
        <v>481</v>
      </c>
      <c r="AQ26" s="23" t="s">
        <v>481</v>
      </c>
      <c r="AR26" s="23" t="s">
        <v>11</v>
      </c>
      <c r="AS26" s="23" t="s">
        <v>11</v>
      </c>
      <c r="AT26" s="23" t="s">
        <v>11</v>
      </c>
      <c r="AU26" s="23" t="s">
        <v>11</v>
      </c>
      <c r="AV26" s="23" t="s">
        <v>11</v>
      </c>
      <c r="AW26" s="23" t="s">
        <v>11</v>
      </c>
      <c r="AX26" s="23" t="s">
        <v>11</v>
      </c>
      <c r="AY26" s="23" t="s">
        <v>11</v>
      </c>
      <c r="AZ26" s="23" t="s">
        <v>11</v>
      </c>
      <c r="BB26" s="49"/>
      <c r="BC26" s="29" t="s">
        <v>147</v>
      </c>
      <c r="BD26" s="25" t="s">
        <v>138</v>
      </c>
    </row>
    <row r="27" spans="1:56" x14ac:dyDescent="0.25">
      <c r="A27" s="13">
        <v>25</v>
      </c>
      <c r="B27" s="376"/>
      <c r="C27" s="14" t="s">
        <v>432</v>
      </c>
      <c r="D27" s="15" t="s">
        <v>416</v>
      </c>
      <c r="E27" s="15" t="s">
        <v>413</v>
      </c>
      <c r="F27" s="26" t="s">
        <v>433</v>
      </c>
      <c r="G27" s="50"/>
      <c r="H27" s="20" t="s">
        <v>498</v>
      </c>
      <c r="I27" s="20" t="s">
        <v>498</v>
      </c>
      <c r="J27" s="32">
        <v>45504</v>
      </c>
      <c r="K27" s="20" t="s">
        <v>140</v>
      </c>
      <c r="L27" s="23" t="s">
        <v>499</v>
      </c>
      <c r="M27" s="28" t="s">
        <v>148</v>
      </c>
      <c r="N27" s="23" t="s">
        <v>140</v>
      </c>
      <c r="O27" s="23" t="s">
        <v>140</v>
      </c>
      <c r="P27" s="23" t="s">
        <v>140</v>
      </c>
      <c r="Q27" s="23" t="s">
        <v>140</v>
      </c>
      <c r="R27" s="23" t="s">
        <v>11</v>
      </c>
      <c r="S27" s="23" t="s">
        <v>140</v>
      </c>
      <c r="T27" s="23" t="s">
        <v>140</v>
      </c>
      <c r="U27" s="23" t="s">
        <v>140</v>
      </c>
      <c r="V27" s="23" t="s">
        <v>140</v>
      </c>
      <c r="W27" s="23" t="s">
        <v>140</v>
      </c>
      <c r="X27" s="23" t="s">
        <v>140</v>
      </c>
      <c r="Y27" s="23" t="s">
        <v>11</v>
      </c>
      <c r="Z27" s="23" t="s">
        <v>140</v>
      </c>
      <c r="AA27" s="23" t="s">
        <v>140</v>
      </c>
      <c r="AB27" s="24">
        <v>947771436.60000002</v>
      </c>
      <c r="AC27" s="24"/>
      <c r="AE27" s="51">
        <v>500000</v>
      </c>
      <c r="AF27" s="51">
        <f>AE27*1.1</f>
        <v>550000</v>
      </c>
      <c r="AG27" s="24" t="s">
        <v>140</v>
      </c>
      <c r="AH27" s="24" t="s">
        <v>148</v>
      </c>
      <c r="AI27" s="48" t="s">
        <v>11</v>
      </c>
      <c r="AJ27" s="23" t="s">
        <v>140</v>
      </c>
      <c r="AK27" s="23" t="s">
        <v>140</v>
      </c>
      <c r="AL27" s="23" t="s">
        <v>481</v>
      </c>
      <c r="AM27" s="23" t="s">
        <v>481</v>
      </c>
      <c r="AN27" s="23" t="s">
        <v>481</v>
      </c>
      <c r="AO27" s="23" t="s">
        <v>11</v>
      </c>
      <c r="AP27" s="23" t="s">
        <v>481</v>
      </c>
      <c r="AQ27" s="23" t="s">
        <v>481</v>
      </c>
      <c r="AR27" s="23" t="s">
        <v>11</v>
      </c>
      <c r="AS27" s="23" t="s">
        <v>11</v>
      </c>
      <c r="AT27" s="23" t="s">
        <v>11</v>
      </c>
      <c r="AU27" s="23" t="s">
        <v>140</v>
      </c>
      <c r="AV27" s="23" t="s">
        <v>140</v>
      </c>
      <c r="AW27" s="23" t="s">
        <v>500</v>
      </c>
      <c r="AX27" s="23" t="s">
        <v>500</v>
      </c>
      <c r="AY27" s="23" t="s">
        <v>500</v>
      </c>
      <c r="AZ27" s="23" t="s">
        <v>500</v>
      </c>
      <c r="BB27" s="52"/>
      <c r="BC27" s="29" t="s">
        <v>147</v>
      </c>
      <c r="BD27" s="29" t="s">
        <v>138</v>
      </c>
    </row>
    <row r="28" spans="1:56" x14ac:dyDescent="0.25">
      <c r="A28" s="13">
        <v>26</v>
      </c>
      <c r="B28" s="376"/>
      <c r="C28" s="14" t="s">
        <v>305</v>
      </c>
      <c r="D28" s="15" t="s">
        <v>416</v>
      </c>
      <c r="E28" s="15" t="s">
        <v>413</v>
      </c>
      <c r="F28" s="16" t="s">
        <v>369</v>
      </c>
      <c r="G28" s="46">
        <v>45397</v>
      </c>
      <c r="H28" s="47">
        <v>45407</v>
      </c>
      <c r="I28" s="47">
        <v>45412</v>
      </c>
      <c r="J28" s="32">
        <v>45443</v>
      </c>
      <c r="K28" s="20" t="s">
        <v>140</v>
      </c>
      <c r="L28" s="43">
        <v>45444</v>
      </c>
      <c r="M28" s="22" t="s">
        <v>494</v>
      </c>
      <c r="N28" s="23" t="s">
        <v>140</v>
      </c>
      <c r="O28" s="23" t="s">
        <v>140</v>
      </c>
      <c r="P28" s="23" t="s">
        <v>140</v>
      </c>
      <c r="Q28" s="23" t="s">
        <v>11</v>
      </c>
      <c r="R28" s="23" t="s">
        <v>11</v>
      </c>
      <c r="S28" s="23" t="s">
        <v>140</v>
      </c>
      <c r="T28" s="23" t="s">
        <v>11</v>
      </c>
      <c r="U28" s="23" t="s">
        <v>11</v>
      </c>
      <c r="V28" s="23" t="s">
        <v>11</v>
      </c>
      <c r="W28" s="23" t="s">
        <v>140</v>
      </c>
      <c r="X28" s="23" t="s">
        <v>140</v>
      </c>
      <c r="Y28" s="23" t="s">
        <v>11</v>
      </c>
      <c r="Z28" s="23" t="s">
        <v>11</v>
      </c>
      <c r="AA28" s="23" t="s">
        <v>11</v>
      </c>
      <c r="AB28" s="24">
        <v>0</v>
      </c>
      <c r="AC28" s="24">
        <v>0</v>
      </c>
      <c r="AE28" s="48" t="s">
        <v>11</v>
      </c>
      <c r="AF28" s="24">
        <f>80000+25000+10000</f>
        <v>115000</v>
      </c>
      <c r="AG28" s="24" t="s">
        <v>140</v>
      </c>
      <c r="AH28" s="24" t="s">
        <v>140</v>
      </c>
      <c r="AI28" s="24">
        <v>20000</v>
      </c>
      <c r="AJ28" s="23" t="s">
        <v>140</v>
      </c>
      <c r="AK28" s="23" t="s">
        <v>140</v>
      </c>
      <c r="AL28" s="23" t="s">
        <v>140</v>
      </c>
      <c r="AM28" s="23" t="s">
        <v>481</v>
      </c>
      <c r="AN28" s="23" t="s">
        <v>481</v>
      </c>
      <c r="AO28" s="23" t="s">
        <v>140</v>
      </c>
      <c r="AP28" s="23" t="s">
        <v>481</v>
      </c>
      <c r="AQ28" s="23" t="s">
        <v>481</v>
      </c>
      <c r="AR28" s="23" t="s">
        <v>11</v>
      </c>
      <c r="AS28" s="23" t="s">
        <v>11</v>
      </c>
      <c r="AT28" s="23" t="s">
        <v>11</v>
      </c>
      <c r="AU28" s="23" t="s">
        <v>11</v>
      </c>
      <c r="AV28" s="23" t="s">
        <v>11</v>
      </c>
      <c r="AW28" s="23" t="s">
        <v>11</v>
      </c>
      <c r="AX28" s="23" t="s">
        <v>11</v>
      </c>
      <c r="AY28" s="23" t="s">
        <v>11</v>
      </c>
      <c r="AZ28" s="23" t="s">
        <v>11</v>
      </c>
      <c r="BB28" s="49"/>
      <c r="BC28" s="49" t="s">
        <v>138</v>
      </c>
      <c r="BD28" s="49" t="s">
        <v>138</v>
      </c>
    </row>
    <row r="29" spans="1:56" x14ac:dyDescent="0.25">
      <c r="A29" s="13">
        <v>27</v>
      </c>
      <c r="B29" s="376"/>
      <c r="C29" s="14" t="s">
        <v>365</v>
      </c>
      <c r="D29" s="15" t="s">
        <v>416</v>
      </c>
      <c r="E29" s="15" t="s">
        <v>434</v>
      </c>
      <c r="F29" s="16" t="s">
        <v>369</v>
      </c>
      <c r="G29" s="30">
        <v>45397</v>
      </c>
      <c r="H29" s="31">
        <v>45407</v>
      </c>
      <c r="I29" s="31">
        <v>45419</v>
      </c>
      <c r="J29" s="32">
        <v>45427</v>
      </c>
      <c r="K29" s="20" t="s">
        <v>140</v>
      </c>
      <c r="L29" s="21">
        <v>45429</v>
      </c>
      <c r="M29" s="22" t="s">
        <v>494</v>
      </c>
      <c r="N29" s="23" t="s">
        <v>140</v>
      </c>
      <c r="O29" s="23" t="s">
        <v>140</v>
      </c>
      <c r="P29" s="23" t="s">
        <v>140</v>
      </c>
      <c r="Q29" s="23" t="s">
        <v>11</v>
      </c>
      <c r="R29" s="23" t="s">
        <v>11</v>
      </c>
      <c r="S29" s="23" t="s">
        <v>140</v>
      </c>
      <c r="T29" s="23" t="s">
        <v>11</v>
      </c>
      <c r="U29" s="23" t="s">
        <v>11</v>
      </c>
      <c r="V29" s="23" t="s">
        <v>11</v>
      </c>
      <c r="W29" s="23" t="s">
        <v>11</v>
      </c>
      <c r="X29" s="23" t="s">
        <v>11</v>
      </c>
      <c r="Y29" s="23" t="s">
        <v>140</v>
      </c>
      <c r="Z29" s="23" t="s">
        <v>11</v>
      </c>
      <c r="AA29" s="23" t="s">
        <v>11</v>
      </c>
      <c r="AB29" s="24">
        <v>40835761.729999997</v>
      </c>
      <c r="AC29" s="24">
        <v>0</v>
      </c>
      <c r="AE29" s="24">
        <v>70000</v>
      </c>
      <c r="AF29" s="48" t="s">
        <v>11</v>
      </c>
      <c r="AG29" s="24" t="s">
        <v>11</v>
      </c>
      <c r="AH29" s="24" t="s">
        <v>11</v>
      </c>
      <c r="AI29" s="48" t="s">
        <v>501</v>
      </c>
      <c r="AJ29" s="23" t="s">
        <v>11</v>
      </c>
      <c r="AK29" s="23" t="s">
        <v>11</v>
      </c>
      <c r="AL29" s="23" t="s">
        <v>481</v>
      </c>
      <c r="AM29" s="23" t="s">
        <v>481</v>
      </c>
      <c r="AN29" s="23" t="s">
        <v>481</v>
      </c>
      <c r="AO29" s="23" t="s">
        <v>140</v>
      </c>
      <c r="AP29" s="23" t="s">
        <v>481</v>
      </c>
      <c r="AQ29" s="23" t="s">
        <v>481</v>
      </c>
      <c r="AR29" s="23" t="s">
        <v>11</v>
      </c>
      <c r="AS29" s="23" t="s">
        <v>11</v>
      </c>
      <c r="AT29" s="23" t="s">
        <v>11</v>
      </c>
      <c r="AU29" s="23" t="s">
        <v>11</v>
      </c>
      <c r="AV29" s="23" t="s">
        <v>11</v>
      </c>
      <c r="AW29" s="23" t="s">
        <v>11</v>
      </c>
      <c r="AX29" s="23" t="s">
        <v>11</v>
      </c>
      <c r="AY29" s="23" t="s">
        <v>11</v>
      </c>
      <c r="AZ29" s="23" t="s">
        <v>11</v>
      </c>
      <c r="BB29" s="25" t="s">
        <v>11</v>
      </c>
      <c r="BC29" s="25" t="s">
        <v>11</v>
      </c>
      <c r="BD29" s="25" t="s">
        <v>11</v>
      </c>
    </row>
    <row r="30" spans="1:56" x14ac:dyDescent="0.25">
      <c r="A30" s="13">
        <v>28</v>
      </c>
      <c r="B30" s="376"/>
      <c r="C30" s="14" t="s">
        <v>345</v>
      </c>
      <c r="D30" s="15" t="s">
        <v>423</v>
      </c>
      <c r="E30" s="15" t="s">
        <v>11</v>
      </c>
      <c r="F30" s="16" t="s">
        <v>347</v>
      </c>
      <c r="G30" s="46">
        <v>45397</v>
      </c>
      <c r="H30" s="47">
        <v>45407</v>
      </c>
      <c r="I30" s="47">
        <v>45412</v>
      </c>
      <c r="J30" s="32">
        <v>45498</v>
      </c>
      <c r="K30" s="20" t="s">
        <v>140</v>
      </c>
      <c r="L30" s="23" t="s">
        <v>502</v>
      </c>
      <c r="M30" s="28" t="s">
        <v>494</v>
      </c>
      <c r="N30" s="23" t="s">
        <v>140</v>
      </c>
      <c r="O30" s="23" t="s">
        <v>140</v>
      </c>
      <c r="P30" s="23" t="s">
        <v>140</v>
      </c>
      <c r="Q30" s="23" t="s">
        <v>140</v>
      </c>
      <c r="R30" s="23" t="s">
        <v>11</v>
      </c>
      <c r="S30" s="23" t="s">
        <v>140</v>
      </c>
      <c r="T30" s="23" t="s">
        <v>11</v>
      </c>
      <c r="U30" s="23" t="s">
        <v>11</v>
      </c>
      <c r="V30" s="23" t="s">
        <v>140</v>
      </c>
      <c r="W30" s="23" t="s">
        <v>11</v>
      </c>
      <c r="X30" s="23" t="s">
        <v>11</v>
      </c>
      <c r="Y30" s="23" t="s">
        <v>11</v>
      </c>
      <c r="Z30" s="23" t="s">
        <v>11</v>
      </c>
      <c r="AA30" s="23" t="s">
        <v>11</v>
      </c>
      <c r="AB30" s="24">
        <v>0</v>
      </c>
      <c r="AC30" s="45">
        <v>24332312</v>
      </c>
      <c r="AE30" s="48" t="s">
        <v>11</v>
      </c>
      <c r="AF30" s="24">
        <f t="shared" ref="AF30:AF31" si="1">80000+45000</f>
        <v>125000</v>
      </c>
      <c r="AG30" s="24" t="s">
        <v>140</v>
      </c>
      <c r="AH30" s="24" t="s">
        <v>140</v>
      </c>
      <c r="AI30" s="24">
        <v>0</v>
      </c>
      <c r="AJ30" s="23" t="s">
        <v>11</v>
      </c>
      <c r="AK30" s="23" t="s">
        <v>11</v>
      </c>
      <c r="AL30" s="23" t="s">
        <v>481</v>
      </c>
      <c r="AM30" s="23" t="s">
        <v>481</v>
      </c>
      <c r="AN30" s="23" t="s">
        <v>481</v>
      </c>
      <c r="AO30" s="23" t="s">
        <v>11</v>
      </c>
      <c r="AP30" s="23" t="s">
        <v>481</v>
      </c>
      <c r="AQ30" s="23" t="s">
        <v>481</v>
      </c>
      <c r="AR30" s="23" t="s">
        <v>11</v>
      </c>
      <c r="AS30" s="23" t="s">
        <v>11</v>
      </c>
      <c r="AT30" s="23" t="s">
        <v>11</v>
      </c>
      <c r="AU30" s="23" t="s">
        <v>11</v>
      </c>
      <c r="AV30" s="23" t="s">
        <v>11</v>
      </c>
      <c r="AW30" s="23" t="s">
        <v>11</v>
      </c>
      <c r="AX30" s="23" t="s">
        <v>140</v>
      </c>
      <c r="AY30" s="23" t="s">
        <v>140</v>
      </c>
      <c r="AZ30" s="23" t="s">
        <v>140</v>
      </c>
      <c r="BB30" s="49"/>
      <c r="BC30" s="29" t="s">
        <v>147</v>
      </c>
      <c r="BD30" s="49" t="s">
        <v>138</v>
      </c>
    </row>
    <row r="31" spans="1:56" x14ac:dyDescent="0.25">
      <c r="A31" s="13">
        <f t="shared" si="0"/>
        <v>29</v>
      </c>
      <c r="B31" s="377"/>
      <c r="C31" s="14" t="s">
        <v>449</v>
      </c>
      <c r="D31" s="15" t="s">
        <v>416</v>
      </c>
      <c r="E31" s="15" t="s">
        <v>413</v>
      </c>
      <c r="F31" s="16" t="s">
        <v>430</v>
      </c>
      <c r="G31" s="30">
        <v>45402</v>
      </c>
      <c r="H31" s="31">
        <v>45405</v>
      </c>
      <c r="I31" s="31">
        <v>45409</v>
      </c>
      <c r="J31" s="32">
        <v>45412</v>
      </c>
      <c r="K31" s="20" t="s">
        <v>140</v>
      </c>
      <c r="L31" s="43">
        <v>45405</v>
      </c>
      <c r="M31" s="44" t="s">
        <v>494</v>
      </c>
      <c r="N31" s="23" t="s">
        <v>140</v>
      </c>
      <c r="O31" s="23" t="s">
        <v>140</v>
      </c>
      <c r="P31" s="23" t="s">
        <v>140</v>
      </c>
      <c r="Q31" s="23" t="s">
        <v>11</v>
      </c>
      <c r="R31" s="23" t="s">
        <v>140</v>
      </c>
      <c r="S31" s="23" t="s">
        <v>140</v>
      </c>
      <c r="T31" s="23" t="s">
        <v>11</v>
      </c>
      <c r="U31" s="23" t="s">
        <v>11</v>
      </c>
      <c r="V31" s="23" t="s">
        <v>140</v>
      </c>
      <c r="W31" s="23" t="s">
        <v>140</v>
      </c>
      <c r="X31" s="23" t="s">
        <v>140</v>
      </c>
      <c r="Y31" s="23" t="s">
        <v>11</v>
      </c>
      <c r="Z31" s="23" t="s">
        <v>11</v>
      </c>
      <c r="AA31" s="23" t="s">
        <v>11</v>
      </c>
      <c r="AB31" s="24">
        <v>0</v>
      </c>
      <c r="AC31" s="24">
        <v>7254181.4900000002</v>
      </c>
      <c r="AE31" s="48" t="s">
        <v>11</v>
      </c>
      <c r="AF31" s="24">
        <f t="shared" si="1"/>
        <v>125000</v>
      </c>
      <c r="AG31" s="24" t="s">
        <v>140</v>
      </c>
      <c r="AH31" s="24" t="s">
        <v>140</v>
      </c>
      <c r="AI31" s="24">
        <v>20000</v>
      </c>
      <c r="AJ31" s="23" t="s">
        <v>140</v>
      </c>
      <c r="AK31" s="23" t="s">
        <v>140</v>
      </c>
      <c r="AL31" s="23" t="s">
        <v>140</v>
      </c>
      <c r="AM31" s="23" t="s">
        <v>481</v>
      </c>
      <c r="AN31" s="23" t="s">
        <v>481</v>
      </c>
      <c r="AO31" s="23" t="s">
        <v>140</v>
      </c>
      <c r="AP31" s="23" t="s">
        <v>481</v>
      </c>
      <c r="AQ31" s="23" t="s">
        <v>481</v>
      </c>
      <c r="AR31" s="23" t="s">
        <v>140</v>
      </c>
      <c r="AS31" s="23" t="s">
        <v>140</v>
      </c>
      <c r="AT31" s="23" t="s">
        <v>140</v>
      </c>
      <c r="AU31" s="23" t="s">
        <v>11</v>
      </c>
      <c r="AV31" s="23" t="s">
        <v>11</v>
      </c>
      <c r="AW31" s="23" t="s">
        <v>11</v>
      </c>
      <c r="AX31" s="23" t="s">
        <v>500</v>
      </c>
      <c r="AY31" s="23" t="s">
        <v>500</v>
      </c>
      <c r="AZ31" s="23" t="s">
        <v>500</v>
      </c>
      <c r="BB31" s="25" t="s">
        <v>503</v>
      </c>
      <c r="BC31" s="25" t="s">
        <v>138</v>
      </c>
      <c r="BD31" s="25" t="s">
        <v>138</v>
      </c>
    </row>
    <row r="32" spans="1:56" x14ac:dyDescent="0.25">
      <c r="A32" s="13">
        <f t="shared" si="0"/>
        <v>30</v>
      </c>
      <c r="B32" s="375" t="s">
        <v>221</v>
      </c>
      <c r="C32" s="14" t="s">
        <v>280</v>
      </c>
      <c r="D32" s="15" t="s">
        <v>11</v>
      </c>
      <c r="E32" s="15" t="s">
        <v>11</v>
      </c>
      <c r="F32" s="26" t="s">
        <v>11</v>
      </c>
      <c r="G32" s="27" t="s">
        <v>11</v>
      </c>
      <c r="H32" s="27" t="s">
        <v>11</v>
      </c>
      <c r="I32" s="27" t="s">
        <v>11</v>
      </c>
      <c r="J32" s="27" t="s">
        <v>11</v>
      </c>
      <c r="K32" s="23" t="s">
        <v>11</v>
      </c>
      <c r="L32" s="23" t="s">
        <v>11</v>
      </c>
      <c r="M32" s="28" t="s">
        <v>11</v>
      </c>
      <c r="N32" s="23" t="s">
        <v>11</v>
      </c>
      <c r="O32" s="23" t="s">
        <v>11</v>
      </c>
      <c r="P32" s="23" t="s">
        <v>11</v>
      </c>
      <c r="Q32" s="23" t="s">
        <v>11</v>
      </c>
      <c r="R32" s="23" t="s">
        <v>11</v>
      </c>
      <c r="S32" s="23" t="s">
        <v>11</v>
      </c>
      <c r="T32" s="23" t="s">
        <v>11</v>
      </c>
      <c r="U32" s="23" t="s">
        <v>11</v>
      </c>
      <c r="V32" s="23" t="s">
        <v>11</v>
      </c>
      <c r="W32" s="23" t="s">
        <v>11</v>
      </c>
      <c r="X32" s="23" t="s">
        <v>11</v>
      </c>
      <c r="Y32" s="23" t="s">
        <v>11</v>
      </c>
      <c r="Z32" s="23" t="s">
        <v>11</v>
      </c>
      <c r="AA32" s="23" t="s">
        <v>11</v>
      </c>
      <c r="AB32" s="23" t="s">
        <v>11</v>
      </c>
      <c r="AC32" s="23" t="s">
        <v>11</v>
      </c>
      <c r="AE32" s="23" t="s">
        <v>11</v>
      </c>
      <c r="AF32" s="23" t="s">
        <v>11</v>
      </c>
      <c r="AG32" s="23" t="s">
        <v>11</v>
      </c>
      <c r="AH32" s="23" t="s">
        <v>11</v>
      </c>
      <c r="AI32" s="23" t="s">
        <v>11</v>
      </c>
      <c r="AJ32" s="23" t="s">
        <v>11</v>
      </c>
      <c r="AK32" s="23" t="s">
        <v>11</v>
      </c>
      <c r="AL32" s="23" t="s">
        <v>11</v>
      </c>
      <c r="AM32" s="23" t="s">
        <v>11</v>
      </c>
      <c r="AN32" s="23" t="s">
        <v>11</v>
      </c>
      <c r="AO32" s="23" t="s">
        <v>11</v>
      </c>
      <c r="AP32" s="23" t="s">
        <v>11</v>
      </c>
      <c r="AQ32" s="23" t="s">
        <v>11</v>
      </c>
      <c r="AR32" s="23" t="s">
        <v>11</v>
      </c>
      <c r="AS32" s="23" t="s">
        <v>11</v>
      </c>
      <c r="AT32" s="23" t="s">
        <v>11</v>
      </c>
      <c r="AU32" s="23" t="s">
        <v>11</v>
      </c>
      <c r="AV32" s="23" t="s">
        <v>11</v>
      </c>
      <c r="AW32" s="23" t="s">
        <v>11</v>
      </c>
      <c r="AX32" s="23" t="s">
        <v>11</v>
      </c>
      <c r="AY32" s="23" t="s">
        <v>11</v>
      </c>
      <c r="AZ32" s="23" t="s">
        <v>11</v>
      </c>
      <c r="BB32" s="29" t="s">
        <v>11</v>
      </c>
      <c r="BC32" s="29" t="s">
        <v>11</v>
      </c>
      <c r="BD32" s="29" t="s">
        <v>11</v>
      </c>
    </row>
    <row r="33" spans="1:56" x14ac:dyDescent="0.25">
      <c r="A33" s="13">
        <f t="shared" si="0"/>
        <v>31</v>
      </c>
      <c r="B33" s="376"/>
      <c r="C33" s="14" t="s">
        <v>217</v>
      </c>
      <c r="D33" s="15" t="s">
        <v>11</v>
      </c>
      <c r="E33" s="15" t="s">
        <v>11</v>
      </c>
      <c r="F33" s="26" t="s">
        <v>11</v>
      </c>
      <c r="G33" s="27" t="s">
        <v>11</v>
      </c>
      <c r="H33" s="27" t="s">
        <v>11</v>
      </c>
      <c r="I33" s="27" t="s">
        <v>11</v>
      </c>
      <c r="J33" s="27" t="s">
        <v>11</v>
      </c>
      <c r="K33" s="23" t="s">
        <v>11</v>
      </c>
      <c r="L33" s="23" t="s">
        <v>11</v>
      </c>
      <c r="M33" s="28" t="s">
        <v>11</v>
      </c>
      <c r="N33" s="23" t="s">
        <v>11</v>
      </c>
      <c r="O33" s="23" t="s">
        <v>11</v>
      </c>
      <c r="P33" s="23" t="s">
        <v>11</v>
      </c>
      <c r="Q33" s="23" t="s">
        <v>11</v>
      </c>
      <c r="R33" s="23" t="s">
        <v>11</v>
      </c>
      <c r="S33" s="23" t="s">
        <v>11</v>
      </c>
      <c r="T33" s="23" t="s">
        <v>11</v>
      </c>
      <c r="U33" s="23" t="s">
        <v>11</v>
      </c>
      <c r="V33" s="23" t="s">
        <v>11</v>
      </c>
      <c r="W33" s="23" t="s">
        <v>11</v>
      </c>
      <c r="X33" s="23" t="s">
        <v>11</v>
      </c>
      <c r="Y33" s="23" t="s">
        <v>11</v>
      </c>
      <c r="Z33" s="23" t="s">
        <v>11</v>
      </c>
      <c r="AA33" s="23" t="s">
        <v>11</v>
      </c>
      <c r="AB33" s="23" t="s">
        <v>11</v>
      </c>
      <c r="AC33" s="24" t="s">
        <v>11</v>
      </c>
      <c r="AE33" s="23" t="s">
        <v>11</v>
      </c>
      <c r="AF33" s="23" t="s">
        <v>11</v>
      </c>
      <c r="AG33" s="23" t="s">
        <v>11</v>
      </c>
      <c r="AH33" s="23" t="s">
        <v>11</v>
      </c>
      <c r="AI33" s="23" t="s">
        <v>11</v>
      </c>
      <c r="AJ33" s="23" t="s">
        <v>11</v>
      </c>
      <c r="AK33" s="23" t="s">
        <v>11</v>
      </c>
      <c r="AL33" s="23" t="s">
        <v>11</v>
      </c>
      <c r="AM33" s="23" t="s">
        <v>11</v>
      </c>
      <c r="AN33" s="23" t="s">
        <v>11</v>
      </c>
      <c r="AO33" s="23" t="s">
        <v>11</v>
      </c>
      <c r="AP33" s="23" t="s">
        <v>11</v>
      </c>
      <c r="AQ33" s="23" t="s">
        <v>11</v>
      </c>
      <c r="AR33" s="23" t="s">
        <v>11</v>
      </c>
      <c r="AS33" s="23" t="s">
        <v>11</v>
      </c>
      <c r="AT33" s="23" t="s">
        <v>11</v>
      </c>
      <c r="AU33" s="23" t="s">
        <v>11</v>
      </c>
      <c r="AV33" s="23" t="s">
        <v>11</v>
      </c>
      <c r="AW33" s="23" t="s">
        <v>11</v>
      </c>
      <c r="AX33" s="23" t="s">
        <v>11</v>
      </c>
      <c r="AY33" s="23" t="s">
        <v>11</v>
      </c>
      <c r="AZ33" s="23" t="s">
        <v>11</v>
      </c>
      <c r="BB33" s="29" t="s">
        <v>11</v>
      </c>
      <c r="BC33" s="29" t="s">
        <v>11</v>
      </c>
      <c r="BD33" s="29" t="s">
        <v>11</v>
      </c>
    </row>
    <row r="34" spans="1:56" x14ac:dyDescent="0.25">
      <c r="A34" s="13">
        <f t="shared" si="0"/>
        <v>32</v>
      </c>
      <c r="B34" s="376"/>
      <c r="C34" s="14" t="s">
        <v>223</v>
      </c>
      <c r="D34" s="15" t="s">
        <v>423</v>
      </c>
      <c r="E34" s="15" t="s">
        <v>413</v>
      </c>
      <c r="F34" s="16" t="s">
        <v>436</v>
      </c>
      <c r="G34" s="30">
        <v>45427</v>
      </c>
      <c r="H34" s="31">
        <v>45419</v>
      </c>
      <c r="I34" s="31">
        <v>45424</v>
      </c>
      <c r="J34" s="32">
        <v>45427</v>
      </c>
      <c r="K34" s="20" t="s">
        <v>140</v>
      </c>
      <c r="L34" s="21">
        <v>45429</v>
      </c>
      <c r="M34" s="22">
        <v>45504</v>
      </c>
      <c r="N34" s="23" t="s">
        <v>140</v>
      </c>
      <c r="O34" s="23" t="s">
        <v>140</v>
      </c>
      <c r="P34" s="23" t="s">
        <v>140</v>
      </c>
      <c r="Q34" s="23" t="s">
        <v>140</v>
      </c>
      <c r="R34" s="23" t="s">
        <v>11</v>
      </c>
      <c r="S34" s="23" t="s">
        <v>140</v>
      </c>
      <c r="T34" s="23" t="s">
        <v>11</v>
      </c>
      <c r="U34" s="23" t="s">
        <v>11</v>
      </c>
      <c r="V34" s="23" t="s">
        <v>140</v>
      </c>
      <c r="W34" s="23" t="s">
        <v>140</v>
      </c>
      <c r="X34" s="23" t="s">
        <v>140</v>
      </c>
      <c r="Y34" s="23" t="s">
        <v>11</v>
      </c>
      <c r="Z34" s="23" t="s">
        <v>11</v>
      </c>
      <c r="AA34" s="23" t="s">
        <v>11</v>
      </c>
      <c r="AB34" s="23">
        <v>0</v>
      </c>
      <c r="AC34" s="24">
        <v>8916707.5199999996</v>
      </c>
      <c r="AE34" s="23">
        <v>55000</v>
      </c>
      <c r="AF34" s="23">
        <v>66000</v>
      </c>
      <c r="AG34" s="23" t="s">
        <v>140</v>
      </c>
      <c r="AH34" s="23" t="s">
        <v>140</v>
      </c>
      <c r="AI34" s="23" t="s">
        <v>11</v>
      </c>
      <c r="AJ34" s="23" t="s">
        <v>148</v>
      </c>
      <c r="AK34" s="23" t="s">
        <v>148</v>
      </c>
      <c r="AL34" s="23" t="s">
        <v>11</v>
      </c>
      <c r="AM34" s="23" t="s">
        <v>11</v>
      </c>
      <c r="AN34" s="23" t="s">
        <v>11</v>
      </c>
      <c r="AO34" s="23" t="s">
        <v>140</v>
      </c>
      <c r="AP34" s="23" t="s">
        <v>148</v>
      </c>
      <c r="AQ34" s="23" t="s">
        <v>148</v>
      </c>
      <c r="AR34" s="23" t="s">
        <v>140</v>
      </c>
      <c r="AS34" s="23" t="s">
        <v>148</v>
      </c>
      <c r="AT34" s="23" t="s">
        <v>500</v>
      </c>
      <c r="AU34" s="23" t="s">
        <v>11</v>
      </c>
      <c r="AV34" s="23" t="s">
        <v>11</v>
      </c>
      <c r="AW34" s="23" t="s">
        <v>11</v>
      </c>
      <c r="AX34" s="23" t="s">
        <v>11</v>
      </c>
      <c r="AY34" s="23" t="s">
        <v>11</v>
      </c>
      <c r="AZ34" s="23" t="s">
        <v>11</v>
      </c>
      <c r="BB34" s="25">
        <v>45565</v>
      </c>
      <c r="BC34" s="25" t="s">
        <v>11</v>
      </c>
      <c r="BD34" s="25" t="s">
        <v>11</v>
      </c>
    </row>
    <row r="35" spans="1:56" x14ac:dyDescent="0.25">
      <c r="A35" s="13">
        <f t="shared" si="0"/>
        <v>33</v>
      </c>
      <c r="B35" s="376"/>
      <c r="C35" s="14" t="s">
        <v>284</v>
      </c>
      <c r="D35" s="15" t="s">
        <v>437</v>
      </c>
      <c r="E35" s="15" t="s">
        <v>426</v>
      </c>
      <c r="F35" s="16" t="s">
        <v>438</v>
      </c>
      <c r="G35" s="30">
        <v>45412</v>
      </c>
      <c r="H35" s="31">
        <v>45406</v>
      </c>
      <c r="I35" s="31">
        <v>45408</v>
      </c>
      <c r="J35" s="32">
        <v>45422</v>
      </c>
      <c r="K35" s="20" t="s">
        <v>140</v>
      </c>
      <c r="L35" s="53">
        <v>45422</v>
      </c>
      <c r="M35" s="54" t="s">
        <v>494</v>
      </c>
      <c r="N35" s="23" t="s">
        <v>140</v>
      </c>
      <c r="O35" s="23" t="s">
        <v>140</v>
      </c>
      <c r="P35" s="23" t="s">
        <v>140</v>
      </c>
      <c r="Q35" s="23" t="s">
        <v>140</v>
      </c>
      <c r="R35" s="23" t="s">
        <v>11</v>
      </c>
      <c r="S35" s="23" t="s">
        <v>140</v>
      </c>
      <c r="T35" s="23" t="s">
        <v>11</v>
      </c>
      <c r="U35" s="23" t="s">
        <v>11</v>
      </c>
      <c r="V35" s="23" t="s">
        <v>11</v>
      </c>
      <c r="W35" s="23" t="s">
        <v>140</v>
      </c>
      <c r="X35" s="23" t="s">
        <v>140</v>
      </c>
      <c r="Y35" s="23" t="s">
        <v>11</v>
      </c>
      <c r="Z35" s="23" t="s">
        <v>11</v>
      </c>
      <c r="AA35" s="23" t="s">
        <v>11</v>
      </c>
      <c r="AB35" s="24">
        <v>5186936</v>
      </c>
      <c r="AC35" s="24">
        <v>6606281.9000000004</v>
      </c>
      <c r="AE35" s="23">
        <v>55000</v>
      </c>
      <c r="AF35" s="23">
        <v>60500</v>
      </c>
      <c r="AG35" s="23" t="s">
        <v>140</v>
      </c>
      <c r="AH35" s="23" t="s">
        <v>140</v>
      </c>
      <c r="AI35" s="23">
        <v>11000</v>
      </c>
      <c r="AJ35" s="23" t="s">
        <v>140</v>
      </c>
      <c r="AK35" s="23" t="s">
        <v>140</v>
      </c>
      <c r="AL35" s="23" t="s">
        <v>481</v>
      </c>
      <c r="AM35" s="23" t="s">
        <v>481</v>
      </c>
      <c r="AN35" s="23" t="s">
        <v>481</v>
      </c>
      <c r="AO35" s="23" t="s">
        <v>148</v>
      </c>
      <c r="AP35" s="23" t="s">
        <v>148</v>
      </c>
      <c r="AQ35" s="23" t="s">
        <v>148</v>
      </c>
      <c r="AR35" s="23" t="s">
        <v>11</v>
      </c>
      <c r="AS35" s="23" t="s">
        <v>11</v>
      </c>
      <c r="AT35" s="23" t="s">
        <v>11</v>
      </c>
      <c r="AU35" s="23" t="s">
        <v>11</v>
      </c>
      <c r="AV35" s="23" t="s">
        <v>11</v>
      </c>
      <c r="AW35" s="23" t="s">
        <v>11</v>
      </c>
      <c r="AX35" s="23" t="s">
        <v>140</v>
      </c>
      <c r="AY35" s="23" t="s">
        <v>140</v>
      </c>
      <c r="AZ35" s="23" t="s">
        <v>140</v>
      </c>
      <c r="BB35" s="25">
        <v>45565</v>
      </c>
      <c r="BC35" s="25" t="s">
        <v>11</v>
      </c>
      <c r="BD35" s="25" t="s">
        <v>11</v>
      </c>
    </row>
    <row r="36" spans="1:56" x14ac:dyDescent="0.25">
      <c r="A36" s="13">
        <f t="shared" si="0"/>
        <v>34</v>
      </c>
      <c r="B36" s="376"/>
      <c r="C36" s="14" t="s">
        <v>226</v>
      </c>
      <c r="D36" s="15" t="s">
        <v>437</v>
      </c>
      <c r="E36" s="15" t="s">
        <v>413</v>
      </c>
      <c r="F36" s="26" t="s">
        <v>439</v>
      </c>
      <c r="G36" s="27">
        <v>45443</v>
      </c>
      <c r="H36" s="27">
        <v>45458</v>
      </c>
      <c r="I36" s="27">
        <v>45473</v>
      </c>
      <c r="J36" s="27">
        <v>45488</v>
      </c>
      <c r="K36" s="23" t="s">
        <v>140</v>
      </c>
      <c r="L36" s="23" t="s">
        <v>148</v>
      </c>
      <c r="M36" s="28" t="s">
        <v>148</v>
      </c>
      <c r="N36" s="23" t="s">
        <v>140</v>
      </c>
      <c r="O36" s="23" t="s">
        <v>140</v>
      </c>
      <c r="P36" s="23" t="s">
        <v>148</v>
      </c>
      <c r="Q36" s="23" t="s">
        <v>148</v>
      </c>
      <c r="R36" s="23" t="s">
        <v>11</v>
      </c>
      <c r="S36" s="23" t="s">
        <v>140</v>
      </c>
      <c r="T36" s="23" t="s">
        <v>11</v>
      </c>
      <c r="U36" s="23" t="s">
        <v>11</v>
      </c>
      <c r="V36" s="23" t="s">
        <v>11</v>
      </c>
      <c r="W36" s="23" t="s">
        <v>148</v>
      </c>
      <c r="X36" s="23" t="s">
        <v>148</v>
      </c>
      <c r="Y36" s="23" t="s">
        <v>11</v>
      </c>
      <c r="Z36" s="23" t="s">
        <v>11</v>
      </c>
      <c r="AA36" s="23" t="s">
        <v>11</v>
      </c>
      <c r="AB36" s="24">
        <v>74887</v>
      </c>
      <c r="AC36" s="24">
        <v>3083005</v>
      </c>
      <c r="AE36" s="23">
        <v>82500</v>
      </c>
      <c r="AF36" s="23">
        <v>150000</v>
      </c>
      <c r="AG36" s="23" t="s">
        <v>500</v>
      </c>
      <c r="AH36" s="23" t="s">
        <v>148</v>
      </c>
      <c r="AI36" s="23">
        <v>10000</v>
      </c>
      <c r="AJ36" s="23" t="s">
        <v>500</v>
      </c>
      <c r="AK36" s="23" t="s">
        <v>500</v>
      </c>
      <c r="AL36" s="23" t="s">
        <v>481</v>
      </c>
      <c r="AM36" s="23" t="s">
        <v>481</v>
      </c>
      <c r="AN36" s="23" t="s">
        <v>481</v>
      </c>
      <c r="AO36" s="23" t="s">
        <v>140</v>
      </c>
      <c r="AP36" s="23" t="s">
        <v>140</v>
      </c>
      <c r="AQ36" s="23" t="s">
        <v>140</v>
      </c>
      <c r="AR36" s="23" t="s">
        <v>11</v>
      </c>
      <c r="AS36" s="23" t="s">
        <v>11</v>
      </c>
      <c r="AT36" s="23" t="s">
        <v>11</v>
      </c>
      <c r="AU36" s="23" t="s">
        <v>11</v>
      </c>
      <c r="AV36" s="23" t="s">
        <v>11</v>
      </c>
      <c r="AW36" s="23" t="s">
        <v>11</v>
      </c>
      <c r="AX36" s="23" t="s">
        <v>11</v>
      </c>
      <c r="AY36" s="23" t="s">
        <v>11</v>
      </c>
      <c r="AZ36" s="23" t="s">
        <v>11</v>
      </c>
      <c r="BB36" s="29" t="s">
        <v>148</v>
      </c>
      <c r="BC36" s="29" t="s">
        <v>147</v>
      </c>
      <c r="BD36" s="29" t="s">
        <v>147</v>
      </c>
    </row>
    <row r="37" spans="1:56" x14ac:dyDescent="0.25">
      <c r="A37" s="13">
        <f t="shared" si="0"/>
        <v>35</v>
      </c>
      <c r="B37" s="376"/>
      <c r="C37" s="14" t="s">
        <v>504</v>
      </c>
      <c r="D37" s="15" t="s">
        <v>416</v>
      </c>
      <c r="E37" s="15" t="s">
        <v>417</v>
      </c>
      <c r="F37" s="16" t="s">
        <v>505</v>
      </c>
      <c r="G37" s="30">
        <v>45407</v>
      </c>
      <c r="H37" s="31">
        <v>45418</v>
      </c>
      <c r="I37" s="31">
        <v>45422</v>
      </c>
      <c r="J37" s="32">
        <v>45427</v>
      </c>
      <c r="K37" s="20" t="s">
        <v>140</v>
      </c>
      <c r="L37" s="21">
        <v>45427</v>
      </c>
      <c r="M37" s="22" t="s">
        <v>494</v>
      </c>
      <c r="N37" s="23" t="s">
        <v>140</v>
      </c>
      <c r="O37" s="23" t="s">
        <v>140</v>
      </c>
      <c r="P37" s="23" t="s">
        <v>140</v>
      </c>
      <c r="Q37" s="23" t="s">
        <v>140</v>
      </c>
      <c r="R37" s="23" t="s">
        <v>11</v>
      </c>
      <c r="S37" s="23" t="s">
        <v>140</v>
      </c>
      <c r="T37" s="23" t="s">
        <v>11</v>
      </c>
      <c r="U37" s="23" t="s">
        <v>11</v>
      </c>
      <c r="V37" s="23" t="s">
        <v>140</v>
      </c>
      <c r="W37" s="23" t="s">
        <v>148</v>
      </c>
      <c r="X37" s="23" t="s">
        <v>148</v>
      </c>
      <c r="Y37" s="23" t="s">
        <v>11</v>
      </c>
      <c r="Z37" s="23" t="s">
        <v>11</v>
      </c>
      <c r="AA37" s="23" t="s">
        <v>11</v>
      </c>
      <c r="AB37" s="24">
        <v>20673593.940000001</v>
      </c>
      <c r="AC37" s="24">
        <v>16038404.310000001</v>
      </c>
      <c r="AE37" s="23">
        <v>102850</v>
      </c>
      <c r="AF37" s="23">
        <v>113000</v>
      </c>
      <c r="AG37" s="23" t="s">
        <v>148</v>
      </c>
      <c r="AH37" s="23" t="s">
        <v>148</v>
      </c>
      <c r="AI37" s="23">
        <v>11000</v>
      </c>
      <c r="AJ37" s="23" t="s">
        <v>500</v>
      </c>
      <c r="AK37" s="23" t="s">
        <v>500</v>
      </c>
      <c r="AL37" s="23"/>
      <c r="AM37" s="23"/>
      <c r="AN37" s="23"/>
      <c r="AO37" s="23"/>
      <c r="AP37" s="23"/>
      <c r="AQ37" s="23"/>
      <c r="AR37" s="23"/>
      <c r="AS37" s="23"/>
      <c r="AT37" s="23"/>
      <c r="AU37" s="23" t="s">
        <v>177</v>
      </c>
      <c r="AV37" s="23" t="s">
        <v>11</v>
      </c>
      <c r="AW37" s="23" t="s">
        <v>11</v>
      </c>
      <c r="AX37" s="23" t="s">
        <v>140</v>
      </c>
      <c r="AY37" s="23" t="s">
        <v>140</v>
      </c>
      <c r="AZ37" s="23" t="s">
        <v>140</v>
      </c>
      <c r="BB37" s="25" t="s">
        <v>506</v>
      </c>
      <c r="BC37" s="25" t="s">
        <v>11</v>
      </c>
      <c r="BD37" s="25" t="s">
        <v>11</v>
      </c>
    </row>
    <row r="38" spans="1:56" x14ac:dyDescent="0.25">
      <c r="A38" s="13">
        <f t="shared" si="0"/>
        <v>36</v>
      </c>
      <c r="B38" s="376"/>
      <c r="C38" s="14" t="s">
        <v>230</v>
      </c>
      <c r="D38" s="15" t="s">
        <v>423</v>
      </c>
      <c r="E38" s="15" t="s">
        <v>413</v>
      </c>
      <c r="F38" s="26" t="s">
        <v>439</v>
      </c>
      <c r="G38" s="55">
        <v>45422</v>
      </c>
      <c r="H38" s="56">
        <v>45427</v>
      </c>
      <c r="I38" s="56">
        <v>45437</v>
      </c>
      <c r="J38" s="56">
        <v>45453</v>
      </c>
      <c r="K38" s="23" t="s">
        <v>140</v>
      </c>
      <c r="L38" s="21">
        <v>45523</v>
      </c>
      <c r="M38" s="28" t="s">
        <v>494</v>
      </c>
      <c r="N38" s="23" t="s">
        <v>140</v>
      </c>
      <c r="O38" s="23" t="s">
        <v>140</v>
      </c>
      <c r="P38" s="23" t="s">
        <v>140</v>
      </c>
      <c r="Q38" s="23" t="s">
        <v>148</v>
      </c>
      <c r="R38" s="23" t="s">
        <v>11</v>
      </c>
      <c r="S38" s="23" t="s">
        <v>140</v>
      </c>
      <c r="T38" s="23" t="s">
        <v>11</v>
      </c>
      <c r="U38" s="23" t="s">
        <v>11</v>
      </c>
      <c r="V38" s="23" t="s">
        <v>140</v>
      </c>
      <c r="W38" s="23" t="s">
        <v>148</v>
      </c>
      <c r="X38" s="23" t="s">
        <v>148</v>
      </c>
      <c r="Y38" s="23" t="s">
        <v>11</v>
      </c>
      <c r="Z38" s="23" t="s">
        <v>148</v>
      </c>
      <c r="AA38" s="23" t="s">
        <v>148</v>
      </c>
      <c r="AB38" s="23" t="s">
        <v>11</v>
      </c>
      <c r="AC38" s="24">
        <v>99820215</v>
      </c>
      <c r="AE38" s="23" t="s">
        <v>11</v>
      </c>
      <c r="AF38" s="23">
        <v>120000</v>
      </c>
      <c r="AG38" s="23" t="s">
        <v>140</v>
      </c>
      <c r="AH38" s="23" t="s">
        <v>140</v>
      </c>
      <c r="AI38" s="23" t="s">
        <v>148</v>
      </c>
      <c r="AJ38" s="23" t="s">
        <v>500</v>
      </c>
      <c r="AK38" s="23" t="s">
        <v>500</v>
      </c>
      <c r="AL38" s="23" t="s">
        <v>481</v>
      </c>
      <c r="AM38" s="23" t="s">
        <v>11</v>
      </c>
      <c r="AN38" s="23" t="s">
        <v>11</v>
      </c>
      <c r="AO38" s="23" t="s">
        <v>11</v>
      </c>
      <c r="AP38" s="23" t="s">
        <v>11</v>
      </c>
      <c r="AQ38" s="23" t="s">
        <v>11</v>
      </c>
      <c r="AR38" s="23" t="s">
        <v>140</v>
      </c>
      <c r="AS38" s="23" t="s">
        <v>148</v>
      </c>
      <c r="AT38" s="23" t="s">
        <v>500</v>
      </c>
      <c r="AU38" s="23" t="s">
        <v>140</v>
      </c>
      <c r="AV38" s="23" t="s">
        <v>148</v>
      </c>
      <c r="AW38" s="23" t="s">
        <v>148</v>
      </c>
      <c r="AX38" s="23" t="s">
        <v>140</v>
      </c>
      <c r="AY38" s="23" t="s">
        <v>140</v>
      </c>
      <c r="AZ38" s="23" t="s">
        <v>140</v>
      </c>
      <c r="BB38" s="29">
        <v>45657</v>
      </c>
      <c r="BC38" s="29" t="s">
        <v>11</v>
      </c>
      <c r="BD38" s="29" t="s">
        <v>11</v>
      </c>
    </row>
    <row r="39" spans="1:56" x14ac:dyDescent="0.25">
      <c r="A39" s="13">
        <f t="shared" si="0"/>
        <v>37</v>
      </c>
      <c r="B39" s="376"/>
      <c r="C39" s="14" t="s">
        <v>233</v>
      </c>
      <c r="D39" s="15" t="s">
        <v>11</v>
      </c>
      <c r="E39" s="15" t="s">
        <v>11</v>
      </c>
      <c r="F39" s="26" t="s">
        <v>11</v>
      </c>
      <c r="G39" s="27" t="s">
        <v>11</v>
      </c>
      <c r="H39" s="27" t="s">
        <v>11</v>
      </c>
      <c r="I39" s="27" t="s">
        <v>11</v>
      </c>
      <c r="J39" s="27" t="s">
        <v>11</v>
      </c>
      <c r="K39" s="23" t="s">
        <v>11</v>
      </c>
      <c r="L39" s="23" t="s">
        <v>11</v>
      </c>
      <c r="M39" s="28" t="s">
        <v>11</v>
      </c>
      <c r="N39" s="23" t="s">
        <v>11</v>
      </c>
      <c r="O39" s="23" t="s">
        <v>11</v>
      </c>
      <c r="P39" s="23" t="s">
        <v>11</v>
      </c>
      <c r="Q39" s="23" t="s">
        <v>11</v>
      </c>
      <c r="R39" s="23" t="s">
        <v>11</v>
      </c>
      <c r="S39" s="23" t="s">
        <v>11</v>
      </c>
      <c r="T39" s="23" t="s">
        <v>11</v>
      </c>
      <c r="U39" s="23" t="s">
        <v>11</v>
      </c>
      <c r="V39" s="23" t="s">
        <v>11</v>
      </c>
      <c r="W39" s="23" t="s">
        <v>11</v>
      </c>
      <c r="X39" s="23" t="s">
        <v>11</v>
      </c>
      <c r="Y39" s="23" t="s">
        <v>11</v>
      </c>
      <c r="Z39" s="23" t="s">
        <v>11</v>
      </c>
      <c r="AA39" s="23" t="s">
        <v>11</v>
      </c>
      <c r="AB39" s="23" t="s">
        <v>11</v>
      </c>
      <c r="AC39" s="24">
        <v>4682521.41</v>
      </c>
      <c r="AE39" s="23" t="s">
        <v>11</v>
      </c>
      <c r="AF39" s="23">
        <v>75000</v>
      </c>
      <c r="AG39" s="23" t="s">
        <v>11</v>
      </c>
      <c r="AH39" s="23" t="s">
        <v>11</v>
      </c>
      <c r="AI39" s="23">
        <v>20000</v>
      </c>
      <c r="AJ39" s="23" t="s">
        <v>11</v>
      </c>
      <c r="AK39" s="23" t="s">
        <v>11</v>
      </c>
      <c r="AL39" s="23" t="s">
        <v>11</v>
      </c>
      <c r="AM39" s="23" t="s">
        <v>11</v>
      </c>
      <c r="AN39" s="23" t="s">
        <v>11</v>
      </c>
      <c r="AO39" s="23" t="s">
        <v>11</v>
      </c>
      <c r="AP39" s="23" t="s">
        <v>11</v>
      </c>
      <c r="AQ39" s="23" t="s">
        <v>11</v>
      </c>
      <c r="AR39" s="23" t="s">
        <v>11</v>
      </c>
      <c r="AS39" s="23" t="s">
        <v>11</v>
      </c>
      <c r="AT39" s="23" t="s">
        <v>11</v>
      </c>
      <c r="AU39" s="23" t="s">
        <v>11</v>
      </c>
      <c r="AV39" s="23" t="s">
        <v>11</v>
      </c>
      <c r="AW39" s="23" t="s">
        <v>11</v>
      </c>
      <c r="AX39" s="23" t="s">
        <v>11</v>
      </c>
      <c r="AY39" s="23" t="s">
        <v>11</v>
      </c>
      <c r="AZ39" s="23" t="s">
        <v>11</v>
      </c>
      <c r="BB39" s="29" t="s">
        <v>11</v>
      </c>
      <c r="BC39" s="29" t="s">
        <v>11</v>
      </c>
      <c r="BD39" s="29" t="s">
        <v>11</v>
      </c>
    </row>
    <row r="40" spans="1:56" x14ac:dyDescent="0.25">
      <c r="A40" s="13">
        <f t="shared" si="0"/>
        <v>38</v>
      </c>
      <c r="B40" s="377"/>
      <c r="C40" s="14" t="s">
        <v>310</v>
      </c>
      <c r="D40" s="15" t="s">
        <v>412</v>
      </c>
      <c r="E40" s="15" t="s">
        <v>413</v>
      </c>
      <c r="F40" s="16" t="s">
        <v>440</v>
      </c>
      <c r="G40" s="30">
        <v>45413</v>
      </c>
      <c r="H40" s="31">
        <v>45418</v>
      </c>
      <c r="I40" s="31">
        <v>45421</v>
      </c>
      <c r="J40" s="32">
        <v>45432</v>
      </c>
      <c r="K40" s="20" t="s">
        <v>140</v>
      </c>
      <c r="L40" s="21">
        <v>45432</v>
      </c>
      <c r="M40" s="22">
        <v>45504</v>
      </c>
      <c r="N40" s="23" t="s">
        <v>140</v>
      </c>
      <c r="O40" s="23" t="s">
        <v>140</v>
      </c>
      <c r="P40" s="23" t="s">
        <v>140</v>
      </c>
      <c r="Q40" s="23" t="s">
        <v>140</v>
      </c>
      <c r="R40" s="23" t="s">
        <v>11</v>
      </c>
      <c r="S40" s="23" t="s">
        <v>140</v>
      </c>
      <c r="T40" s="23" t="s">
        <v>140</v>
      </c>
      <c r="U40" s="23" t="s">
        <v>11</v>
      </c>
      <c r="V40" s="23" t="s">
        <v>140</v>
      </c>
      <c r="W40" s="23" t="s">
        <v>140</v>
      </c>
      <c r="X40" s="23" t="s">
        <v>140</v>
      </c>
      <c r="Y40" s="23" t="s">
        <v>11</v>
      </c>
      <c r="Z40" s="23" t="s">
        <v>140</v>
      </c>
      <c r="AA40" s="23" t="s">
        <v>140</v>
      </c>
      <c r="AB40" s="57" t="s">
        <v>507</v>
      </c>
      <c r="AC40" s="24">
        <v>124356782</v>
      </c>
      <c r="AE40" s="23">
        <v>105000</v>
      </c>
      <c r="AF40" s="23">
        <v>126000</v>
      </c>
      <c r="AG40" s="23" t="s">
        <v>140</v>
      </c>
      <c r="AH40" s="23" t="s">
        <v>140</v>
      </c>
      <c r="AI40" s="23">
        <v>25000</v>
      </c>
      <c r="AJ40" s="23" t="s">
        <v>500</v>
      </c>
      <c r="AK40" s="23" t="s">
        <v>500</v>
      </c>
      <c r="AL40" s="23" t="s">
        <v>481</v>
      </c>
      <c r="AM40" s="23" t="s">
        <v>11</v>
      </c>
      <c r="AN40" s="23" t="s">
        <v>11</v>
      </c>
      <c r="AO40" s="23" t="s">
        <v>140</v>
      </c>
      <c r="AP40" s="23" t="s">
        <v>500</v>
      </c>
      <c r="AQ40" s="23" t="s">
        <v>148</v>
      </c>
      <c r="AR40" s="23" t="s">
        <v>140</v>
      </c>
      <c r="AS40" s="23" t="s">
        <v>500</v>
      </c>
      <c r="AT40" s="23" t="s">
        <v>148</v>
      </c>
      <c r="AU40" s="23" t="s">
        <v>140</v>
      </c>
      <c r="AV40" s="23" t="s">
        <v>500</v>
      </c>
      <c r="AW40" s="23" t="s">
        <v>500</v>
      </c>
      <c r="AX40" s="23" t="s">
        <v>140</v>
      </c>
      <c r="AY40" s="23" t="s">
        <v>140</v>
      </c>
      <c r="AZ40" s="23" t="s">
        <v>140</v>
      </c>
      <c r="BB40" s="25">
        <v>45565</v>
      </c>
      <c r="BC40" s="25" t="s">
        <v>11</v>
      </c>
      <c r="BD40" s="25" t="s">
        <v>11</v>
      </c>
    </row>
    <row r="41" spans="1:56" x14ac:dyDescent="0.25">
      <c r="A41" s="13">
        <f t="shared" si="0"/>
        <v>39</v>
      </c>
      <c r="B41" s="378" t="s">
        <v>441</v>
      </c>
      <c r="C41" s="14" t="s">
        <v>162</v>
      </c>
      <c r="D41" s="15" t="s">
        <v>423</v>
      </c>
      <c r="E41" s="15" t="s">
        <v>413</v>
      </c>
      <c r="F41" s="16" t="s">
        <v>441</v>
      </c>
      <c r="G41" s="30" t="s">
        <v>508</v>
      </c>
      <c r="H41" s="31" t="s">
        <v>508</v>
      </c>
      <c r="I41" s="31" t="s">
        <v>508</v>
      </c>
      <c r="J41" s="32" t="s">
        <v>509</v>
      </c>
      <c r="K41" s="20" t="s">
        <v>140</v>
      </c>
      <c r="L41" s="21">
        <v>45430</v>
      </c>
      <c r="M41" s="22" t="s">
        <v>494</v>
      </c>
      <c r="N41" s="23" t="s">
        <v>140</v>
      </c>
      <c r="O41" s="21" t="s">
        <v>140</v>
      </c>
      <c r="P41" s="23" t="s">
        <v>140</v>
      </c>
      <c r="Q41" s="23" t="s">
        <v>140</v>
      </c>
      <c r="R41" s="23" t="s">
        <v>140</v>
      </c>
      <c r="S41" s="23" t="s">
        <v>140</v>
      </c>
      <c r="T41" s="23" t="s">
        <v>11</v>
      </c>
      <c r="U41" s="23" t="s">
        <v>11</v>
      </c>
      <c r="V41" s="23" t="s">
        <v>11</v>
      </c>
      <c r="W41" s="23" t="s">
        <v>140</v>
      </c>
      <c r="X41" s="23" t="s">
        <v>140</v>
      </c>
      <c r="Y41" s="23" t="s">
        <v>11</v>
      </c>
      <c r="Z41" s="23" t="s">
        <v>11</v>
      </c>
      <c r="AA41" s="23" t="s">
        <v>11</v>
      </c>
      <c r="AB41" s="58">
        <v>0</v>
      </c>
      <c r="AC41" s="59" t="s">
        <v>510</v>
      </c>
      <c r="AE41" s="23" t="s">
        <v>11</v>
      </c>
      <c r="AF41" s="23">
        <v>80000</v>
      </c>
      <c r="AG41" s="23" t="s">
        <v>140</v>
      </c>
      <c r="AH41" s="23" t="s">
        <v>140</v>
      </c>
      <c r="AI41" s="23">
        <v>10000</v>
      </c>
      <c r="AJ41" s="23" t="s">
        <v>140</v>
      </c>
      <c r="AK41" s="23" t="s">
        <v>140</v>
      </c>
      <c r="AL41" s="23" t="s">
        <v>481</v>
      </c>
      <c r="AM41" s="23" t="s">
        <v>11</v>
      </c>
      <c r="AN41" s="23" t="s">
        <v>11</v>
      </c>
      <c r="AO41" s="23" t="s">
        <v>140</v>
      </c>
      <c r="AP41" s="23" t="s">
        <v>481</v>
      </c>
      <c r="AQ41" s="23" t="s">
        <v>481</v>
      </c>
      <c r="AR41" s="23"/>
      <c r="AS41" s="23"/>
      <c r="AT41" s="23"/>
      <c r="AU41" s="23" t="s">
        <v>11</v>
      </c>
      <c r="AV41" s="23" t="s">
        <v>11</v>
      </c>
      <c r="AW41" s="23"/>
      <c r="AX41" s="23" t="s">
        <v>140</v>
      </c>
      <c r="AY41" s="23" t="s">
        <v>140</v>
      </c>
      <c r="AZ41" s="23" t="s">
        <v>140</v>
      </c>
      <c r="BB41" s="25">
        <v>45576</v>
      </c>
      <c r="BC41" s="25" t="s">
        <v>11</v>
      </c>
      <c r="BD41" s="25" t="s">
        <v>11</v>
      </c>
    </row>
    <row r="42" spans="1:56" x14ac:dyDescent="0.25">
      <c r="A42" s="13">
        <f t="shared" si="0"/>
        <v>40</v>
      </c>
      <c r="B42" s="379"/>
      <c r="C42" s="14" t="s">
        <v>331</v>
      </c>
      <c r="D42" s="15" t="s">
        <v>416</v>
      </c>
      <c r="E42" s="15" t="s">
        <v>477</v>
      </c>
      <c r="F42" s="16" t="s">
        <v>441</v>
      </c>
      <c r="G42" s="30">
        <v>45468</v>
      </c>
      <c r="H42" s="31">
        <v>45468</v>
      </c>
      <c r="I42" s="31">
        <v>45473</v>
      </c>
      <c r="J42" s="32">
        <v>45443</v>
      </c>
      <c r="K42" s="20" t="s">
        <v>140</v>
      </c>
      <c r="L42" s="21">
        <v>45562</v>
      </c>
      <c r="M42" s="28" t="s">
        <v>494</v>
      </c>
      <c r="N42" s="23" t="s">
        <v>148</v>
      </c>
      <c r="O42" s="21" t="s">
        <v>140</v>
      </c>
      <c r="P42" s="21" t="s">
        <v>140</v>
      </c>
      <c r="Q42" s="21" t="s">
        <v>140</v>
      </c>
      <c r="R42" s="21" t="s">
        <v>140</v>
      </c>
      <c r="S42" s="21" t="s">
        <v>140</v>
      </c>
      <c r="T42" s="21" t="s">
        <v>140</v>
      </c>
      <c r="U42" s="21" t="s">
        <v>140</v>
      </c>
      <c r="V42" s="21" t="s">
        <v>140</v>
      </c>
      <c r="W42" s="23" t="s">
        <v>148</v>
      </c>
      <c r="X42" s="23" t="s">
        <v>148</v>
      </c>
      <c r="Y42" s="23" t="s">
        <v>11</v>
      </c>
      <c r="Z42" s="23" t="s">
        <v>148</v>
      </c>
      <c r="AA42" s="23" t="s">
        <v>148</v>
      </c>
      <c r="AB42" s="58" t="s">
        <v>511</v>
      </c>
      <c r="AC42" s="59" t="s">
        <v>512</v>
      </c>
      <c r="AE42" s="23">
        <v>175500</v>
      </c>
      <c r="AF42" s="23">
        <v>195000</v>
      </c>
      <c r="AG42" s="23" t="s">
        <v>140</v>
      </c>
      <c r="AH42" s="23" t="s">
        <v>140</v>
      </c>
      <c r="AI42" s="23" t="s">
        <v>11</v>
      </c>
      <c r="AJ42" s="23" t="s">
        <v>500</v>
      </c>
      <c r="AK42" s="23" t="s">
        <v>500</v>
      </c>
      <c r="AL42" s="23" t="s">
        <v>140</v>
      </c>
      <c r="AM42" s="23" t="s">
        <v>11</v>
      </c>
      <c r="AN42" s="23" t="s">
        <v>11</v>
      </c>
      <c r="AO42" s="23" t="s">
        <v>140</v>
      </c>
      <c r="AP42" s="23" t="s">
        <v>11</v>
      </c>
      <c r="AQ42" s="23" t="s">
        <v>11</v>
      </c>
      <c r="AR42" s="23"/>
      <c r="AS42" s="23"/>
      <c r="AT42" s="23"/>
      <c r="AU42" s="23" t="s">
        <v>500</v>
      </c>
      <c r="AV42" s="23" t="s">
        <v>500</v>
      </c>
      <c r="AW42" s="23"/>
      <c r="AX42" s="23" t="s">
        <v>500</v>
      </c>
      <c r="AY42" s="23" t="s">
        <v>500</v>
      </c>
      <c r="AZ42" s="23" t="s">
        <v>500</v>
      </c>
      <c r="BB42" s="60"/>
      <c r="BC42" s="60" t="s">
        <v>138</v>
      </c>
      <c r="BD42" s="60" t="s">
        <v>147</v>
      </c>
    </row>
    <row r="43" spans="1:56" x14ac:dyDescent="0.25">
      <c r="A43" s="13">
        <f t="shared" si="0"/>
        <v>41</v>
      </c>
      <c r="B43" s="379"/>
      <c r="C43" s="14" t="s">
        <v>336</v>
      </c>
      <c r="D43" s="15" t="s">
        <v>416</v>
      </c>
      <c r="E43" s="15" t="s">
        <v>477</v>
      </c>
      <c r="F43" s="16" t="s">
        <v>441</v>
      </c>
      <c r="G43" s="61" t="s">
        <v>513</v>
      </c>
      <c r="H43" s="61" t="s">
        <v>513</v>
      </c>
      <c r="I43" s="61" t="s">
        <v>513</v>
      </c>
      <c r="J43" s="30" t="s">
        <v>513</v>
      </c>
      <c r="K43" s="20" t="s">
        <v>140</v>
      </c>
      <c r="L43" s="21">
        <v>45538</v>
      </c>
      <c r="M43" s="28" t="s">
        <v>494</v>
      </c>
      <c r="N43" s="23" t="s">
        <v>140</v>
      </c>
      <c r="O43" s="23" t="s">
        <v>140</v>
      </c>
      <c r="P43" s="23" t="s">
        <v>140</v>
      </c>
      <c r="Q43" s="23" t="s">
        <v>140</v>
      </c>
      <c r="R43" s="23" t="s">
        <v>11</v>
      </c>
      <c r="S43" s="23" t="s">
        <v>140</v>
      </c>
      <c r="T43" s="23" t="s">
        <v>11</v>
      </c>
      <c r="U43" s="23" t="s">
        <v>11</v>
      </c>
      <c r="V43" s="23" t="s">
        <v>11</v>
      </c>
      <c r="W43" s="23" t="s">
        <v>148</v>
      </c>
      <c r="X43" s="23" t="s">
        <v>148</v>
      </c>
      <c r="Y43" s="23" t="s">
        <v>11</v>
      </c>
      <c r="Z43" s="23" t="s">
        <v>11</v>
      </c>
      <c r="AA43" s="23" t="s">
        <v>11</v>
      </c>
      <c r="AB43" s="58" t="s">
        <v>514</v>
      </c>
      <c r="AC43" s="59" t="s">
        <v>133</v>
      </c>
      <c r="AE43" s="23">
        <v>55000</v>
      </c>
      <c r="AF43" s="23">
        <v>65000</v>
      </c>
      <c r="AG43" s="23" t="s">
        <v>140</v>
      </c>
      <c r="AH43" s="23" t="s">
        <v>140</v>
      </c>
      <c r="AI43" s="23" t="s">
        <v>11</v>
      </c>
      <c r="AJ43" s="23" t="s">
        <v>500</v>
      </c>
      <c r="AK43" s="23" t="s">
        <v>500</v>
      </c>
      <c r="AL43" s="23" t="s">
        <v>140</v>
      </c>
      <c r="AM43" s="23" t="s">
        <v>11</v>
      </c>
      <c r="AN43" s="23" t="s">
        <v>11</v>
      </c>
      <c r="AO43" s="23" t="s">
        <v>140</v>
      </c>
      <c r="AP43" s="23" t="s">
        <v>11</v>
      </c>
      <c r="AQ43" s="23" t="s">
        <v>11</v>
      </c>
      <c r="AR43" s="23"/>
      <c r="AS43" s="23"/>
      <c r="AT43" s="23"/>
      <c r="AU43" s="23" t="s">
        <v>500</v>
      </c>
      <c r="AV43" s="23" t="s">
        <v>500</v>
      </c>
      <c r="AW43" s="23"/>
      <c r="AX43" s="23" t="s">
        <v>11</v>
      </c>
      <c r="AY43" s="23" t="s">
        <v>11</v>
      </c>
      <c r="AZ43" s="23" t="s">
        <v>11</v>
      </c>
      <c r="BB43" s="60"/>
      <c r="BC43" s="60" t="s">
        <v>138</v>
      </c>
      <c r="BD43" s="60" t="s">
        <v>147</v>
      </c>
    </row>
    <row r="44" spans="1:56" x14ac:dyDescent="0.25">
      <c r="A44" s="13">
        <f t="shared" si="0"/>
        <v>42</v>
      </c>
      <c r="B44" s="379"/>
      <c r="C44" s="14" t="s">
        <v>341</v>
      </c>
      <c r="D44" s="15" t="s">
        <v>423</v>
      </c>
      <c r="E44" s="15" t="s">
        <v>413</v>
      </c>
      <c r="F44" s="16" t="s">
        <v>441</v>
      </c>
      <c r="G44" s="21">
        <v>45588</v>
      </c>
      <c r="H44" s="62">
        <v>45588</v>
      </c>
      <c r="I44" s="62">
        <v>45588</v>
      </c>
      <c r="J44" s="21">
        <v>45588</v>
      </c>
      <c r="K44" s="20" t="s">
        <v>140</v>
      </c>
      <c r="L44" s="21">
        <v>45588</v>
      </c>
      <c r="M44" s="28" t="s">
        <v>494</v>
      </c>
      <c r="N44" s="23" t="s">
        <v>140</v>
      </c>
      <c r="O44" s="23" t="s">
        <v>140</v>
      </c>
      <c r="P44" s="23" t="s">
        <v>140</v>
      </c>
      <c r="Q44" s="23" t="s">
        <v>140</v>
      </c>
      <c r="R44" s="23" t="s">
        <v>140</v>
      </c>
      <c r="S44" s="23" t="s">
        <v>140</v>
      </c>
      <c r="T44" s="23" t="s">
        <v>11</v>
      </c>
      <c r="U44" s="23" t="s">
        <v>11</v>
      </c>
      <c r="V44" s="23" t="s">
        <v>11</v>
      </c>
      <c r="W44" s="23" t="s">
        <v>140</v>
      </c>
      <c r="X44" s="23" t="s">
        <v>140</v>
      </c>
      <c r="Y44" s="23" t="s">
        <v>11</v>
      </c>
      <c r="Z44" s="23" t="s">
        <v>148</v>
      </c>
      <c r="AA44" s="23" t="s">
        <v>11</v>
      </c>
      <c r="AB44" s="58">
        <v>4186789</v>
      </c>
      <c r="AC44" s="59">
        <v>5920017.3399999999</v>
      </c>
      <c r="AE44" s="23">
        <v>95000</v>
      </c>
      <c r="AF44" s="23">
        <v>100000</v>
      </c>
      <c r="AG44" s="23" t="s">
        <v>140</v>
      </c>
      <c r="AH44" s="23" t="s">
        <v>148</v>
      </c>
      <c r="AI44" s="23" t="s">
        <v>11</v>
      </c>
      <c r="AJ44" s="23" t="s">
        <v>11</v>
      </c>
      <c r="AK44" s="23" t="s">
        <v>11</v>
      </c>
      <c r="AL44" s="23" t="s">
        <v>481</v>
      </c>
      <c r="AM44" s="23" t="s">
        <v>481</v>
      </c>
      <c r="AN44" s="23" t="s">
        <v>481</v>
      </c>
      <c r="AO44" s="23" t="s">
        <v>11</v>
      </c>
      <c r="AP44" s="23" t="s">
        <v>11</v>
      </c>
      <c r="AQ44" s="23" t="s">
        <v>11</v>
      </c>
      <c r="AR44" s="23"/>
      <c r="AS44" s="23"/>
      <c r="AT44" s="23"/>
      <c r="AU44" s="23" t="s">
        <v>500</v>
      </c>
      <c r="AV44" s="23" t="s">
        <v>11</v>
      </c>
      <c r="AW44" s="23"/>
      <c r="AX44" s="23" t="s">
        <v>11</v>
      </c>
      <c r="AY44" s="23" t="s">
        <v>11</v>
      </c>
      <c r="AZ44" s="23" t="s">
        <v>11</v>
      </c>
      <c r="BB44" s="25" t="s">
        <v>515</v>
      </c>
      <c r="BC44" s="60" t="s">
        <v>138</v>
      </c>
      <c r="BD44" s="60" t="s">
        <v>147</v>
      </c>
    </row>
    <row r="45" spans="1:56" x14ac:dyDescent="0.25">
      <c r="A45" s="13">
        <f t="shared" si="0"/>
        <v>43</v>
      </c>
      <c r="B45" s="379"/>
      <c r="C45" s="14" t="s">
        <v>165</v>
      </c>
      <c r="D45" s="15" t="s">
        <v>416</v>
      </c>
      <c r="E45" s="15" t="s">
        <v>413</v>
      </c>
      <c r="F45" s="16" t="s">
        <v>441</v>
      </c>
      <c r="G45" s="63" t="s">
        <v>516</v>
      </c>
      <c r="H45" s="64" t="s">
        <v>516</v>
      </c>
      <c r="I45" s="64" t="s">
        <v>517</v>
      </c>
      <c r="J45" s="65">
        <v>45520</v>
      </c>
      <c r="K45" s="20" t="s">
        <v>140</v>
      </c>
      <c r="L45" s="21">
        <v>45520</v>
      </c>
      <c r="M45" s="28" t="s">
        <v>518</v>
      </c>
      <c r="N45" s="23" t="s">
        <v>140</v>
      </c>
      <c r="O45" s="23" t="s">
        <v>140</v>
      </c>
      <c r="P45" s="23" t="s">
        <v>140</v>
      </c>
      <c r="Q45" s="23" t="s">
        <v>140</v>
      </c>
      <c r="R45" s="23" t="s">
        <v>140</v>
      </c>
      <c r="S45" s="23" t="s">
        <v>140</v>
      </c>
      <c r="T45" s="23" t="s">
        <v>11</v>
      </c>
      <c r="U45" s="23" t="s">
        <v>11</v>
      </c>
      <c r="V45" s="23" t="s">
        <v>140</v>
      </c>
      <c r="W45" s="23" t="s">
        <v>140</v>
      </c>
      <c r="X45" s="23" t="s">
        <v>140</v>
      </c>
      <c r="Y45" s="23" t="s">
        <v>11</v>
      </c>
      <c r="Z45" s="23" t="s">
        <v>11</v>
      </c>
      <c r="AA45" s="23" t="s">
        <v>11</v>
      </c>
      <c r="AB45" s="58">
        <v>591885</v>
      </c>
      <c r="AC45" s="59">
        <v>17229003.199999999</v>
      </c>
      <c r="AE45" s="23">
        <v>80000</v>
      </c>
      <c r="AF45" s="23">
        <v>88000</v>
      </c>
      <c r="AG45" s="23" t="s">
        <v>148</v>
      </c>
      <c r="AH45" s="23" t="s">
        <v>148</v>
      </c>
      <c r="AI45" s="23">
        <v>7500</v>
      </c>
      <c r="AJ45" s="23" t="s">
        <v>140</v>
      </c>
      <c r="AK45" s="23" t="s">
        <v>500</v>
      </c>
      <c r="AL45" s="23" t="s">
        <v>481</v>
      </c>
      <c r="AM45" s="23" t="s">
        <v>481</v>
      </c>
      <c r="AN45" s="23" t="s">
        <v>481</v>
      </c>
      <c r="AO45" s="23" t="s">
        <v>140</v>
      </c>
      <c r="AP45" s="23" t="s">
        <v>481</v>
      </c>
      <c r="AQ45" s="23" t="s">
        <v>481</v>
      </c>
      <c r="AR45" s="23"/>
      <c r="AS45" s="23"/>
      <c r="AT45" s="23"/>
      <c r="AU45" s="23" t="s">
        <v>11</v>
      </c>
      <c r="AV45" s="23" t="s">
        <v>11</v>
      </c>
      <c r="AW45" s="23"/>
      <c r="AX45" s="23" t="s">
        <v>11</v>
      </c>
      <c r="AY45" s="23" t="s">
        <v>11</v>
      </c>
      <c r="AZ45" s="23" t="s">
        <v>11</v>
      </c>
      <c r="BB45" s="25" t="s">
        <v>485</v>
      </c>
      <c r="BC45" s="25" t="s">
        <v>147</v>
      </c>
      <c r="BD45" s="25" t="s">
        <v>138</v>
      </c>
    </row>
    <row r="46" spans="1:56" x14ac:dyDescent="0.25">
      <c r="A46" s="13">
        <f t="shared" si="0"/>
        <v>44</v>
      </c>
      <c r="B46" s="379"/>
      <c r="C46" s="14" t="s">
        <v>194</v>
      </c>
      <c r="D46" s="15" t="s">
        <v>11</v>
      </c>
      <c r="E46" s="15" t="s">
        <v>11</v>
      </c>
      <c r="F46" s="16" t="s">
        <v>441</v>
      </c>
      <c r="G46" s="29" t="s">
        <v>11</v>
      </c>
      <c r="H46" s="29" t="s">
        <v>11</v>
      </c>
      <c r="I46" s="29" t="s">
        <v>11</v>
      </c>
      <c r="J46" s="66" t="s">
        <v>11</v>
      </c>
      <c r="K46" s="20" t="s">
        <v>11</v>
      </c>
      <c r="L46" s="67" t="s">
        <v>11</v>
      </c>
      <c r="M46" s="28" t="s">
        <v>11</v>
      </c>
      <c r="N46" s="23" t="s">
        <v>11</v>
      </c>
      <c r="O46" s="23" t="s">
        <v>11</v>
      </c>
      <c r="P46" s="23" t="s">
        <v>11</v>
      </c>
      <c r="Q46" s="23" t="s">
        <v>11</v>
      </c>
      <c r="R46" s="23" t="s">
        <v>11</v>
      </c>
      <c r="S46" s="23" t="s">
        <v>140</v>
      </c>
      <c r="T46" s="23" t="s">
        <v>11</v>
      </c>
      <c r="U46" s="23" t="s">
        <v>11</v>
      </c>
      <c r="V46" s="23" t="s">
        <v>11</v>
      </c>
      <c r="W46" s="23" t="s">
        <v>11</v>
      </c>
      <c r="X46" s="23" t="s">
        <v>11</v>
      </c>
      <c r="Y46" s="23" t="s">
        <v>11</v>
      </c>
      <c r="Z46" s="23" t="s">
        <v>11</v>
      </c>
      <c r="AA46" s="23" t="s">
        <v>11</v>
      </c>
      <c r="AB46" s="59" t="s">
        <v>11</v>
      </c>
      <c r="AC46" s="59" t="s">
        <v>11</v>
      </c>
      <c r="AE46" s="23" t="s">
        <v>11</v>
      </c>
      <c r="AF46" s="23" t="s">
        <v>11</v>
      </c>
      <c r="AG46" s="23" t="s">
        <v>11</v>
      </c>
      <c r="AH46" s="23" t="s">
        <v>11</v>
      </c>
      <c r="AI46" s="23" t="s">
        <v>11</v>
      </c>
      <c r="AJ46" s="23" t="s">
        <v>11</v>
      </c>
      <c r="AK46" s="23" t="s">
        <v>11</v>
      </c>
      <c r="AL46" s="23" t="s">
        <v>481</v>
      </c>
      <c r="AM46" s="23" t="s">
        <v>481</v>
      </c>
      <c r="AN46" s="23" t="s">
        <v>481</v>
      </c>
      <c r="AO46" s="23" t="s">
        <v>11</v>
      </c>
      <c r="AP46" s="23" t="s">
        <v>11</v>
      </c>
      <c r="AQ46" s="23" t="s">
        <v>11</v>
      </c>
      <c r="AR46" s="23"/>
      <c r="AS46" s="23"/>
      <c r="AT46" s="23"/>
      <c r="AU46" s="23" t="s">
        <v>11</v>
      </c>
      <c r="AV46" s="23" t="s">
        <v>11</v>
      </c>
      <c r="AW46" s="23"/>
      <c r="AX46" s="23" t="s">
        <v>11</v>
      </c>
      <c r="AY46" s="23" t="s">
        <v>11</v>
      </c>
      <c r="AZ46" s="23" t="s">
        <v>11</v>
      </c>
      <c r="BB46" s="29" t="s">
        <v>11</v>
      </c>
      <c r="BC46" s="29" t="s">
        <v>11</v>
      </c>
      <c r="BD46" s="29" t="s">
        <v>11</v>
      </c>
    </row>
    <row r="47" spans="1:56" x14ac:dyDescent="0.25">
      <c r="A47" s="13">
        <v>45</v>
      </c>
      <c r="B47" s="379"/>
      <c r="C47" s="14" t="s">
        <v>337</v>
      </c>
      <c r="D47" s="15" t="s">
        <v>442</v>
      </c>
      <c r="E47" s="15" t="s">
        <v>477</v>
      </c>
      <c r="F47" s="16" t="s">
        <v>441</v>
      </c>
      <c r="G47" s="25" t="s">
        <v>519</v>
      </c>
      <c r="H47" s="25" t="s">
        <v>519</v>
      </c>
      <c r="I47" s="25" t="s">
        <v>519</v>
      </c>
      <c r="J47" s="25" t="s">
        <v>519</v>
      </c>
      <c r="K47" s="68" t="s">
        <v>140</v>
      </c>
      <c r="L47" s="25" t="s">
        <v>519</v>
      </c>
      <c r="M47" s="69" t="s">
        <v>494</v>
      </c>
      <c r="N47" s="23" t="s">
        <v>140</v>
      </c>
      <c r="O47" s="23" t="s">
        <v>140</v>
      </c>
      <c r="P47" s="21" t="s">
        <v>140</v>
      </c>
      <c r="Q47" s="21" t="s">
        <v>140</v>
      </c>
      <c r="R47" s="23" t="s">
        <v>11</v>
      </c>
      <c r="S47" s="23" t="s">
        <v>140</v>
      </c>
      <c r="T47" s="23" t="s">
        <v>11</v>
      </c>
      <c r="U47" s="23" t="s">
        <v>11</v>
      </c>
      <c r="V47" s="21" t="s">
        <v>140</v>
      </c>
      <c r="W47" s="23" t="s">
        <v>148</v>
      </c>
      <c r="X47" s="23" t="s">
        <v>148</v>
      </c>
      <c r="Y47" s="23" t="s">
        <v>11</v>
      </c>
      <c r="Z47" s="23" t="s">
        <v>11</v>
      </c>
      <c r="AA47" s="23" t="s">
        <v>11</v>
      </c>
      <c r="AB47" s="59" t="s">
        <v>133</v>
      </c>
      <c r="AC47" s="59" t="s">
        <v>133</v>
      </c>
      <c r="AE47" s="23" t="s">
        <v>11</v>
      </c>
      <c r="AF47" s="23">
        <v>70000</v>
      </c>
      <c r="AG47" s="23" t="s">
        <v>140</v>
      </c>
      <c r="AH47" s="23" t="s">
        <v>140</v>
      </c>
      <c r="AI47" s="23" t="s">
        <v>11</v>
      </c>
      <c r="AJ47" s="23" t="s">
        <v>500</v>
      </c>
      <c r="AK47" s="23" t="s">
        <v>500</v>
      </c>
      <c r="AL47" s="23" t="s">
        <v>481</v>
      </c>
      <c r="AM47" s="23" t="s">
        <v>481</v>
      </c>
      <c r="AN47" s="23" t="s">
        <v>481</v>
      </c>
      <c r="AO47" s="23" t="s">
        <v>140</v>
      </c>
      <c r="AP47" s="23" t="s">
        <v>11</v>
      </c>
      <c r="AQ47" s="23" t="s">
        <v>11</v>
      </c>
      <c r="AR47" s="23"/>
      <c r="AS47" s="23"/>
      <c r="AT47" s="23"/>
      <c r="AU47" s="23" t="s">
        <v>11</v>
      </c>
      <c r="AV47" s="23" t="s">
        <v>11</v>
      </c>
      <c r="AW47" s="23"/>
      <c r="AX47" s="23" t="s">
        <v>11</v>
      </c>
      <c r="AY47" s="23" t="s">
        <v>11</v>
      </c>
      <c r="AZ47" s="23" t="s">
        <v>11</v>
      </c>
      <c r="BB47" s="25"/>
      <c r="BC47" s="25" t="s">
        <v>138</v>
      </c>
      <c r="BD47" s="25" t="s">
        <v>138</v>
      </c>
    </row>
    <row r="48" spans="1:56" x14ac:dyDescent="0.25">
      <c r="A48" s="13">
        <v>46</v>
      </c>
      <c r="B48" s="379"/>
      <c r="C48" s="14" t="s">
        <v>293</v>
      </c>
      <c r="D48" s="15" t="s">
        <v>423</v>
      </c>
      <c r="E48" s="15" t="s">
        <v>520</v>
      </c>
      <c r="F48" s="16" t="s">
        <v>441</v>
      </c>
      <c r="G48" s="25" t="s">
        <v>521</v>
      </c>
      <c r="H48" s="25" t="s">
        <v>522</v>
      </c>
      <c r="I48" s="25" t="s">
        <v>522</v>
      </c>
      <c r="J48" s="70">
        <v>45491</v>
      </c>
      <c r="K48" s="68" t="s">
        <v>140</v>
      </c>
      <c r="L48" s="71">
        <v>45491</v>
      </c>
      <c r="M48" s="22" t="s">
        <v>494</v>
      </c>
      <c r="N48" s="23" t="s">
        <v>140</v>
      </c>
      <c r="O48" s="23" t="s">
        <v>140</v>
      </c>
      <c r="P48" s="23" t="s">
        <v>140</v>
      </c>
      <c r="Q48" s="23" t="s">
        <v>140</v>
      </c>
      <c r="R48" s="23" t="s">
        <v>140</v>
      </c>
      <c r="S48" s="23" t="s">
        <v>140</v>
      </c>
      <c r="T48" s="23" t="s">
        <v>11</v>
      </c>
      <c r="U48" s="23" t="s">
        <v>11</v>
      </c>
      <c r="V48" s="23" t="s">
        <v>140</v>
      </c>
      <c r="W48" s="23" t="s">
        <v>140</v>
      </c>
      <c r="X48" s="23" t="s">
        <v>148</v>
      </c>
      <c r="Y48" s="23" t="s">
        <v>11</v>
      </c>
      <c r="Z48" s="23" t="s">
        <v>11</v>
      </c>
      <c r="AA48" s="23" t="s">
        <v>11</v>
      </c>
      <c r="AB48" s="72" t="s">
        <v>133</v>
      </c>
      <c r="AC48" s="72" t="s">
        <v>133</v>
      </c>
      <c r="AE48" s="23" t="s">
        <v>11</v>
      </c>
      <c r="AF48" s="23">
        <v>80000</v>
      </c>
      <c r="AG48" s="23" t="s">
        <v>140</v>
      </c>
      <c r="AH48" s="23" t="s">
        <v>140</v>
      </c>
      <c r="AI48" s="23">
        <v>20000</v>
      </c>
      <c r="AJ48" s="23" t="s">
        <v>500</v>
      </c>
      <c r="AK48" s="23" t="s">
        <v>500</v>
      </c>
      <c r="AL48" s="23" t="s">
        <v>481</v>
      </c>
      <c r="AM48" s="23" t="s">
        <v>481</v>
      </c>
      <c r="AN48" s="23" t="s">
        <v>481</v>
      </c>
      <c r="AO48" s="23" t="s">
        <v>140</v>
      </c>
      <c r="AP48" s="23" t="s">
        <v>11</v>
      </c>
      <c r="AQ48" s="23" t="s">
        <v>11</v>
      </c>
      <c r="AR48" s="23"/>
      <c r="AS48" s="23"/>
      <c r="AT48" s="23"/>
      <c r="AU48" s="23" t="s">
        <v>11</v>
      </c>
      <c r="AV48" s="23" t="s">
        <v>11</v>
      </c>
      <c r="AW48" s="23"/>
      <c r="AX48" s="23" t="s">
        <v>140</v>
      </c>
      <c r="AY48" s="23" t="s">
        <v>140</v>
      </c>
      <c r="AZ48" s="23" t="s">
        <v>500</v>
      </c>
      <c r="BB48" s="25">
        <v>45576</v>
      </c>
      <c r="BC48" s="25" t="s">
        <v>138</v>
      </c>
      <c r="BD48" s="25" t="s">
        <v>138</v>
      </c>
    </row>
    <row r="49" spans="1:56" x14ac:dyDescent="0.25">
      <c r="A49" s="13">
        <v>47</v>
      </c>
      <c r="B49" s="379"/>
      <c r="C49" s="14" t="s">
        <v>523</v>
      </c>
      <c r="D49" s="15" t="s">
        <v>423</v>
      </c>
      <c r="E49" s="15" t="s">
        <v>426</v>
      </c>
      <c r="F49" s="16" t="s">
        <v>441</v>
      </c>
      <c r="G49" s="25" t="s">
        <v>524</v>
      </c>
      <c r="H49" s="25" t="s">
        <v>524</v>
      </c>
      <c r="I49" s="25" t="s">
        <v>524</v>
      </c>
      <c r="J49" s="73" t="s">
        <v>524</v>
      </c>
      <c r="K49" s="74" t="s">
        <v>140</v>
      </c>
      <c r="L49" s="75" t="s">
        <v>525</v>
      </c>
      <c r="M49" s="22" t="s">
        <v>494</v>
      </c>
      <c r="N49" s="23" t="s">
        <v>140</v>
      </c>
      <c r="O49" s="23" t="s">
        <v>140</v>
      </c>
      <c r="P49" s="23" t="s">
        <v>140</v>
      </c>
      <c r="Q49" s="23" t="s">
        <v>11</v>
      </c>
      <c r="R49" s="23" t="s">
        <v>140</v>
      </c>
      <c r="S49" s="23" t="s">
        <v>140</v>
      </c>
      <c r="T49" s="23" t="s">
        <v>11</v>
      </c>
      <c r="U49" s="23" t="s">
        <v>11</v>
      </c>
      <c r="V49" s="23" t="s">
        <v>11</v>
      </c>
      <c r="W49" s="23" t="s">
        <v>140</v>
      </c>
      <c r="X49" s="23" t="s">
        <v>140</v>
      </c>
      <c r="Y49" s="23" t="s">
        <v>11</v>
      </c>
      <c r="Z49" s="23" t="s">
        <v>11</v>
      </c>
      <c r="AA49" s="23" t="s">
        <v>11</v>
      </c>
      <c r="AB49" s="72" t="s">
        <v>133</v>
      </c>
      <c r="AC49" s="72" t="s">
        <v>133</v>
      </c>
      <c r="AE49" s="23">
        <v>25000</v>
      </c>
      <c r="AF49" s="23">
        <v>25000</v>
      </c>
      <c r="AG49" s="23" t="s">
        <v>140</v>
      </c>
      <c r="AH49" s="23" t="s">
        <v>140</v>
      </c>
      <c r="AI49" s="23" t="s">
        <v>11</v>
      </c>
      <c r="AJ49" s="23" t="s">
        <v>500</v>
      </c>
      <c r="AK49" s="23" t="s">
        <v>500</v>
      </c>
      <c r="AL49" s="23" t="s">
        <v>481</v>
      </c>
      <c r="AM49" s="23" t="s">
        <v>481</v>
      </c>
      <c r="AN49" s="23" t="s">
        <v>481</v>
      </c>
      <c r="AO49" s="23" t="s">
        <v>148</v>
      </c>
      <c r="AP49" s="23" t="s">
        <v>11</v>
      </c>
      <c r="AQ49" s="23" t="s">
        <v>11</v>
      </c>
      <c r="AR49" s="23"/>
      <c r="AS49" s="23"/>
      <c r="AT49" s="23"/>
      <c r="AU49" s="23" t="s">
        <v>11</v>
      </c>
      <c r="AV49" s="23" t="s">
        <v>11</v>
      </c>
      <c r="AW49" s="23"/>
      <c r="AX49" s="23" t="s">
        <v>11</v>
      </c>
      <c r="AY49" s="23" t="s">
        <v>11</v>
      </c>
      <c r="AZ49" s="23" t="s">
        <v>11</v>
      </c>
      <c r="BB49" s="25" t="s">
        <v>485</v>
      </c>
      <c r="BC49" s="25" t="s">
        <v>138</v>
      </c>
      <c r="BD49" s="25" t="s">
        <v>138</v>
      </c>
    </row>
    <row r="50" spans="1:56" x14ac:dyDescent="0.25">
      <c r="A50" s="13">
        <v>48</v>
      </c>
      <c r="B50" s="379"/>
      <c r="C50" s="14" t="s">
        <v>526</v>
      </c>
      <c r="D50" s="15" t="s">
        <v>11</v>
      </c>
      <c r="E50" s="15" t="s">
        <v>426</v>
      </c>
      <c r="F50" s="16" t="s">
        <v>441</v>
      </c>
      <c r="G50" s="25" t="s">
        <v>524</v>
      </c>
      <c r="H50" s="25" t="s">
        <v>524</v>
      </c>
      <c r="I50" s="25" t="s">
        <v>524</v>
      </c>
      <c r="J50" s="73" t="s">
        <v>524</v>
      </c>
      <c r="K50" s="74" t="s">
        <v>140</v>
      </c>
      <c r="L50" s="70" t="s">
        <v>525</v>
      </c>
      <c r="M50" s="69" t="s">
        <v>11</v>
      </c>
      <c r="N50" s="23" t="s">
        <v>11</v>
      </c>
      <c r="O50" s="23" t="s">
        <v>140</v>
      </c>
      <c r="P50" s="23" t="s">
        <v>11</v>
      </c>
      <c r="Q50" s="23" t="s">
        <v>11</v>
      </c>
      <c r="R50" s="23" t="s">
        <v>140</v>
      </c>
      <c r="S50" s="23" t="s">
        <v>140</v>
      </c>
      <c r="T50" s="23" t="s">
        <v>11</v>
      </c>
      <c r="U50" s="23" t="s">
        <v>11</v>
      </c>
      <c r="V50" s="23" t="s">
        <v>11</v>
      </c>
      <c r="W50" s="23" t="s">
        <v>140</v>
      </c>
      <c r="X50" s="23" t="s">
        <v>140</v>
      </c>
      <c r="Y50" s="23" t="s">
        <v>11</v>
      </c>
      <c r="Z50" s="23" t="s">
        <v>11</v>
      </c>
      <c r="AA50" s="23" t="s">
        <v>11</v>
      </c>
      <c r="AB50" s="72" t="s">
        <v>133</v>
      </c>
      <c r="AC50" s="72" t="s">
        <v>133</v>
      </c>
      <c r="AE50" s="23">
        <v>25000</v>
      </c>
      <c r="AF50" s="23">
        <v>25000</v>
      </c>
      <c r="AG50" s="23" t="s">
        <v>140</v>
      </c>
      <c r="AH50" s="23" t="s">
        <v>148</v>
      </c>
      <c r="AI50" s="23" t="s">
        <v>11</v>
      </c>
      <c r="AJ50" s="23" t="s">
        <v>500</v>
      </c>
      <c r="AK50" s="23" t="s">
        <v>500</v>
      </c>
      <c r="AL50" s="23" t="s">
        <v>481</v>
      </c>
      <c r="AM50" s="23" t="s">
        <v>481</v>
      </c>
      <c r="AN50" s="23" t="s">
        <v>481</v>
      </c>
      <c r="AO50" s="23" t="s">
        <v>148</v>
      </c>
      <c r="AP50" s="23" t="s">
        <v>11</v>
      </c>
      <c r="AQ50" s="23" t="s">
        <v>11</v>
      </c>
      <c r="AR50" s="23"/>
      <c r="AS50" s="23"/>
      <c r="AT50" s="23"/>
      <c r="AU50" s="23" t="s">
        <v>11</v>
      </c>
      <c r="AV50" s="23" t="s">
        <v>11</v>
      </c>
      <c r="AW50" s="23"/>
      <c r="AX50" s="23" t="s">
        <v>11</v>
      </c>
      <c r="AY50" s="23" t="s">
        <v>11</v>
      </c>
      <c r="AZ50" s="23" t="s">
        <v>11</v>
      </c>
      <c r="BB50" s="25" t="s">
        <v>485</v>
      </c>
      <c r="BC50" s="25" t="s">
        <v>11</v>
      </c>
      <c r="BD50" s="25" t="s">
        <v>11</v>
      </c>
    </row>
    <row r="51" spans="1:56" x14ac:dyDescent="0.25">
      <c r="A51" s="13">
        <v>49</v>
      </c>
      <c r="B51" s="379"/>
      <c r="C51" s="14" t="s">
        <v>296</v>
      </c>
      <c r="D51" s="15" t="s">
        <v>423</v>
      </c>
      <c r="E51" s="15" t="s">
        <v>426</v>
      </c>
      <c r="F51" s="16" t="s">
        <v>441</v>
      </c>
      <c r="G51" s="76" t="s">
        <v>527</v>
      </c>
      <c r="H51" s="76" t="s">
        <v>527</v>
      </c>
      <c r="I51" s="76" t="s">
        <v>527</v>
      </c>
      <c r="J51" s="42">
        <v>45537</v>
      </c>
      <c r="K51" s="20" t="s">
        <v>140</v>
      </c>
      <c r="L51" s="70">
        <v>45537</v>
      </c>
      <c r="M51" s="22" t="s">
        <v>494</v>
      </c>
      <c r="N51" s="23" t="s">
        <v>140</v>
      </c>
      <c r="O51" s="23" t="s">
        <v>140</v>
      </c>
      <c r="P51" s="23" t="s">
        <v>140</v>
      </c>
      <c r="Q51" s="23" t="s">
        <v>11</v>
      </c>
      <c r="R51" s="23" t="s">
        <v>140</v>
      </c>
      <c r="S51" s="23" t="s">
        <v>140</v>
      </c>
      <c r="T51" s="23" t="s">
        <v>11</v>
      </c>
      <c r="U51" s="23" t="s">
        <v>11</v>
      </c>
      <c r="V51" s="23" t="s">
        <v>11</v>
      </c>
      <c r="W51" s="23" t="s">
        <v>148</v>
      </c>
      <c r="X51" s="23" t="s">
        <v>148</v>
      </c>
      <c r="Y51" s="23" t="s">
        <v>11</v>
      </c>
      <c r="Z51" s="23" t="s">
        <v>11</v>
      </c>
      <c r="AA51" s="23" t="s">
        <v>11</v>
      </c>
      <c r="AB51" s="72" t="s">
        <v>133</v>
      </c>
      <c r="AC51" s="72" t="s">
        <v>133</v>
      </c>
      <c r="AE51" s="23">
        <v>0</v>
      </c>
      <c r="AF51" s="23">
        <v>80000</v>
      </c>
      <c r="AG51" s="23" t="s">
        <v>140</v>
      </c>
      <c r="AH51" s="23" t="s">
        <v>140</v>
      </c>
      <c r="AI51" s="23" t="s">
        <v>11</v>
      </c>
      <c r="AJ51" s="23" t="s">
        <v>500</v>
      </c>
      <c r="AK51" s="23" t="s">
        <v>500</v>
      </c>
      <c r="AL51" s="23" t="s">
        <v>481</v>
      </c>
      <c r="AM51" s="23" t="s">
        <v>481</v>
      </c>
      <c r="AN51" s="23" t="s">
        <v>481</v>
      </c>
      <c r="AO51" s="23" t="s">
        <v>140</v>
      </c>
      <c r="AP51" s="23" t="s">
        <v>11</v>
      </c>
      <c r="AQ51" s="23" t="s">
        <v>11</v>
      </c>
      <c r="AR51" s="23"/>
      <c r="AS51" s="23"/>
      <c r="AT51" s="23"/>
      <c r="AU51" s="23" t="s">
        <v>11</v>
      </c>
      <c r="AV51" s="23" t="s">
        <v>11</v>
      </c>
      <c r="AW51" s="23"/>
      <c r="AX51" s="23" t="s">
        <v>11</v>
      </c>
      <c r="AY51" s="23" t="s">
        <v>11</v>
      </c>
      <c r="AZ51" s="23" t="s">
        <v>11</v>
      </c>
      <c r="BB51" s="77"/>
      <c r="BC51" s="77" t="s">
        <v>138</v>
      </c>
      <c r="BD51" s="77" t="s">
        <v>138</v>
      </c>
    </row>
    <row r="52" spans="1:56" x14ac:dyDescent="0.25">
      <c r="A52" s="13">
        <v>50</v>
      </c>
      <c r="B52" s="380"/>
      <c r="C52" s="14" t="s">
        <v>528</v>
      </c>
      <c r="D52" s="15" t="s">
        <v>423</v>
      </c>
      <c r="E52" s="15" t="s">
        <v>11</v>
      </c>
      <c r="F52" s="16" t="s">
        <v>441</v>
      </c>
      <c r="G52" s="25" t="s">
        <v>529</v>
      </c>
      <c r="H52" s="25" t="s">
        <v>529</v>
      </c>
      <c r="I52" s="25" t="s">
        <v>529</v>
      </c>
      <c r="J52" s="25" t="s">
        <v>529</v>
      </c>
      <c r="K52" s="20" t="s">
        <v>11</v>
      </c>
      <c r="L52" s="23" t="s">
        <v>11</v>
      </c>
      <c r="M52" s="22" t="s">
        <v>494</v>
      </c>
      <c r="N52" s="23" t="s">
        <v>140</v>
      </c>
      <c r="O52" s="23" t="s">
        <v>140</v>
      </c>
      <c r="P52" s="23" t="s">
        <v>11</v>
      </c>
      <c r="Q52" s="23" t="s">
        <v>11</v>
      </c>
      <c r="R52" s="23" t="s">
        <v>11</v>
      </c>
      <c r="S52" s="23" t="s">
        <v>140</v>
      </c>
      <c r="T52" s="23" t="s">
        <v>11</v>
      </c>
      <c r="U52" s="23" t="s">
        <v>11</v>
      </c>
      <c r="V52" s="23" t="s">
        <v>11</v>
      </c>
      <c r="W52" s="23" t="s">
        <v>11</v>
      </c>
      <c r="X52" s="23" t="s">
        <v>11</v>
      </c>
      <c r="Y52" s="23" t="s">
        <v>11</v>
      </c>
      <c r="Z52" s="23" t="s">
        <v>11</v>
      </c>
      <c r="AA52" s="23" t="s">
        <v>11</v>
      </c>
      <c r="AB52" s="72" t="s">
        <v>133</v>
      </c>
      <c r="AC52" s="72" t="s">
        <v>133</v>
      </c>
      <c r="AE52" s="23">
        <v>6500</v>
      </c>
      <c r="AF52" s="23">
        <v>6500</v>
      </c>
      <c r="AG52" s="23" t="s">
        <v>11</v>
      </c>
      <c r="AH52" s="23" t="s">
        <v>11</v>
      </c>
      <c r="AI52" s="23" t="s">
        <v>11</v>
      </c>
      <c r="AJ52" s="23" t="s">
        <v>11</v>
      </c>
      <c r="AK52" s="23" t="s">
        <v>11</v>
      </c>
      <c r="AL52" s="23" t="s">
        <v>481</v>
      </c>
      <c r="AM52" s="23" t="s">
        <v>481</v>
      </c>
      <c r="AN52" s="23" t="s">
        <v>481</v>
      </c>
      <c r="AO52" s="23" t="s">
        <v>140</v>
      </c>
      <c r="AP52" s="23" t="s">
        <v>11</v>
      </c>
      <c r="AQ52" s="23" t="s">
        <v>11</v>
      </c>
      <c r="AR52" s="23"/>
      <c r="AS52" s="23"/>
      <c r="AT52" s="23"/>
      <c r="AU52" s="23" t="s">
        <v>11</v>
      </c>
      <c r="AV52" s="23" t="s">
        <v>11</v>
      </c>
      <c r="AW52" s="23"/>
      <c r="AX52" s="23" t="s">
        <v>11</v>
      </c>
      <c r="AY52" s="23" t="s">
        <v>11</v>
      </c>
      <c r="AZ52" s="23" t="s">
        <v>11</v>
      </c>
      <c r="BB52" s="25" t="s">
        <v>11</v>
      </c>
      <c r="BC52" s="25" t="s">
        <v>11</v>
      </c>
      <c r="BD52" s="25" t="s">
        <v>11</v>
      </c>
    </row>
    <row r="53" spans="1:56" x14ac:dyDescent="0.25">
      <c r="A53" s="13">
        <f t="shared" si="0"/>
        <v>51</v>
      </c>
      <c r="B53" s="375" t="s">
        <v>254</v>
      </c>
      <c r="C53" s="14" t="s">
        <v>250</v>
      </c>
      <c r="D53" s="15" t="s">
        <v>442</v>
      </c>
      <c r="E53" s="15" t="s">
        <v>426</v>
      </c>
      <c r="F53" s="16" t="s">
        <v>254</v>
      </c>
      <c r="G53" s="78">
        <v>45397</v>
      </c>
      <c r="H53" s="79" t="s">
        <v>516</v>
      </c>
      <c r="I53" s="79" t="s">
        <v>530</v>
      </c>
      <c r="J53" s="80">
        <v>45412</v>
      </c>
      <c r="K53" s="20" t="s">
        <v>140</v>
      </c>
      <c r="L53" s="21">
        <v>45412</v>
      </c>
      <c r="M53" s="22" t="s">
        <v>494</v>
      </c>
      <c r="N53" s="23" t="s">
        <v>140</v>
      </c>
      <c r="O53" s="23" t="s">
        <v>140</v>
      </c>
      <c r="P53" s="23" t="s">
        <v>140</v>
      </c>
      <c r="Q53" s="23" t="s">
        <v>140</v>
      </c>
      <c r="R53" s="23" t="s">
        <v>11</v>
      </c>
      <c r="S53" s="23" t="s">
        <v>140</v>
      </c>
      <c r="T53" s="23" t="s">
        <v>138</v>
      </c>
      <c r="U53" s="23" t="s">
        <v>11</v>
      </c>
      <c r="V53" s="23" t="s">
        <v>140</v>
      </c>
      <c r="W53" s="23" t="s">
        <v>140</v>
      </c>
      <c r="X53" s="23" t="s">
        <v>140</v>
      </c>
      <c r="Y53" s="23" t="s">
        <v>11</v>
      </c>
      <c r="Z53" s="23" t="s">
        <v>140</v>
      </c>
      <c r="AA53" s="23" t="s">
        <v>11</v>
      </c>
      <c r="AB53" s="23" t="s">
        <v>531</v>
      </c>
      <c r="AC53" s="23" t="s">
        <v>532</v>
      </c>
      <c r="AE53" s="23">
        <v>194910</v>
      </c>
      <c r="AF53" s="23">
        <v>225000</v>
      </c>
      <c r="AG53" s="23" t="s">
        <v>140</v>
      </c>
      <c r="AH53" s="23" t="s">
        <v>140</v>
      </c>
      <c r="AI53" s="23">
        <v>19965</v>
      </c>
      <c r="AJ53" s="23" t="s">
        <v>500</v>
      </c>
      <c r="AK53" s="23" t="s">
        <v>500</v>
      </c>
      <c r="AL53" s="23" t="s">
        <v>481</v>
      </c>
      <c r="AM53" s="23" t="s">
        <v>481</v>
      </c>
      <c r="AN53" s="23" t="s">
        <v>481</v>
      </c>
      <c r="AO53" s="23"/>
      <c r="AP53" s="23"/>
      <c r="AQ53" s="23"/>
      <c r="AR53" s="23" t="s">
        <v>140</v>
      </c>
      <c r="AS53" s="23" t="s">
        <v>140</v>
      </c>
      <c r="AT53" s="23" t="s">
        <v>140</v>
      </c>
      <c r="AU53" s="23" t="s">
        <v>140</v>
      </c>
      <c r="AV53" s="23" t="s">
        <v>140</v>
      </c>
      <c r="AW53" s="23" t="s">
        <v>148</v>
      </c>
      <c r="AX53" s="23" t="s">
        <v>140</v>
      </c>
      <c r="AY53" s="23" t="s">
        <v>140</v>
      </c>
      <c r="AZ53" s="23" t="s">
        <v>140</v>
      </c>
      <c r="BB53" s="25"/>
      <c r="BC53" s="25" t="s">
        <v>11</v>
      </c>
      <c r="BD53" s="25" t="s">
        <v>11</v>
      </c>
    </row>
    <row r="54" spans="1:56" x14ac:dyDescent="0.25">
      <c r="A54" s="13">
        <f t="shared" si="0"/>
        <v>52</v>
      </c>
      <c r="B54" s="376"/>
      <c r="C54" s="14" t="s">
        <v>444</v>
      </c>
      <c r="D54" s="15" t="s">
        <v>428</v>
      </c>
      <c r="E54" s="15" t="s">
        <v>445</v>
      </c>
      <c r="F54" s="26" t="s">
        <v>254</v>
      </c>
      <c r="G54" s="43">
        <v>45443</v>
      </c>
      <c r="H54" s="27" t="s">
        <v>533</v>
      </c>
      <c r="I54" s="27" t="s">
        <v>534</v>
      </c>
      <c r="J54" s="27">
        <v>45458</v>
      </c>
      <c r="K54" s="20" t="s">
        <v>140</v>
      </c>
      <c r="L54" s="23"/>
      <c r="M54" s="28" t="s">
        <v>494</v>
      </c>
      <c r="N54" s="23" t="s">
        <v>140</v>
      </c>
      <c r="O54" s="23" t="s">
        <v>140</v>
      </c>
      <c r="P54" s="23" t="s">
        <v>140</v>
      </c>
      <c r="Q54" s="23" t="s">
        <v>140</v>
      </c>
      <c r="R54" s="23" t="s">
        <v>11</v>
      </c>
      <c r="S54" s="23" t="s">
        <v>140</v>
      </c>
      <c r="T54" s="23" t="s">
        <v>138</v>
      </c>
      <c r="U54" s="23" t="s">
        <v>11</v>
      </c>
      <c r="V54" s="23" t="s">
        <v>140</v>
      </c>
      <c r="W54" s="23" t="s">
        <v>11</v>
      </c>
      <c r="X54" s="23" t="s">
        <v>11</v>
      </c>
      <c r="Y54" s="23" t="s">
        <v>11</v>
      </c>
      <c r="Z54" s="23" t="s">
        <v>140</v>
      </c>
      <c r="AA54" s="23" t="s">
        <v>140</v>
      </c>
      <c r="AB54" s="23">
        <v>0</v>
      </c>
      <c r="AC54" s="23" t="s">
        <v>535</v>
      </c>
      <c r="AE54" s="23" t="s">
        <v>11</v>
      </c>
      <c r="AF54" s="23">
        <v>125000</v>
      </c>
      <c r="AG54" s="23" t="s">
        <v>140</v>
      </c>
      <c r="AH54" s="23" t="s">
        <v>140</v>
      </c>
      <c r="AI54" s="23" t="s">
        <v>481</v>
      </c>
      <c r="AJ54" s="23" t="s">
        <v>11</v>
      </c>
      <c r="AK54" s="23" t="s">
        <v>11</v>
      </c>
      <c r="AL54" s="23" t="s">
        <v>481</v>
      </c>
      <c r="AM54" s="23" t="s">
        <v>481</v>
      </c>
      <c r="AN54" s="23" t="s">
        <v>481</v>
      </c>
      <c r="AO54" s="23"/>
      <c r="AP54" s="23"/>
      <c r="AQ54" s="23"/>
      <c r="AR54" s="23" t="s">
        <v>11</v>
      </c>
      <c r="AS54" s="23" t="s">
        <v>11</v>
      </c>
      <c r="AT54" s="23" t="s">
        <v>11</v>
      </c>
      <c r="AU54" s="23" t="s">
        <v>140</v>
      </c>
      <c r="AV54" s="23" t="s">
        <v>148</v>
      </c>
      <c r="AW54" s="23" t="s">
        <v>148</v>
      </c>
      <c r="AX54" s="23" t="s">
        <v>140</v>
      </c>
      <c r="AY54" s="23" t="s">
        <v>140</v>
      </c>
      <c r="AZ54" s="23" t="s">
        <v>148</v>
      </c>
      <c r="BB54" s="29"/>
      <c r="BC54" s="29" t="s">
        <v>147</v>
      </c>
      <c r="BD54" s="29" t="s">
        <v>11</v>
      </c>
    </row>
    <row r="55" spans="1:56" x14ac:dyDescent="0.25">
      <c r="A55" s="13">
        <v>52</v>
      </c>
      <c r="B55" s="376"/>
      <c r="C55" s="14" t="s">
        <v>536</v>
      </c>
      <c r="D55" s="15" t="s">
        <v>423</v>
      </c>
      <c r="E55" s="15" t="s">
        <v>11</v>
      </c>
      <c r="F55" s="16" t="s">
        <v>254</v>
      </c>
      <c r="G55" s="30" t="s">
        <v>537</v>
      </c>
      <c r="H55" s="31" t="s">
        <v>538</v>
      </c>
      <c r="I55" s="31" t="s">
        <v>538</v>
      </c>
      <c r="J55" s="32">
        <v>45412</v>
      </c>
      <c r="K55" s="20" t="s">
        <v>140</v>
      </c>
      <c r="L55" s="43">
        <v>45408</v>
      </c>
      <c r="M55" s="44">
        <v>45493</v>
      </c>
      <c r="N55" s="23" t="s">
        <v>140</v>
      </c>
      <c r="O55" s="23" t="s">
        <v>140</v>
      </c>
      <c r="P55" s="23" t="s">
        <v>140</v>
      </c>
      <c r="Q55" s="23" t="s">
        <v>140</v>
      </c>
      <c r="R55" s="23" t="s">
        <v>11</v>
      </c>
      <c r="S55" s="23" t="s">
        <v>140</v>
      </c>
      <c r="T55" s="23" t="s">
        <v>147</v>
      </c>
      <c r="U55" s="23" t="s">
        <v>140</v>
      </c>
      <c r="V55" s="23" t="s">
        <v>140</v>
      </c>
      <c r="W55" s="23" t="s">
        <v>11</v>
      </c>
      <c r="X55" s="23" t="s">
        <v>11</v>
      </c>
      <c r="Y55" s="23" t="s">
        <v>11</v>
      </c>
      <c r="Z55" s="23" t="s">
        <v>140</v>
      </c>
      <c r="AA55" s="23" t="s">
        <v>140</v>
      </c>
      <c r="AB55" s="23" t="s">
        <v>539</v>
      </c>
      <c r="AC55" s="23" t="s">
        <v>540</v>
      </c>
      <c r="AE55" s="23" t="s">
        <v>541</v>
      </c>
      <c r="AF55" s="23">
        <v>225000</v>
      </c>
      <c r="AG55" s="23" t="s">
        <v>140</v>
      </c>
      <c r="AH55" s="23" t="s">
        <v>140</v>
      </c>
      <c r="AI55" s="23">
        <v>20000</v>
      </c>
      <c r="AJ55" s="23" t="s">
        <v>500</v>
      </c>
      <c r="AK55" s="23" t="s">
        <v>500</v>
      </c>
      <c r="AL55" s="23" t="s">
        <v>481</v>
      </c>
      <c r="AM55" s="23" t="s">
        <v>481</v>
      </c>
      <c r="AN55" s="23" t="s">
        <v>481</v>
      </c>
      <c r="AO55" s="23"/>
      <c r="AP55" s="23"/>
      <c r="AQ55" s="23"/>
      <c r="AR55" s="23" t="s">
        <v>140</v>
      </c>
      <c r="AS55" s="23" t="s">
        <v>500</v>
      </c>
      <c r="AT55" s="23" t="s">
        <v>500</v>
      </c>
      <c r="AU55" s="23" t="s">
        <v>140</v>
      </c>
      <c r="AV55" s="23" t="s">
        <v>148</v>
      </c>
      <c r="AW55" s="23" t="s">
        <v>148</v>
      </c>
      <c r="AX55" s="23" t="s">
        <v>140</v>
      </c>
      <c r="AY55" s="23" t="s">
        <v>140</v>
      </c>
      <c r="AZ55" s="23" t="s">
        <v>140</v>
      </c>
      <c r="BB55" s="25"/>
      <c r="BC55" s="25" t="s">
        <v>11</v>
      </c>
      <c r="BD55" s="25" t="s">
        <v>11</v>
      </c>
    </row>
    <row r="56" spans="1:56" x14ac:dyDescent="0.25">
      <c r="A56" s="13">
        <v>53</v>
      </c>
      <c r="B56" s="377"/>
      <c r="C56" s="14" t="s">
        <v>446</v>
      </c>
      <c r="D56" s="15" t="s">
        <v>423</v>
      </c>
      <c r="E56" s="15" t="s">
        <v>426</v>
      </c>
      <c r="F56" s="16" t="s">
        <v>254</v>
      </c>
      <c r="G56" s="81"/>
      <c r="H56" s="82"/>
      <c r="I56" s="82"/>
      <c r="J56" s="83">
        <v>45443</v>
      </c>
      <c r="K56" s="20" t="s">
        <v>140</v>
      </c>
      <c r="L56" s="84">
        <v>45471</v>
      </c>
      <c r="M56" s="85">
        <v>45498</v>
      </c>
      <c r="N56" s="23" t="s">
        <v>140</v>
      </c>
      <c r="O56" s="23" t="s">
        <v>140</v>
      </c>
      <c r="P56" s="23" t="s">
        <v>140</v>
      </c>
      <c r="Q56" s="23" t="s">
        <v>140</v>
      </c>
      <c r="R56" s="23" t="s">
        <v>140</v>
      </c>
      <c r="S56" s="23" t="s">
        <v>140</v>
      </c>
      <c r="T56" s="23" t="s">
        <v>138</v>
      </c>
      <c r="U56" s="23" t="s">
        <v>11</v>
      </c>
      <c r="V56" s="23" t="s">
        <v>140</v>
      </c>
      <c r="W56" s="23" t="s">
        <v>140</v>
      </c>
      <c r="X56" s="23" t="s">
        <v>140</v>
      </c>
      <c r="Y56" s="23" t="s">
        <v>11</v>
      </c>
      <c r="Z56" s="23" t="s">
        <v>140</v>
      </c>
      <c r="AA56" s="23" t="s">
        <v>140</v>
      </c>
      <c r="AB56" s="23" t="s">
        <v>133</v>
      </c>
      <c r="AC56" s="23" t="s">
        <v>542</v>
      </c>
      <c r="AE56" s="23" t="s">
        <v>11</v>
      </c>
      <c r="AF56" s="23">
        <v>75000</v>
      </c>
      <c r="AG56" s="23" t="s">
        <v>140</v>
      </c>
      <c r="AH56" s="23" t="s">
        <v>140</v>
      </c>
      <c r="AI56" s="23">
        <v>25000</v>
      </c>
      <c r="AJ56" s="23" t="s">
        <v>500</v>
      </c>
      <c r="AK56" s="23" t="s">
        <v>500</v>
      </c>
      <c r="AL56" s="23" t="s">
        <v>481</v>
      </c>
      <c r="AM56" s="23" t="s">
        <v>481</v>
      </c>
      <c r="AN56" s="23" t="s">
        <v>481</v>
      </c>
      <c r="AO56" s="23"/>
      <c r="AP56" s="23"/>
      <c r="AQ56" s="23"/>
      <c r="AR56" s="23" t="s">
        <v>140</v>
      </c>
      <c r="AS56" s="23" t="s">
        <v>500</v>
      </c>
      <c r="AT56" s="23" t="s">
        <v>500</v>
      </c>
      <c r="AU56" s="23" t="s">
        <v>140</v>
      </c>
      <c r="AV56" s="23" t="s">
        <v>148</v>
      </c>
      <c r="AW56" s="23" t="s">
        <v>148</v>
      </c>
      <c r="AX56" s="23" t="s">
        <v>140</v>
      </c>
      <c r="AY56" s="23" t="s">
        <v>140</v>
      </c>
      <c r="AZ56" s="23" t="s">
        <v>140</v>
      </c>
      <c r="BB56" s="25"/>
      <c r="BC56" s="25" t="s">
        <v>11</v>
      </c>
      <c r="BD56" s="25" t="s">
        <v>11</v>
      </c>
    </row>
  </sheetData>
  <autoFilter ref="A2:BH56" xr:uid="{00000000-0009-0000-0000-000003000000}"/>
  <mergeCells count="6">
    <mergeCell ref="B53:B56"/>
    <mergeCell ref="B3:B9"/>
    <mergeCell ref="B10:B22"/>
    <mergeCell ref="B23:B31"/>
    <mergeCell ref="B32:B40"/>
    <mergeCell ref="B41:B52"/>
  </mergeCells>
  <conditionalFormatting sqref="P3:R7 Q8:R8 P9:R12 Q13:R13 P14:R17 P19:R22 R23 R24 R25 R26:R41 R43:R51 R53:R56">
    <cfRule type="containsText" dxfId="11746" priority="2731" operator="containsText" text="Done">
      <formula>NOT(ISERROR(SEARCH("Done",Y2)))</formula>
    </cfRule>
  </conditionalFormatting>
  <conditionalFormatting sqref="P6:R6">
    <cfRule type="containsText" dxfId="11745" priority="2732" operator="containsText" text="Done">
      <formula>NOT(ISERROR(SEARCH("Done",Y2)))</formula>
    </cfRule>
  </conditionalFormatting>
  <conditionalFormatting sqref="P7:R7">
    <cfRule type="containsText" dxfId="11744" priority="2733" operator="containsText" text="Done">
      <formula>NOT(ISERROR(SEARCH("Done",Y2)))</formula>
    </cfRule>
  </conditionalFormatting>
  <conditionalFormatting sqref="P9:R9">
    <cfRule type="containsText" dxfId="11743" priority="2734" operator="containsText" text="Done">
      <formula>NOT(ISERROR(SEARCH("Done",Y2)))</formula>
    </cfRule>
  </conditionalFormatting>
  <conditionalFormatting sqref="Q4:R4">
    <cfRule type="containsText" dxfId="11742" priority="2735" operator="containsText" text="Done">
      <formula>NOT(ISERROR(SEARCH("Done",Y2)))</formula>
    </cfRule>
  </conditionalFormatting>
  <conditionalFormatting sqref="P3:R3">
    <cfRule type="containsText" dxfId="11741" priority="2736" operator="containsText" text="Done">
      <formula>NOT(ISERROR(SEARCH("Done",Y2)))</formula>
    </cfRule>
  </conditionalFormatting>
  <conditionalFormatting sqref="P12:Q12">
    <cfRule type="containsText" dxfId="11740" priority="2737" operator="containsText" text="Done">
      <formula>NOT(ISERROR(SEARCH("Done",Y2)))</formula>
    </cfRule>
  </conditionalFormatting>
  <conditionalFormatting sqref="P12:Q12">
    <cfRule type="containsText" dxfId="11739" priority="2738" operator="containsText" text="Done">
      <formula>NOT(ISERROR(SEARCH("Done",Y2)))</formula>
    </cfRule>
  </conditionalFormatting>
  <conditionalFormatting sqref="P14:Q14">
    <cfRule type="containsText" dxfId="11738" priority="2739" operator="containsText" text="Done">
      <formula>NOT(ISERROR(SEARCH("Done",Y2)))</formula>
    </cfRule>
  </conditionalFormatting>
  <conditionalFormatting sqref="P14:Q14">
    <cfRule type="containsText" dxfId="11737" priority="2740" operator="containsText" text="Done">
      <formula>NOT(ISERROR(SEARCH("Done",Y2)))</formula>
    </cfRule>
  </conditionalFormatting>
  <conditionalFormatting sqref="P15:Q15">
    <cfRule type="containsText" dxfId="11736" priority="2741" operator="containsText" text="Done">
      <formula>NOT(ISERROR(SEARCH("Done",Y2)))</formula>
    </cfRule>
  </conditionalFormatting>
  <conditionalFormatting sqref="P15:Q15">
    <cfRule type="containsText" dxfId="11735" priority="2742" operator="containsText" text="Done">
      <formula>NOT(ISERROR(SEARCH("Done",Y2)))</formula>
    </cfRule>
  </conditionalFormatting>
  <conditionalFormatting sqref="P18:Q18">
    <cfRule type="containsText" dxfId="11734" priority="2743" operator="containsText" text="Done">
      <formula>NOT(ISERROR(SEARCH("Done",Y2)))</formula>
    </cfRule>
  </conditionalFormatting>
  <conditionalFormatting sqref="P18:Q18">
    <cfRule type="containsText" dxfId="11733" priority="2744" operator="containsText" text="Done">
      <formula>NOT(ISERROR(SEARCH("Done",Y2)))</formula>
    </cfRule>
  </conditionalFormatting>
  <conditionalFormatting sqref="R17">
    <cfRule type="containsText" dxfId="11732" priority="2745" operator="containsText" text="Done">
      <formula>NOT(ISERROR(SEARCH("Done",Y2)))</formula>
    </cfRule>
  </conditionalFormatting>
  <conditionalFormatting sqref="S17">
    <cfRule type="containsText" dxfId="11731" priority="2746" operator="containsText" text="Done">
      <formula>NOT(ISERROR(SEARCH("Done",Y2)))</formula>
    </cfRule>
  </conditionalFormatting>
  <conditionalFormatting sqref="T17">
    <cfRule type="containsText" dxfId="11730" priority="2747" operator="containsText" text="Done">
      <formula>NOT(ISERROR(SEARCH("Done",Y2)))</formula>
    </cfRule>
  </conditionalFormatting>
  <conditionalFormatting sqref="U17">
    <cfRule type="containsText" dxfId="11729" priority="2748" operator="containsText" text="Done">
      <formula>NOT(ISERROR(SEARCH("Done",Y2)))</formula>
    </cfRule>
  </conditionalFormatting>
  <conditionalFormatting sqref="V17">
    <cfRule type="containsText" dxfId="11728" priority="2749" operator="containsText" text="Done">
      <formula>NOT(ISERROR(SEARCH("Done",Y2)))</formula>
    </cfRule>
  </conditionalFormatting>
  <conditionalFormatting sqref="W17">
    <cfRule type="containsText" dxfId="11727" priority="2750" operator="containsText" text="Done">
      <formula>NOT(ISERROR(SEARCH("Done",Y2)))</formula>
    </cfRule>
  </conditionalFormatting>
  <conditionalFormatting sqref="X17">
    <cfRule type="containsText" dxfId="11726" priority="2751" operator="containsText" text="Done">
      <formula>NOT(ISERROR(SEARCH("Done",Y2)))</formula>
    </cfRule>
  </conditionalFormatting>
  <conditionalFormatting sqref="Y17">
    <cfRule type="containsText" dxfId="11725" priority="2752" operator="containsText" text="Done">
      <formula>NOT(ISERROR(SEARCH("Done",Y2)))</formula>
    </cfRule>
  </conditionalFormatting>
  <conditionalFormatting sqref="Z17">
    <cfRule type="containsText" dxfId="11724" priority="2753" operator="containsText" text="Done">
      <formula>NOT(ISERROR(SEARCH("Done",Y2)))</formula>
    </cfRule>
  </conditionalFormatting>
  <conditionalFormatting sqref="AA17">
    <cfRule type="containsText" dxfId="11723" priority="2754" operator="containsText" text="Done">
      <formula>NOT(ISERROR(SEARCH("Done",Y2)))</formula>
    </cfRule>
  </conditionalFormatting>
  <conditionalFormatting sqref="AB17">
    <cfRule type="containsText" dxfId="11722" priority="2755" operator="containsText" text="Done">
      <formula>NOT(ISERROR(SEARCH("Done",Y2)))</formula>
    </cfRule>
  </conditionalFormatting>
  <conditionalFormatting sqref="AC17">
    <cfRule type="containsText" dxfId="11721" priority="2756" operator="containsText" text="Done">
      <formula>NOT(ISERROR(SEARCH("Done",Y2)))</formula>
    </cfRule>
  </conditionalFormatting>
  <conditionalFormatting sqref="AF17">
    <cfRule type="containsText" dxfId="11720" priority="2757" operator="containsText" text="Done">
      <formula>NOT(ISERROR(SEARCH("Done",Y2)))</formula>
    </cfRule>
  </conditionalFormatting>
  <conditionalFormatting sqref="AH17">
    <cfRule type="containsText" dxfId="11719" priority="2758" operator="containsText" text="Done">
      <formula>NOT(ISERROR(SEARCH("Done",Y2)))</formula>
    </cfRule>
  </conditionalFormatting>
  <conditionalFormatting sqref="AI17">
    <cfRule type="containsText" dxfId="11718" priority="2759" operator="containsText" text="Done">
      <formula>NOT(ISERROR(SEARCH("Done",Y2)))</formula>
    </cfRule>
  </conditionalFormatting>
  <conditionalFormatting sqref="AJ17">
    <cfRule type="containsText" dxfId="11717" priority="2760" operator="containsText" text="Done">
      <formula>NOT(ISERROR(SEARCH("Done",Y2)))</formula>
    </cfRule>
  </conditionalFormatting>
  <conditionalFormatting sqref="AK17">
    <cfRule type="containsText" dxfId="11716" priority="2761" operator="containsText" text="Done">
      <formula>NOT(ISERROR(SEARCH("Done",Y2)))</formula>
    </cfRule>
  </conditionalFormatting>
  <conditionalFormatting sqref="AL17">
    <cfRule type="containsText" dxfId="11715" priority="2762" operator="containsText" text="Done">
      <formula>NOT(ISERROR(SEARCH("Done",Y2)))</formula>
    </cfRule>
  </conditionalFormatting>
  <conditionalFormatting sqref="AM17">
    <cfRule type="containsText" dxfId="11714" priority="2763" operator="containsText" text="Done">
      <formula>NOT(ISERROR(SEARCH("Done",Y2)))</formula>
    </cfRule>
  </conditionalFormatting>
  <conditionalFormatting sqref="AN17">
    <cfRule type="containsText" dxfId="11713" priority="2764" operator="containsText" text="Done">
      <formula>NOT(ISERROR(SEARCH("Done",Y2)))</formula>
    </cfRule>
  </conditionalFormatting>
  <conditionalFormatting sqref="AO17">
    <cfRule type="containsText" dxfId="11712" priority="2765" operator="containsText" text="Done">
      <formula>NOT(ISERROR(SEARCH("Done",Y2)))</formula>
    </cfRule>
  </conditionalFormatting>
  <conditionalFormatting sqref="AP17">
    <cfRule type="containsText" dxfId="11711" priority="2766" operator="containsText" text="Done">
      <formula>NOT(ISERROR(SEARCH("Done",Y2)))</formula>
    </cfRule>
  </conditionalFormatting>
  <conditionalFormatting sqref="AQ17">
    <cfRule type="containsText" dxfId="11710" priority="2767" operator="containsText" text="Done">
      <formula>NOT(ISERROR(SEARCH("Done",Y2)))</formula>
    </cfRule>
  </conditionalFormatting>
  <conditionalFormatting sqref="AR17">
    <cfRule type="containsText" dxfId="11709" priority="2768" operator="containsText" text="Done">
      <formula>NOT(ISERROR(SEARCH("Done",Y2)))</formula>
    </cfRule>
  </conditionalFormatting>
  <conditionalFormatting sqref="AS17">
    <cfRule type="containsText" dxfId="11708" priority="2769" operator="containsText" text="Done">
      <formula>NOT(ISERROR(SEARCH("Done",Y2)))</formula>
    </cfRule>
  </conditionalFormatting>
  <conditionalFormatting sqref="AT17">
    <cfRule type="containsText" dxfId="11707" priority="2770" operator="containsText" text="Done">
      <formula>NOT(ISERROR(SEARCH("Done",Y2)))</formula>
    </cfRule>
  </conditionalFormatting>
  <conditionalFormatting sqref="AU17">
    <cfRule type="containsText" dxfId="11706" priority="2771" operator="containsText" text="Done">
      <formula>NOT(ISERROR(SEARCH("Done",Y2)))</formula>
    </cfRule>
  </conditionalFormatting>
  <conditionalFormatting sqref="AV17">
    <cfRule type="containsText" dxfId="11705" priority="2772" operator="containsText" text="Done">
      <formula>NOT(ISERROR(SEARCH("Done",Y2)))</formula>
    </cfRule>
  </conditionalFormatting>
  <conditionalFormatting sqref="AW17">
    <cfRule type="containsText" dxfId="11704" priority="2773" operator="containsText" text="Done">
      <formula>NOT(ISERROR(SEARCH("Done",Y2)))</formula>
    </cfRule>
  </conditionalFormatting>
  <conditionalFormatting sqref="AX17">
    <cfRule type="containsText" dxfId="11703" priority="2774" operator="containsText" text="Done">
      <formula>NOT(ISERROR(SEARCH("Done",Y2)))</formula>
    </cfRule>
  </conditionalFormatting>
  <conditionalFormatting sqref="AY17">
    <cfRule type="containsText" dxfId="11702" priority="2775" operator="containsText" text="Done">
      <formula>NOT(ISERROR(SEARCH("Done",Y2)))</formula>
    </cfRule>
  </conditionalFormatting>
  <conditionalFormatting sqref="AZ17">
    <cfRule type="containsText" dxfId="11701" priority="2776" operator="containsText" text="Done">
      <formula>NOT(ISERROR(SEARCH("Done",Y2)))</formula>
    </cfRule>
  </conditionalFormatting>
  <conditionalFormatting sqref="BB17">
    <cfRule type="containsText" dxfId="11700" priority="2777" operator="containsText" text="Done">
      <formula>NOT(ISERROR(SEARCH("Done",Y2)))</formula>
    </cfRule>
  </conditionalFormatting>
  <conditionalFormatting sqref="P11:R11">
    <cfRule type="containsText" dxfId="11699" priority="2778" operator="containsText" text="Done">
      <formula>NOT(ISERROR(SEARCH("Done",Y2)))</formula>
    </cfRule>
  </conditionalFormatting>
  <conditionalFormatting sqref="P13:R13">
    <cfRule type="containsText" dxfId="11698" priority="2779" operator="containsText" text="Done">
      <formula>NOT(ISERROR(SEARCH("Done",Y2)))</formula>
    </cfRule>
  </conditionalFormatting>
  <conditionalFormatting sqref="P19:R19">
    <cfRule type="containsText" dxfId="11697" priority="2780" operator="containsText" text="Done">
      <formula>NOT(ISERROR(SEARCH("Done",Y2)))</formula>
    </cfRule>
  </conditionalFormatting>
  <conditionalFormatting sqref="Q20:S20">
    <cfRule type="containsText" dxfId="11696" priority="2781" operator="containsText" text="Done">
      <formula>NOT(ISERROR(SEARCH("Done",Y2)))</formula>
    </cfRule>
  </conditionalFormatting>
  <conditionalFormatting sqref="Q21:S21">
    <cfRule type="containsText" dxfId="11695" priority="2782" operator="containsText" text="Done">
      <formula>NOT(ISERROR(SEARCH("Done",Y2)))</formula>
    </cfRule>
  </conditionalFormatting>
  <conditionalFormatting sqref="R30">
    <cfRule type="containsText" dxfId="11694" priority="2783" operator="containsText" text="Done">
      <formula>NOT(ISERROR(SEARCH("Done",Y2)))</formula>
    </cfRule>
  </conditionalFormatting>
  <conditionalFormatting sqref="R43">
    <cfRule type="containsText" dxfId="11693" priority="2784" operator="containsText" text="Done">
      <formula>NOT(ISERROR(SEARCH("Done",Y2)))</formula>
    </cfRule>
  </conditionalFormatting>
  <conditionalFormatting sqref="R50">
    <cfRule type="containsText" dxfId="11692" priority="2785" operator="containsText" text="Done">
      <formula>NOT(ISERROR(SEARCH("Done",Y2)))</formula>
    </cfRule>
  </conditionalFormatting>
  <conditionalFormatting sqref="T40">
    <cfRule type="containsText" dxfId="11691" priority="2786" operator="containsText" text="Done">
      <formula>NOT(ISERROR(SEARCH("Done",Y2)))</formula>
    </cfRule>
  </conditionalFormatting>
  <conditionalFormatting sqref="P3:R7 Q8:R8 P9:R12 Q13:R13 P14:R17 P19:R22 R23 R24 R25 R26:R41 R43:R51 R53:R56">
    <cfRule type="containsText" dxfId="11690" priority="2729" operator="containsText" text="Pending">
      <formula>NOT(ISERROR(SEARCH("Pending",Y2)))</formula>
    </cfRule>
  </conditionalFormatting>
  <conditionalFormatting sqref="P6:R6">
    <cfRule type="containsText" dxfId="11689" priority="2787" operator="containsText" text="Pending">
      <formula>NOT(ISERROR(SEARCH("Pending",Y2)))</formula>
    </cfRule>
  </conditionalFormatting>
  <conditionalFormatting sqref="P7:R7">
    <cfRule type="containsText" dxfId="11688" priority="2788" operator="containsText" text="Pending">
      <formula>NOT(ISERROR(SEARCH("Pending",Y2)))</formula>
    </cfRule>
  </conditionalFormatting>
  <conditionalFormatting sqref="P9:R9">
    <cfRule type="containsText" dxfId="11687" priority="2789" operator="containsText" text="Pending">
      <formula>NOT(ISERROR(SEARCH("Pending",Y2)))</formula>
    </cfRule>
  </conditionalFormatting>
  <conditionalFormatting sqref="Q4:R4">
    <cfRule type="containsText" dxfId="11686" priority="2790" operator="containsText" text="Pending">
      <formula>NOT(ISERROR(SEARCH("Pending",Y2)))</formula>
    </cfRule>
  </conditionalFormatting>
  <conditionalFormatting sqref="P3:R3">
    <cfRule type="containsText" dxfId="11685" priority="2791" operator="containsText" text="Pending">
      <formula>NOT(ISERROR(SEARCH("Pending",Y2)))</formula>
    </cfRule>
  </conditionalFormatting>
  <conditionalFormatting sqref="P12:Q12">
    <cfRule type="containsText" dxfId="11684" priority="2792" operator="containsText" text="Pending">
      <formula>NOT(ISERROR(SEARCH("Pending",Y2)))</formula>
    </cfRule>
  </conditionalFormatting>
  <conditionalFormatting sqref="P12:Q12">
    <cfRule type="containsText" dxfId="11683" priority="2793" operator="containsText" text="Pending">
      <formula>NOT(ISERROR(SEARCH("Pending",Y2)))</formula>
    </cfRule>
  </conditionalFormatting>
  <conditionalFormatting sqref="P14:Q14">
    <cfRule type="containsText" dxfId="11682" priority="2794" operator="containsText" text="Pending">
      <formula>NOT(ISERROR(SEARCH("Pending",Y2)))</formula>
    </cfRule>
  </conditionalFormatting>
  <conditionalFormatting sqref="P14:Q14">
    <cfRule type="containsText" dxfId="11681" priority="2795" operator="containsText" text="Pending">
      <formula>NOT(ISERROR(SEARCH("Pending",Y2)))</formula>
    </cfRule>
  </conditionalFormatting>
  <conditionalFormatting sqref="P15:Q15">
    <cfRule type="containsText" dxfId="11680" priority="2796" operator="containsText" text="Pending">
      <formula>NOT(ISERROR(SEARCH("Pending",Y2)))</formula>
    </cfRule>
  </conditionalFormatting>
  <conditionalFormatting sqref="P15:Q15">
    <cfRule type="containsText" dxfId="11679" priority="2797" operator="containsText" text="Pending">
      <formula>NOT(ISERROR(SEARCH("Pending",Y2)))</formula>
    </cfRule>
  </conditionalFormatting>
  <conditionalFormatting sqref="P18:Q18">
    <cfRule type="containsText" dxfId="11678" priority="2798" operator="containsText" text="Pending">
      <formula>NOT(ISERROR(SEARCH("Pending",Y2)))</formula>
    </cfRule>
  </conditionalFormatting>
  <conditionalFormatting sqref="P18:Q18">
    <cfRule type="containsText" dxfId="11677" priority="2799" operator="containsText" text="Pending">
      <formula>NOT(ISERROR(SEARCH("Pending",Y2)))</formula>
    </cfRule>
  </conditionalFormatting>
  <conditionalFormatting sqref="R17">
    <cfRule type="containsText" dxfId="11676" priority="2800" operator="containsText" text="Pending">
      <formula>NOT(ISERROR(SEARCH("Pending",Y2)))</formula>
    </cfRule>
  </conditionalFormatting>
  <conditionalFormatting sqref="S17">
    <cfRule type="containsText" dxfId="11675" priority="2801" operator="containsText" text="Pending">
      <formula>NOT(ISERROR(SEARCH("Pending",Y2)))</formula>
    </cfRule>
  </conditionalFormatting>
  <conditionalFormatting sqref="T17">
    <cfRule type="containsText" dxfId="11674" priority="2802" operator="containsText" text="Pending">
      <formula>NOT(ISERROR(SEARCH("Pending",Y2)))</formula>
    </cfRule>
  </conditionalFormatting>
  <conditionalFormatting sqref="U17">
    <cfRule type="containsText" dxfId="11673" priority="2803" operator="containsText" text="Pending">
      <formula>NOT(ISERROR(SEARCH("Pending",Y2)))</formula>
    </cfRule>
  </conditionalFormatting>
  <conditionalFormatting sqref="V17">
    <cfRule type="containsText" dxfId="11672" priority="2804" operator="containsText" text="Pending">
      <formula>NOT(ISERROR(SEARCH("Pending",Y2)))</formula>
    </cfRule>
  </conditionalFormatting>
  <conditionalFormatting sqref="W17">
    <cfRule type="containsText" dxfId="11671" priority="2805" operator="containsText" text="Pending">
      <formula>NOT(ISERROR(SEARCH("Pending",Y2)))</formula>
    </cfRule>
  </conditionalFormatting>
  <conditionalFormatting sqref="X17">
    <cfRule type="containsText" dxfId="11670" priority="2806" operator="containsText" text="Pending">
      <formula>NOT(ISERROR(SEARCH("Pending",Y2)))</formula>
    </cfRule>
  </conditionalFormatting>
  <conditionalFormatting sqref="Y17">
    <cfRule type="containsText" dxfId="11669" priority="2807" operator="containsText" text="Pending">
      <formula>NOT(ISERROR(SEARCH("Pending",Y2)))</formula>
    </cfRule>
  </conditionalFormatting>
  <conditionalFormatting sqref="Z17">
    <cfRule type="containsText" dxfId="11668" priority="2808" operator="containsText" text="Pending">
      <formula>NOT(ISERROR(SEARCH("Pending",Y2)))</formula>
    </cfRule>
  </conditionalFormatting>
  <conditionalFormatting sqref="AA17">
    <cfRule type="containsText" dxfId="11667" priority="2809" operator="containsText" text="Pending">
      <formula>NOT(ISERROR(SEARCH("Pending",Y2)))</formula>
    </cfRule>
  </conditionalFormatting>
  <conditionalFormatting sqref="AB17">
    <cfRule type="containsText" dxfId="11666" priority="2810" operator="containsText" text="Pending">
      <formula>NOT(ISERROR(SEARCH("Pending",Y2)))</formula>
    </cfRule>
  </conditionalFormatting>
  <conditionalFormatting sqref="AC17">
    <cfRule type="containsText" dxfId="11665" priority="2811" operator="containsText" text="Pending">
      <formula>NOT(ISERROR(SEARCH("Pending",Y2)))</formula>
    </cfRule>
  </conditionalFormatting>
  <conditionalFormatting sqref="AF17">
    <cfRule type="containsText" dxfId="11664" priority="2812" operator="containsText" text="Pending">
      <formula>NOT(ISERROR(SEARCH("Pending",Y2)))</formula>
    </cfRule>
  </conditionalFormatting>
  <conditionalFormatting sqref="AH17">
    <cfRule type="containsText" dxfId="11663" priority="2813" operator="containsText" text="Pending">
      <formula>NOT(ISERROR(SEARCH("Pending",Y2)))</formula>
    </cfRule>
  </conditionalFormatting>
  <conditionalFormatting sqref="AI17">
    <cfRule type="containsText" dxfId="11662" priority="2814" operator="containsText" text="Pending">
      <formula>NOT(ISERROR(SEARCH("Pending",Y2)))</formula>
    </cfRule>
  </conditionalFormatting>
  <conditionalFormatting sqref="AJ17">
    <cfRule type="containsText" dxfId="11661" priority="2815" operator="containsText" text="Pending">
      <formula>NOT(ISERROR(SEARCH("Pending",Y2)))</formula>
    </cfRule>
  </conditionalFormatting>
  <conditionalFormatting sqref="AK17">
    <cfRule type="containsText" dxfId="11660" priority="2816" operator="containsText" text="Pending">
      <formula>NOT(ISERROR(SEARCH("Pending",Y2)))</formula>
    </cfRule>
  </conditionalFormatting>
  <conditionalFormatting sqref="AL17">
    <cfRule type="containsText" dxfId="11659" priority="2817" operator="containsText" text="Pending">
      <formula>NOT(ISERROR(SEARCH("Pending",Y2)))</formula>
    </cfRule>
  </conditionalFormatting>
  <conditionalFormatting sqref="AM17">
    <cfRule type="containsText" dxfId="11658" priority="2818" operator="containsText" text="Pending">
      <formula>NOT(ISERROR(SEARCH("Pending",Y2)))</formula>
    </cfRule>
  </conditionalFormatting>
  <conditionalFormatting sqref="AN17">
    <cfRule type="containsText" dxfId="11657" priority="2819" operator="containsText" text="Pending">
      <formula>NOT(ISERROR(SEARCH("Pending",Y2)))</formula>
    </cfRule>
  </conditionalFormatting>
  <conditionalFormatting sqref="AO17">
    <cfRule type="containsText" dxfId="11656" priority="2820" operator="containsText" text="Pending">
      <formula>NOT(ISERROR(SEARCH("Pending",Y2)))</formula>
    </cfRule>
  </conditionalFormatting>
  <conditionalFormatting sqref="AP17">
    <cfRule type="containsText" dxfId="11655" priority="2821" operator="containsText" text="Pending">
      <formula>NOT(ISERROR(SEARCH("Pending",Y2)))</formula>
    </cfRule>
  </conditionalFormatting>
  <conditionalFormatting sqref="AQ17">
    <cfRule type="containsText" dxfId="11654" priority="2822" operator="containsText" text="Pending">
      <formula>NOT(ISERROR(SEARCH("Pending",Y2)))</formula>
    </cfRule>
  </conditionalFormatting>
  <conditionalFormatting sqref="AR17">
    <cfRule type="containsText" dxfId="11653" priority="2823" operator="containsText" text="Pending">
      <formula>NOT(ISERROR(SEARCH("Pending",Y2)))</formula>
    </cfRule>
  </conditionalFormatting>
  <conditionalFormatting sqref="AS17">
    <cfRule type="containsText" dxfId="11652" priority="2824" operator="containsText" text="Pending">
      <formula>NOT(ISERROR(SEARCH("Pending",Y2)))</formula>
    </cfRule>
  </conditionalFormatting>
  <conditionalFormatting sqref="AT17">
    <cfRule type="containsText" dxfId="11651" priority="2825" operator="containsText" text="Pending">
      <formula>NOT(ISERROR(SEARCH("Pending",Y2)))</formula>
    </cfRule>
  </conditionalFormatting>
  <conditionalFormatting sqref="AU17">
    <cfRule type="containsText" dxfId="11650" priority="2826" operator="containsText" text="Pending">
      <formula>NOT(ISERROR(SEARCH("Pending",Y2)))</formula>
    </cfRule>
  </conditionalFormatting>
  <conditionalFormatting sqref="AV17">
    <cfRule type="containsText" dxfId="11649" priority="2827" operator="containsText" text="Pending">
      <formula>NOT(ISERROR(SEARCH("Pending",Y2)))</formula>
    </cfRule>
  </conditionalFormatting>
  <conditionalFormatting sqref="AW17">
    <cfRule type="containsText" dxfId="11648" priority="2828" operator="containsText" text="Pending">
      <formula>NOT(ISERROR(SEARCH("Pending",Y2)))</formula>
    </cfRule>
  </conditionalFormatting>
  <conditionalFormatting sqref="AX17">
    <cfRule type="containsText" dxfId="11647" priority="2829" operator="containsText" text="Pending">
      <formula>NOT(ISERROR(SEARCH("Pending",Y2)))</formula>
    </cfRule>
  </conditionalFormatting>
  <conditionalFormatting sqref="AY17">
    <cfRule type="containsText" dxfId="11646" priority="2830" operator="containsText" text="Pending">
      <formula>NOT(ISERROR(SEARCH("Pending",Y2)))</formula>
    </cfRule>
  </conditionalFormatting>
  <conditionalFormatting sqref="AZ17">
    <cfRule type="containsText" dxfId="11645" priority="2831" operator="containsText" text="Pending">
      <formula>NOT(ISERROR(SEARCH("Pending",Y2)))</formula>
    </cfRule>
  </conditionalFormatting>
  <conditionalFormatting sqref="BB17">
    <cfRule type="containsText" dxfId="11644" priority="2832" operator="containsText" text="Pending">
      <formula>NOT(ISERROR(SEARCH("Pending",Y2)))</formula>
    </cfRule>
  </conditionalFormatting>
  <conditionalFormatting sqref="P11:R11">
    <cfRule type="containsText" dxfId="11643" priority="2833" operator="containsText" text="Pending">
      <formula>NOT(ISERROR(SEARCH("Pending",Y2)))</formula>
    </cfRule>
  </conditionalFormatting>
  <conditionalFormatting sqref="P13:R13">
    <cfRule type="containsText" dxfId="11642" priority="2834" operator="containsText" text="Pending">
      <formula>NOT(ISERROR(SEARCH("Pending",Y2)))</formula>
    </cfRule>
  </conditionalFormatting>
  <conditionalFormatting sqref="P19:R19">
    <cfRule type="containsText" dxfId="11641" priority="2835" operator="containsText" text="Pending">
      <formula>NOT(ISERROR(SEARCH("Pending",Y2)))</formula>
    </cfRule>
  </conditionalFormatting>
  <conditionalFormatting sqref="Q20:S20">
    <cfRule type="containsText" dxfId="11640" priority="2836" operator="containsText" text="Pending">
      <formula>NOT(ISERROR(SEARCH("Pending",Y2)))</formula>
    </cfRule>
  </conditionalFormatting>
  <conditionalFormatting sqref="Q21:S21">
    <cfRule type="containsText" dxfId="11639" priority="2837" operator="containsText" text="Pending">
      <formula>NOT(ISERROR(SEARCH("Pending",Y2)))</formula>
    </cfRule>
  </conditionalFormatting>
  <conditionalFormatting sqref="R30">
    <cfRule type="containsText" dxfId="11638" priority="2838" operator="containsText" text="Pending">
      <formula>NOT(ISERROR(SEARCH("Pending",Y2)))</formula>
    </cfRule>
  </conditionalFormatting>
  <conditionalFormatting sqref="R43">
    <cfRule type="containsText" dxfId="11637" priority="2839" operator="containsText" text="Pending">
      <formula>NOT(ISERROR(SEARCH("Pending",Y2)))</formula>
    </cfRule>
  </conditionalFormatting>
  <conditionalFormatting sqref="R50">
    <cfRule type="containsText" dxfId="11636" priority="2840" operator="containsText" text="Pending">
      <formula>NOT(ISERROR(SEARCH("Pending",Y2)))</formula>
    </cfRule>
  </conditionalFormatting>
  <conditionalFormatting sqref="T40">
    <cfRule type="containsText" dxfId="11635" priority="2841" operator="containsText" text="Pending">
      <formula>NOT(ISERROR(SEARCH("Pending",Y2)))</formula>
    </cfRule>
  </conditionalFormatting>
  <conditionalFormatting sqref="P3:R7 Q8:R8 P9:R12 Q13:R13 P14:R17 P19:R22 R23 R24 R25 R26:R41 R43:R51 R53:R56">
    <cfRule type="containsText" dxfId="11634" priority="2727" operator="containsText" text="NA">
      <formula>NOT(ISERROR(SEARCH("NA",Y2)))</formula>
    </cfRule>
  </conditionalFormatting>
  <conditionalFormatting sqref="P6:R6">
    <cfRule type="containsText" dxfId="11633" priority="2842" operator="containsText" text="NA">
      <formula>NOT(ISERROR(SEARCH("NA",Y2)))</formula>
    </cfRule>
  </conditionalFormatting>
  <conditionalFormatting sqref="P7:R7">
    <cfRule type="containsText" dxfId="11632" priority="2843" operator="containsText" text="NA">
      <formula>NOT(ISERROR(SEARCH("NA",Y2)))</formula>
    </cfRule>
  </conditionalFormatting>
  <conditionalFormatting sqref="P9:R9">
    <cfRule type="containsText" dxfId="11631" priority="2844" operator="containsText" text="NA">
      <formula>NOT(ISERROR(SEARCH("NA",Y2)))</formula>
    </cfRule>
  </conditionalFormatting>
  <conditionalFormatting sqref="Q4:R4">
    <cfRule type="containsText" dxfId="11630" priority="2845" operator="containsText" text="NA">
      <formula>NOT(ISERROR(SEARCH("NA",Y2)))</formula>
    </cfRule>
  </conditionalFormatting>
  <conditionalFormatting sqref="P3:R3">
    <cfRule type="containsText" dxfId="11629" priority="2846" operator="containsText" text="NA">
      <formula>NOT(ISERROR(SEARCH("NA",Y2)))</formula>
    </cfRule>
  </conditionalFormatting>
  <conditionalFormatting sqref="P12:Q12">
    <cfRule type="containsText" dxfId="11628" priority="2847" operator="containsText" text="NA">
      <formula>NOT(ISERROR(SEARCH("NA",Y2)))</formula>
    </cfRule>
  </conditionalFormatting>
  <conditionalFormatting sqref="P12:Q12">
    <cfRule type="containsText" dxfId="11627" priority="2848" operator="containsText" text="NA">
      <formula>NOT(ISERROR(SEARCH("NA",Y2)))</formula>
    </cfRule>
  </conditionalFormatting>
  <conditionalFormatting sqref="P14:Q14">
    <cfRule type="containsText" dxfId="11626" priority="2849" operator="containsText" text="NA">
      <formula>NOT(ISERROR(SEARCH("NA",Y2)))</formula>
    </cfRule>
  </conditionalFormatting>
  <conditionalFormatting sqref="P14:Q14">
    <cfRule type="containsText" dxfId="11625" priority="2850" operator="containsText" text="NA">
      <formula>NOT(ISERROR(SEARCH("NA",Y2)))</formula>
    </cfRule>
  </conditionalFormatting>
  <conditionalFormatting sqref="P15:Q15">
    <cfRule type="containsText" dxfId="11624" priority="2851" operator="containsText" text="NA">
      <formula>NOT(ISERROR(SEARCH("NA",Y2)))</formula>
    </cfRule>
  </conditionalFormatting>
  <conditionalFormatting sqref="P15:Q15">
    <cfRule type="containsText" dxfId="11623" priority="2852" operator="containsText" text="NA">
      <formula>NOT(ISERROR(SEARCH("NA",Y2)))</formula>
    </cfRule>
  </conditionalFormatting>
  <conditionalFormatting sqref="P18:Q18">
    <cfRule type="containsText" dxfId="11622" priority="2853" operator="containsText" text="NA">
      <formula>NOT(ISERROR(SEARCH("NA",Y2)))</formula>
    </cfRule>
  </conditionalFormatting>
  <conditionalFormatting sqref="P18:Q18">
    <cfRule type="containsText" dxfId="11621" priority="2854" operator="containsText" text="NA">
      <formula>NOT(ISERROR(SEARCH("NA",Y2)))</formula>
    </cfRule>
  </conditionalFormatting>
  <conditionalFormatting sqref="R17">
    <cfRule type="containsText" dxfId="11620" priority="2855" operator="containsText" text="NA">
      <formula>NOT(ISERROR(SEARCH("NA",Y2)))</formula>
    </cfRule>
  </conditionalFormatting>
  <conditionalFormatting sqref="S17">
    <cfRule type="containsText" dxfId="11619" priority="2856" operator="containsText" text="NA">
      <formula>NOT(ISERROR(SEARCH("NA",Y2)))</formula>
    </cfRule>
  </conditionalFormatting>
  <conditionalFormatting sqref="T17">
    <cfRule type="containsText" dxfId="11618" priority="2857" operator="containsText" text="NA">
      <formula>NOT(ISERROR(SEARCH("NA",Y2)))</formula>
    </cfRule>
  </conditionalFormatting>
  <conditionalFormatting sqref="U17">
    <cfRule type="containsText" dxfId="11617" priority="2858" operator="containsText" text="NA">
      <formula>NOT(ISERROR(SEARCH("NA",Y2)))</formula>
    </cfRule>
  </conditionalFormatting>
  <conditionalFormatting sqref="V17">
    <cfRule type="containsText" dxfId="11616" priority="2859" operator="containsText" text="NA">
      <formula>NOT(ISERROR(SEARCH("NA",Y2)))</formula>
    </cfRule>
  </conditionalFormatting>
  <conditionalFormatting sqref="W17">
    <cfRule type="containsText" dxfId="11615" priority="2860" operator="containsText" text="NA">
      <formula>NOT(ISERROR(SEARCH("NA",Y2)))</formula>
    </cfRule>
  </conditionalFormatting>
  <conditionalFormatting sqref="X17">
    <cfRule type="containsText" dxfId="11614" priority="2861" operator="containsText" text="NA">
      <formula>NOT(ISERROR(SEARCH("NA",Y2)))</formula>
    </cfRule>
  </conditionalFormatting>
  <conditionalFormatting sqref="Y17">
    <cfRule type="containsText" dxfId="11613" priority="2862" operator="containsText" text="NA">
      <formula>NOT(ISERROR(SEARCH("NA",Y2)))</formula>
    </cfRule>
  </conditionalFormatting>
  <conditionalFormatting sqref="Z17">
    <cfRule type="containsText" dxfId="11612" priority="2863" operator="containsText" text="NA">
      <formula>NOT(ISERROR(SEARCH("NA",Y2)))</formula>
    </cfRule>
  </conditionalFormatting>
  <conditionalFormatting sqref="AA17">
    <cfRule type="containsText" dxfId="11611" priority="2864" operator="containsText" text="NA">
      <formula>NOT(ISERROR(SEARCH("NA",Y2)))</formula>
    </cfRule>
  </conditionalFormatting>
  <conditionalFormatting sqref="AB17">
    <cfRule type="containsText" dxfId="11610" priority="2865" operator="containsText" text="NA">
      <formula>NOT(ISERROR(SEARCH("NA",Y2)))</formula>
    </cfRule>
  </conditionalFormatting>
  <conditionalFormatting sqref="AC17">
    <cfRule type="containsText" dxfId="11609" priority="2866" operator="containsText" text="NA">
      <formula>NOT(ISERROR(SEARCH("NA",Y2)))</formula>
    </cfRule>
  </conditionalFormatting>
  <conditionalFormatting sqref="AF17">
    <cfRule type="containsText" dxfId="11608" priority="2867" operator="containsText" text="NA">
      <formula>NOT(ISERROR(SEARCH("NA",Y2)))</formula>
    </cfRule>
  </conditionalFormatting>
  <conditionalFormatting sqref="AH17">
    <cfRule type="containsText" dxfId="11607" priority="2868" operator="containsText" text="NA">
      <formula>NOT(ISERROR(SEARCH("NA",Y2)))</formula>
    </cfRule>
  </conditionalFormatting>
  <conditionalFormatting sqref="AI17">
    <cfRule type="containsText" dxfId="11606" priority="2869" operator="containsText" text="NA">
      <formula>NOT(ISERROR(SEARCH("NA",Y2)))</formula>
    </cfRule>
  </conditionalFormatting>
  <conditionalFormatting sqref="AJ17">
    <cfRule type="containsText" dxfId="11605" priority="2870" operator="containsText" text="NA">
      <formula>NOT(ISERROR(SEARCH("NA",Y2)))</formula>
    </cfRule>
  </conditionalFormatting>
  <conditionalFormatting sqref="AK17">
    <cfRule type="containsText" dxfId="11604" priority="2871" operator="containsText" text="NA">
      <formula>NOT(ISERROR(SEARCH("NA",Y2)))</formula>
    </cfRule>
  </conditionalFormatting>
  <conditionalFormatting sqref="AL17">
    <cfRule type="containsText" dxfId="11603" priority="2872" operator="containsText" text="NA">
      <formula>NOT(ISERROR(SEARCH("NA",Y2)))</formula>
    </cfRule>
  </conditionalFormatting>
  <conditionalFormatting sqref="AM17">
    <cfRule type="containsText" dxfId="11602" priority="2873" operator="containsText" text="NA">
      <formula>NOT(ISERROR(SEARCH("NA",Y2)))</formula>
    </cfRule>
  </conditionalFormatting>
  <conditionalFormatting sqref="AN17">
    <cfRule type="containsText" dxfId="11601" priority="2874" operator="containsText" text="NA">
      <formula>NOT(ISERROR(SEARCH("NA",Y2)))</formula>
    </cfRule>
  </conditionalFormatting>
  <conditionalFormatting sqref="AO17">
    <cfRule type="containsText" dxfId="11600" priority="2875" operator="containsText" text="NA">
      <formula>NOT(ISERROR(SEARCH("NA",Y2)))</formula>
    </cfRule>
  </conditionalFormatting>
  <conditionalFormatting sqref="AP17">
    <cfRule type="containsText" dxfId="11599" priority="2876" operator="containsText" text="NA">
      <formula>NOT(ISERROR(SEARCH("NA",Y2)))</formula>
    </cfRule>
  </conditionalFormatting>
  <conditionalFormatting sqref="AQ17">
    <cfRule type="containsText" dxfId="11598" priority="2877" operator="containsText" text="NA">
      <formula>NOT(ISERROR(SEARCH("NA",Y2)))</formula>
    </cfRule>
  </conditionalFormatting>
  <conditionalFormatting sqref="AR17">
    <cfRule type="containsText" dxfId="11597" priority="2878" operator="containsText" text="NA">
      <formula>NOT(ISERROR(SEARCH("NA",Y2)))</formula>
    </cfRule>
  </conditionalFormatting>
  <conditionalFormatting sqref="AS17">
    <cfRule type="containsText" dxfId="11596" priority="2879" operator="containsText" text="NA">
      <formula>NOT(ISERROR(SEARCH("NA",Y2)))</formula>
    </cfRule>
  </conditionalFormatting>
  <conditionalFormatting sqref="AT17">
    <cfRule type="containsText" dxfId="11595" priority="2880" operator="containsText" text="NA">
      <formula>NOT(ISERROR(SEARCH("NA",Y2)))</formula>
    </cfRule>
  </conditionalFormatting>
  <conditionalFormatting sqref="AU17">
    <cfRule type="containsText" dxfId="11594" priority="2881" operator="containsText" text="NA">
      <formula>NOT(ISERROR(SEARCH("NA",Y2)))</formula>
    </cfRule>
  </conditionalFormatting>
  <conditionalFormatting sqref="AV17">
    <cfRule type="containsText" dxfId="11593" priority="2882" operator="containsText" text="NA">
      <formula>NOT(ISERROR(SEARCH("NA",Y2)))</formula>
    </cfRule>
  </conditionalFormatting>
  <conditionalFormatting sqref="AW17">
    <cfRule type="containsText" dxfId="11592" priority="2883" operator="containsText" text="NA">
      <formula>NOT(ISERROR(SEARCH("NA",Y2)))</formula>
    </cfRule>
  </conditionalFormatting>
  <conditionalFormatting sqref="AX17">
    <cfRule type="containsText" dxfId="11591" priority="2884" operator="containsText" text="NA">
      <formula>NOT(ISERROR(SEARCH("NA",Y2)))</formula>
    </cfRule>
  </conditionalFormatting>
  <conditionalFormatting sqref="AY17">
    <cfRule type="containsText" dxfId="11590" priority="2885" operator="containsText" text="NA">
      <formula>NOT(ISERROR(SEARCH("NA",Y2)))</formula>
    </cfRule>
  </conditionalFormatting>
  <conditionalFormatting sqref="AZ17">
    <cfRule type="containsText" dxfId="11589" priority="2886" operator="containsText" text="NA">
      <formula>NOT(ISERROR(SEARCH("NA",Y2)))</formula>
    </cfRule>
  </conditionalFormatting>
  <conditionalFormatting sqref="BB17">
    <cfRule type="containsText" dxfId="11588" priority="2887" operator="containsText" text="NA">
      <formula>NOT(ISERROR(SEARCH("NA",Y2)))</formula>
    </cfRule>
  </conditionalFormatting>
  <conditionalFormatting sqref="P11:R11">
    <cfRule type="containsText" dxfId="11587" priority="2888" operator="containsText" text="NA">
      <formula>NOT(ISERROR(SEARCH("NA",Y2)))</formula>
    </cfRule>
  </conditionalFormatting>
  <conditionalFormatting sqref="P13:R13">
    <cfRule type="containsText" dxfId="11586" priority="2889" operator="containsText" text="NA">
      <formula>NOT(ISERROR(SEARCH("NA",Y2)))</formula>
    </cfRule>
  </conditionalFormatting>
  <conditionalFormatting sqref="P19:R19">
    <cfRule type="containsText" dxfId="11585" priority="2890" operator="containsText" text="NA">
      <formula>NOT(ISERROR(SEARCH("NA",Y2)))</formula>
    </cfRule>
  </conditionalFormatting>
  <conditionalFormatting sqref="Q20:S20">
    <cfRule type="containsText" dxfId="11584" priority="2891" operator="containsText" text="NA">
      <formula>NOT(ISERROR(SEARCH("NA",Y2)))</formula>
    </cfRule>
  </conditionalFormatting>
  <conditionalFormatting sqref="Q21:S21">
    <cfRule type="containsText" dxfId="11583" priority="2892" operator="containsText" text="NA">
      <formula>NOT(ISERROR(SEARCH("NA",Y2)))</formula>
    </cfRule>
  </conditionalFormatting>
  <conditionalFormatting sqref="R30">
    <cfRule type="containsText" dxfId="11582" priority="2893" operator="containsText" text="NA">
      <formula>NOT(ISERROR(SEARCH("NA",Y2)))</formula>
    </cfRule>
  </conditionalFormatting>
  <conditionalFormatting sqref="R43">
    <cfRule type="containsText" dxfId="11581" priority="2894" operator="containsText" text="NA">
      <formula>NOT(ISERROR(SEARCH("NA",Y2)))</formula>
    </cfRule>
  </conditionalFormatting>
  <conditionalFormatting sqref="R50">
    <cfRule type="containsText" dxfId="11580" priority="2895" operator="containsText" text="NA">
      <formula>NOT(ISERROR(SEARCH("NA",Y2)))</formula>
    </cfRule>
  </conditionalFormatting>
  <conditionalFormatting sqref="T40">
    <cfRule type="containsText" dxfId="11579" priority="2896" operator="containsText" text="NA">
      <formula>NOT(ISERROR(SEARCH("NA",Y2)))</formula>
    </cfRule>
  </conditionalFormatting>
  <conditionalFormatting sqref="U3:Y16 X18:Y18 U19:Y40 W41:Y52 U53:Y56">
    <cfRule type="containsText" dxfId="11578" priority="2718" operator="containsText" text="Done">
      <formula>NOT(ISERROR(SEARCH("Done",AA2)))</formula>
    </cfRule>
  </conditionalFormatting>
  <conditionalFormatting sqref="U6:Y6">
    <cfRule type="containsText" dxfId="11577" priority="2897" operator="containsText" text="Done">
      <formula>NOT(ISERROR(SEARCH("Done",AA2)))</formula>
    </cfRule>
  </conditionalFormatting>
  <conditionalFormatting sqref="U7:Y7">
    <cfRule type="containsText" dxfId="11576" priority="2898" operator="containsText" text="Done">
      <formula>NOT(ISERROR(SEARCH("Done",AA2)))</formula>
    </cfRule>
  </conditionalFormatting>
  <conditionalFormatting sqref="U9:Y9">
    <cfRule type="containsText" dxfId="11575" priority="2899" operator="containsText" text="Done">
      <formula>NOT(ISERROR(SEARCH("Done",AA2)))</formula>
    </cfRule>
  </conditionalFormatting>
  <conditionalFormatting sqref="U4:Y4">
    <cfRule type="containsText" dxfId="11574" priority="2900" operator="containsText" text="Done">
      <formula>NOT(ISERROR(SEARCH("Done",AA2)))</formula>
    </cfRule>
  </conditionalFormatting>
  <conditionalFormatting sqref="U3:Y3">
    <cfRule type="containsText" dxfId="11573" priority="2901" operator="containsText" text="Done">
      <formula>NOT(ISERROR(SEARCH("Done",AA2)))</formula>
    </cfRule>
  </conditionalFormatting>
  <conditionalFormatting sqref="U30">
    <cfRule type="containsText" dxfId="11572" priority="2902" operator="containsText" text="Done">
      <formula>NOT(ISERROR(SEARCH("Done",AA2)))</formula>
    </cfRule>
  </conditionalFormatting>
  <conditionalFormatting sqref="U29">
    <cfRule type="containsText" dxfId="11571" priority="2903" operator="containsText" text="Done">
      <formula>NOT(ISERROR(SEARCH("Done",AA2)))</formula>
    </cfRule>
  </conditionalFormatting>
  <conditionalFormatting sqref="U28">
    <cfRule type="containsText" dxfId="11570" priority="2904" operator="containsText" text="Done">
      <formula>NOT(ISERROR(SEARCH("Done",AA2)))</formula>
    </cfRule>
  </conditionalFormatting>
  <conditionalFormatting sqref="U26">
    <cfRule type="containsText" dxfId="11569" priority="2905" operator="containsText" text="Done">
      <formula>NOT(ISERROR(SEARCH("Done",AA2)))</formula>
    </cfRule>
  </conditionalFormatting>
  <conditionalFormatting sqref="U54">
    <cfRule type="containsText" dxfId="11568" priority="2906" operator="containsText" text="Done">
      <formula>NOT(ISERROR(SEARCH("Done",AA2)))</formula>
    </cfRule>
  </conditionalFormatting>
  <conditionalFormatting sqref="U55">
    <cfRule type="containsText" dxfId="11567" priority="2907" operator="containsText" text="Done">
      <formula>NOT(ISERROR(SEARCH("Done",AA2)))</formula>
    </cfRule>
  </conditionalFormatting>
  <conditionalFormatting sqref="U56">
    <cfRule type="containsText" dxfId="11566" priority="2908" operator="containsText" text="Done">
      <formula>NOT(ISERROR(SEARCH("Done",AA2)))</formula>
    </cfRule>
  </conditionalFormatting>
  <conditionalFormatting sqref="V54">
    <cfRule type="containsText" dxfId="11565" priority="2909" operator="containsText" text="Done">
      <formula>NOT(ISERROR(SEARCH("Done",AA2)))</formula>
    </cfRule>
  </conditionalFormatting>
  <conditionalFormatting sqref="X53">
    <cfRule type="containsText" dxfId="11564" priority="2910" operator="containsText" text="Done">
      <formula>NOT(ISERROR(SEARCH("Done",AA2)))</formula>
    </cfRule>
  </conditionalFormatting>
  <conditionalFormatting sqref="W54">
    <cfRule type="containsText" dxfId="11563" priority="2911" operator="containsText" text="Done">
      <formula>NOT(ISERROR(SEARCH("Done",AA2)))</formula>
    </cfRule>
  </conditionalFormatting>
  <conditionalFormatting sqref="W56">
    <cfRule type="containsText" dxfId="11562" priority="2912" operator="containsText" text="Done">
      <formula>NOT(ISERROR(SEARCH("Done",AA2)))</formula>
    </cfRule>
  </conditionalFormatting>
  <conditionalFormatting sqref="Y55">
    <cfRule type="containsText" dxfId="11561" priority="2913" operator="containsText" text="Done">
      <formula>NOT(ISERROR(SEARCH("Done",AA2)))</formula>
    </cfRule>
  </conditionalFormatting>
  <conditionalFormatting sqref="U11:Y11">
    <cfRule type="containsText" dxfId="11560" priority="2914" operator="containsText" text="Done">
      <formula>NOT(ISERROR(SEARCH("Done",AA2)))</formula>
    </cfRule>
  </conditionalFormatting>
  <conditionalFormatting sqref="U13:Y13">
    <cfRule type="containsText" dxfId="11559" priority="2915" operator="containsText" text="Done">
      <formula>NOT(ISERROR(SEARCH("Done",AA2)))</formula>
    </cfRule>
  </conditionalFormatting>
  <conditionalFormatting sqref="U19:Y19">
    <cfRule type="containsText" dxfId="11558" priority="2916" operator="containsText" text="Done">
      <formula>NOT(ISERROR(SEARCH("Done",AA2)))</formula>
    </cfRule>
  </conditionalFormatting>
  <conditionalFormatting sqref="V20:Z20">
    <cfRule type="containsText" dxfId="11557" priority="2917" operator="containsText" text="Done">
      <formula>NOT(ISERROR(SEARCH("Done",AA2)))</formula>
    </cfRule>
  </conditionalFormatting>
  <conditionalFormatting sqref="V21:Z21">
    <cfRule type="containsText" dxfId="11556" priority="2918" operator="containsText" text="Done">
      <formula>NOT(ISERROR(SEARCH("Done",AA2)))</formula>
    </cfRule>
  </conditionalFormatting>
  <conditionalFormatting sqref="W34:X34">
    <cfRule type="containsText" dxfId="11555" priority="2919" operator="containsText" text="Done">
      <formula>NOT(ISERROR(SEARCH("Done",AA2)))</formula>
    </cfRule>
  </conditionalFormatting>
  <conditionalFormatting sqref="W35:X35">
    <cfRule type="containsText" dxfId="11554" priority="2920" operator="containsText" text="Done">
      <formula>NOT(ISERROR(SEARCH("Done",AA2)))</formula>
    </cfRule>
  </conditionalFormatting>
  <conditionalFormatting sqref="W38">
    <cfRule type="containsText" dxfId="11553" priority="2921" operator="containsText" text="Done">
      <formula>NOT(ISERROR(SEARCH("Done",AA2)))</formula>
    </cfRule>
  </conditionalFormatting>
  <conditionalFormatting sqref="X38">
    <cfRule type="containsText" dxfId="11552" priority="2922" operator="containsText" text="Done">
      <formula>NOT(ISERROR(SEARCH("Done",AA2)))</formula>
    </cfRule>
  </conditionalFormatting>
  <conditionalFormatting sqref="Z38:AA38">
    <cfRule type="containsText" dxfId="11551" priority="2923" operator="containsText" text="Done">
      <formula>NOT(ISERROR(SEARCH("Done",AA2)))</formula>
    </cfRule>
  </conditionalFormatting>
  <conditionalFormatting sqref="Z38">
    <cfRule type="containsText" dxfId="11550" priority="2924" operator="containsText" text="Done">
      <formula>NOT(ISERROR(SEARCH("Done",AA2)))</formula>
    </cfRule>
  </conditionalFormatting>
  <conditionalFormatting sqref="AA38">
    <cfRule type="containsText" dxfId="11549" priority="2925" operator="containsText" text="Done">
      <formula>NOT(ISERROR(SEARCH("Done",AA2)))</formula>
    </cfRule>
  </conditionalFormatting>
  <conditionalFormatting sqref="W41">
    <cfRule type="containsText" dxfId="11548" priority="2926" operator="containsText" text="Done">
      <formula>NOT(ISERROR(SEARCH("Done",AA2)))</formula>
    </cfRule>
  </conditionalFormatting>
  <conditionalFormatting sqref="W41">
    <cfRule type="containsText" dxfId="11547" priority="2927" operator="containsText" text="Done">
      <formula>NOT(ISERROR(SEARCH("Done",AA2)))</formula>
    </cfRule>
  </conditionalFormatting>
  <conditionalFormatting sqref="X41:X52">
    <cfRule type="containsText" dxfId="11546" priority="2928" operator="containsText" text="Done">
      <formula>NOT(ISERROR(SEARCH("Done",AA2)))</formula>
    </cfRule>
  </conditionalFormatting>
  <conditionalFormatting sqref="X41">
    <cfRule type="containsText" dxfId="11545" priority="2929" operator="containsText" text="Done">
      <formula>NOT(ISERROR(SEARCH("Done",AA2)))</formula>
    </cfRule>
  </conditionalFormatting>
  <conditionalFormatting sqref="X41">
    <cfRule type="containsText" dxfId="11544" priority="2930" operator="containsText" text="Done">
      <formula>NOT(ISERROR(SEARCH("Done",AA2)))</formula>
    </cfRule>
  </conditionalFormatting>
  <conditionalFormatting sqref="Y42">
    <cfRule type="containsText" dxfId="11543" priority="2931" operator="containsText" text="Done">
      <formula>NOT(ISERROR(SEARCH("Done",AA2)))</formula>
    </cfRule>
  </conditionalFormatting>
  <conditionalFormatting sqref="Z42">
    <cfRule type="containsText" dxfId="11542" priority="2932" operator="containsText" text="Done">
      <formula>NOT(ISERROR(SEARCH("Done",AA2)))</formula>
    </cfRule>
  </conditionalFormatting>
  <conditionalFormatting sqref="Z42">
    <cfRule type="containsText" dxfId="11541" priority="2933" operator="containsText" text="Done">
      <formula>NOT(ISERROR(SEARCH("Done",AA2)))</formula>
    </cfRule>
  </conditionalFormatting>
  <conditionalFormatting sqref="Z47:Z52">
    <cfRule type="containsText" dxfId="11540" priority="2934" operator="containsText" text="Done">
      <formula>NOT(ISERROR(SEARCH("Done",AA2)))</formula>
    </cfRule>
  </conditionalFormatting>
  <conditionalFormatting sqref="AA42">
    <cfRule type="containsText" dxfId="11539" priority="2935" operator="containsText" text="Done">
      <formula>NOT(ISERROR(SEARCH("Done",AA2)))</formula>
    </cfRule>
  </conditionalFormatting>
  <conditionalFormatting sqref="AA42">
    <cfRule type="containsText" dxfId="11538" priority="2936" operator="containsText" text="Done">
      <formula>NOT(ISERROR(SEARCH("Done",AA2)))</formula>
    </cfRule>
  </conditionalFormatting>
  <conditionalFormatting sqref="AA47:AA52">
    <cfRule type="containsText" dxfId="11537" priority="2937" operator="containsText" text="Done">
      <formula>NOT(ISERROR(SEARCH("Done",AA2)))</formula>
    </cfRule>
  </conditionalFormatting>
  <conditionalFormatting sqref="V26">
    <cfRule type="containsText" dxfId="11536" priority="2938" operator="containsText" text="Done">
      <formula>NOT(ISERROR(SEARCH("Done",AA2)))</formula>
    </cfRule>
  </conditionalFormatting>
  <conditionalFormatting sqref="V30">
    <cfRule type="containsText" dxfId="11535" priority="2939" operator="containsText" text="Done">
      <formula>NOT(ISERROR(SEARCH("Done",AA2)))</formula>
    </cfRule>
  </conditionalFormatting>
  <conditionalFormatting sqref="V31">
    <cfRule type="containsText" dxfId="11534" priority="2940" operator="containsText" text="Done">
      <formula>NOT(ISERROR(SEARCH("Done",AA2)))</formula>
    </cfRule>
  </conditionalFormatting>
  <conditionalFormatting sqref="W26:X26">
    <cfRule type="containsText" dxfId="11533" priority="2941" operator="containsText" text="Done">
      <formula>NOT(ISERROR(SEARCH("Done",AA2)))</formula>
    </cfRule>
  </conditionalFormatting>
  <conditionalFormatting sqref="W29:X29">
    <cfRule type="containsText" dxfId="11532" priority="2942" operator="containsText" text="Done">
      <formula>NOT(ISERROR(SEARCH("Done",AA2)))</formula>
    </cfRule>
  </conditionalFormatting>
  <conditionalFormatting sqref="W31:X31">
    <cfRule type="containsText" dxfId="11531" priority="2943" operator="containsText" text="Done">
      <formula>NOT(ISERROR(SEARCH("Done",AA2)))</formula>
    </cfRule>
  </conditionalFormatting>
  <conditionalFormatting sqref="Y25">
    <cfRule type="containsText" dxfId="11530" priority="2944" operator="containsText" text="Done">
      <formula>NOT(ISERROR(SEARCH("Done",AA2)))</formula>
    </cfRule>
  </conditionalFormatting>
  <conditionalFormatting sqref="Y26">
    <cfRule type="containsText" dxfId="11529" priority="2945" operator="containsText" text="Done">
      <formula>NOT(ISERROR(SEARCH("Done",AA2)))</formula>
    </cfRule>
  </conditionalFormatting>
  <conditionalFormatting sqref="Y28">
    <cfRule type="containsText" dxfId="11528" priority="2946" operator="containsText" text="Done">
      <formula>NOT(ISERROR(SEARCH("Done",AA2)))</formula>
    </cfRule>
  </conditionalFormatting>
  <conditionalFormatting sqref="Y30">
    <cfRule type="containsText" dxfId="11527" priority="2947" operator="containsText" text="Done">
      <formula>NOT(ISERROR(SEARCH("Done",AA2)))</formula>
    </cfRule>
  </conditionalFormatting>
  <conditionalFormatting sqref="Y31">
    <cfRule type="containsText" dxfId="11526" priority="2948" operator="containsText" text="Done">
      <formula>NOT(ISERROR(SEARCH("Done",AA2)))</formula>
    </cfRule>
  </conditionalFormatting>
  <conditionalFormatting sqref="X26">
    <cfRule type="containsText" dxfId="11525" priority="2949" operator="containsText" text="Done">
      <formula>NOT(ISERROR(SEARCH("Done",AA2)))</formula>
    </cfRule>
  </conditionalFormatting>
  <conditionalFormatting sqref="X26">
    <cfRule type="containsText" dxfId="11524" priority="2950" operator="containsText" text="Done">
      <formula>NOT(ISERROR(SEARCH("Done",AA2)))</formula>
    </cfRule>
  </conditionalFormatting>
  <conditionalFormatting sqref="W30">
    <cfRule type="containsText" dxfId="11523" priority="2951" operator="containsText" text="Done">
      <formula>NOT(ISERROR(SEARCH("Done",AA2)))</formula>
    </cfRule>
  </conditionalFormatting>
  <conditionalFormatting sqref="W30">
    <cfRule type="containsText" dxfId="11522" priority="2952" operator="containsText" text="Done">
      <formula>NOT(ISERROR(SEARCH("Done",AA2)))</formula>
    </cfRule>
  </conditionalFormatting>
  <conditionalFormatting sqref="X30">
    <cfRule type="containsText" dxfId="11521" priority="2953" operator="containsText" text="Done">
      <formula>NOT(ISERROR(SEARCH("Done",AA2)))</formula>
    </cfRule>
  </conditionalFormatting>
  <conditionalFormatting sqref="X30">
    <cfRule type="containsText" dxfId="11520" priority="2954" operator="containsText" text="Done">
      <formula>NOT(ISERROR(SEARCH("Done",AA2)))</formula>
    </cfRule>
  </conditionalFormatting>
  <conditionalFormatting sqref="W22">
    <cfRule type="containsText" dxfId="11519" priority="2955" operator="containsText" text="Done">
      <formula>NOT(ISERROR(SEARCH("Done",AA2)))</formula>
    </cfRule>
  </conditionalFormatting>
  <conditionalFormatting sqref="X22">
    <cfRule type="containsText" dxfId="11518" priority="2956" operator="containsText" text="Done">
      <formula>NOT(ISERROR(SEARCH("Done",AA2)))</formula>
    </cfRule>
  </conditionalFormatting>
  <conditionalFormatting sqref="T25">
    <cfRule type="containsText" dxfId="11517" priority="2957" operator="containsText" text="Done">
      <formula>NOT(ISERROR(SEARCH("Done",AA2)))</formula>
    </cfRule>
  </conditionalFormatting>
  <conditionalFormatting sqref="T27">
    <cfRule type="containsText" dxfId="11516" priority="2958" operator="containsText" text="Done">
      <formula>NOT(ISERROR(SEARCH("Done",AA2)))</formula>
    </cfRule>
  </conditionalFormatting>
  <conditionalFormatting sqref="Z44">
    <cfRule type="containsText" dxfId="11515" priority="2959" operator="containsText" text="Done">
      <formula>NOT(ISERROR(SEARCH("Done",AA2)))</formula>
    </cfRule>
  </conditionalFormatting>
  <conditionalFormatting sqref="Z44">
    <cfRule type="containsText" dxfId="11514" priority="2960" operator="containsText" text="Done">
      <formula>NOT(ISERROR(SEARCH("Done",AA2)))</formula>
    </cfRule>
  </conditionalFormatting>
  <conditionalFormatting sqref="W44:X44">
    <cfRule type="containsText" dxfId="11513" priority="2961" operator="containsText" text="Done">
      <formula>NOT(ISERROR(SEARCH("Done",AA2)))</formula>
    </cfRule>
  </conditionalFormatting>
  <conditionalFormatting sqref="X44">
    <cfRule type="containsText" dxfId="11512" priority="2962" operator="containsText" text="Done">
      <formula>NOT(ISERROR(SEARCH("Done",AA2)))</formula>
    </cfRule>
  </conditionalFormatting>
  <conditionalFormatting sqref="U3:Y16 X18:Y18 U19:Y40 W41:Y52 U53:Y56">
    <cfRule type="containsText" dxfId="11511" priority="2716" operator="containsText" text="Pending">
      <formula>NOT(ISERROR(SEARCH("Pending",AA2)))</formula>
    </cfRule>
  </conditionalFormatting>
  <conditionalFormatting sqref="U6:Y6">
    <cfRule type="containsText" dxfId="11510" priority="2963" operator="containsText" text="Pending">
      <formula>NOT(ISERROR(SEARCH("Pending",AA2)))</formula>
    </cfRule>
  </conditionalFormatting>
  <conditionalFormatting sqref="U7:Y7">
    <cfRule type="containsText" dxfId="11509" priority="2964" operator="containsText" text="Pending">
      <formula>NOT(ISERROR(SEARCH("Pending",AA2)))</formula>
    </cfRule>
  </conditionalFormatting>
  <conditionalFormatting sqref="U9:Y9">
    <cfRule type="containsText" dxfId="11508" priority="2965" operator="containsText" text="Pending">
      <formula>NOT(ISERROR(SEARCH("Pending",AA2)))</formula>
    </cfRule>
  </conditionalFormatting>
  <conditionalFormatting sqref="U4:Y4">
    <cfRule type="containsText" dxfId="11507" priority="2966" operator="containsText" text="Pending">
      <formula>NOT(ISERROR(SEARCH("Pending",AA2)))</formula>
    </cfRule>
  </conditionalFormatting>
  <conditionalFormatting sqref="U3:Y3">
    <cfRule type="containsText" dxfId="11506" priority="2967" operator="containsText" text="Pending">
      <formula>NOT(ISERROR(SEARCH("Pending",AA2)))</formula>
    </cfRule>
  </conditionalFormatting>
  <conditionalFormatting sqref="U30">
    <cfRule type="containsText" dxfId="11505" priority="2968" operator="containsText" text="Pending">
      <formula>NOT(ISERROR(SEARCH("Pending",AA2)))</formula>
    </cfRule>
  </conditionalFormatting>
  <conditionalFormatting sqref="U29">
    <cfRule type="containsText" dxfId="11504" priority="2969" operator="containsText" text="Pending">
      <formula>NOT(ISERROR(SEARCH("Pending",AA2)))</formula>
    </cfRule>
  </conditionalFormatting>
  <conditionalFormatting sqref="U28">
    <cfRule type="containsText" dxfId="11503" priority="2970" operator="containsText" text="Pending">
      <formula>NOT(ISERROR(SEARCH("Pending",AA2)))</formula>
    </cfRule>
  </conditionalFormatting>
  <conditionalFormatting sqref="U26">
    <cfRule type="containsText" dxfId="11502" priority="2971" operator="containsText" text="Pending">
      <formula>NOT(ISERROR(SEARCH("Pending",AA2)))</formula>
    </cfRule>
  </conditionalFormatting>
  <conditionalFormatting sqref="U54">
    <cfRule type="containsText" dxfId="11501" priority="2972" operator="containsText" text="Pending">
      <formula>NOT(ISERROR(SEARCH("Pending",AA2)))</formula>
    </cfRule>
  </conditionalFormatting>
  <conditionalFormatting sqref="U55">
    <cfRule type="containsText" dxfId="11500" priority="2973" operator="containsText" text="Pending">
      <formula>NOT(ISERROR(SEARCH("Pending",AA2)))</formula>
    </cfRule>
  </conditionalFormatting>
  <conditionalFormatting sqref="U56">
    <cfRule type="containsText" dxfId="11499" priority="2974" operator="containsText" text="Pending">
      <formula>NOT(ISERROR(SEARCH("Pending",AA2)))</formula>
    </cfRule>
  </conditionalFormatting>
  <conditionalFormatting sqref="V54">
    <cfRule type="containsText" dxfId="11498" priority="2975" operator="containsText" text="Pending">
      <formula>NOT(ISERROR(SEARCH("Pending",AA2)))</formula>
    </cfRule>
  </conditionalFormatting>
  <conditionalFormatting sqref="X53">
    <cfRule type="containsText" dxfId="11497" priority="2976" operator="containsText" text="Pending">
      <formula>NOT(ISERROR(SEARCH("Pending",AA2)))</formula>
    </cfRule>
  </conditionalFormatting>
  <conditionalFormatting sqref="W54">
    <cfRule type="containsText" dxfId="11496" priority="2977" operator="containsText" text="Pending">
      <formula>NOT(ISERROR(SEARCH("Pending",AA2)))</formula>
    </cfRule>
  </conditionalFormatting>
  <conditionalFormatting sqref="W56">
    <cfRule type="containsText" dxfId="11495" priority="2978" operator="containsText" text="Pending">
      <formula>NOT(ISERROR(SEARCH("Pending",AA2)))</formula>
    </cfRule>
  </conditionalFormatting>
  <conditionalFormatting sqref="Y55">
    <cfRule type="containsText" dxfId="11494" priority="2979" operator="containsText" text="Pending">
      <formula>NOT(ISERROR(SEARCH("Pending",AA2)))</formula>
    </cfRule>
  </conditionalFormatting>
  <conditionalFormatting sqref="U11:Y11">
    <cfRule type="containsText" dxfId="11493" priority="2980" operator="containsText" text="Pending">
      <formula>NOT(ISERROR(SEARCH("Pending",AA2)))</formula>
    </cfRule>
  </conditionalFormatting>
  <conditionalFormatting sqref="U13:Y13">
    <cfRule type="containsText" dxfId="11492" priority="2981" operator="containsText" text="Pending">
      <formula>NOT(ISERROR(SEARCH("Pending",AA2)))</formula>
    </cfRule>
  </conditionalFormatting>
  <conditionalFormatting sqref="U19:Y19">
    <cfRule type="containsText" dxfId="11491" priority="2982" operator="containsText" text="Pending">
      <formula>NOT(ISERROR(SEARCH("Pending",AA2)))</formula>
    </cfRule>
  </conditionalFormatting>
  <conditionalFormatting sqref="V20:Z20">
    <cfRule type="containsText" dxfId="11490" priority="2983" operator="containsText" text="Pending">
      <formula>NOT(ISERROR(SEARCH("Pending",AA2)))</formula>
    </cfRule>
  </conditionalFormatting>
  <conditionalFormatting sqref="V21:Z21">
    <cfRule type="containsText" dxfId="11489" priority="2984" operator="containsText" text="Pending">
      <formula>NOT(ISERROR(SEARCH("Pending",AA2)))</formula>
    </cfRule>
  </conditionalFormatting>
  <conditionalFormatting sqref="W34:X34">
    <cfRule type="containsText" dxfId="11488" priority="2985" operator="containsText" text="Pending">
      <formula>NOT(ISERROR(SEARCH("Pending",AA2)))</formula>
    </cfRule>
  </conditionalFormatting>
  <conditionalFormatting sqref="W35:X35">
    <cfRule type="containsText" dxfId="11487" priority="2986" operator="containsText" text="Pending">
      <formula>NOT(ISERROR(SEARCH("Pending",AA2)))</formula>
    </cfRule>
  </conditionalFormatting>
  <conditionalFormatting sqref="W38">
    <cfRule type="containsText" dxfId="11486" priority="2987" operator="containsText" text="Pending">
      <formula>NOT(ISERROR(SEARCH("Pending",AA2)))</formula>
    </cfRule>
  </conditionalFormatting>
  <conditionalFormatting sqref="X38">
    <cfRule type="containsText" dxfId="11485" priority="2988" operator="containsText" text="Pending">
      <formula>NOT(ISERROR(SEARCH("Pending",AA2)))</formula>
    </cfRule>
  </conditionalFormatting>
  <conditionalFormatting sqref="Z38:AA38">
    <cfRule type="containsText" dxfId="11484" priority="2989" operator="containsText" text="Pending">
      <formula>NOT(ISERROR(SEARCH("Pending",AA2)))</formula>
    </cfRule>
  </conditionalFormatting>
  <conditionalFormatting sqref="Z38">
    <cfRule type="containsText" dxfId="11483" priority="2990" operator="containsText" text="Pending">
      <formula>NOT(ISERROR(SEARCH("Pending",AA2)))</formula>
    </cfRule>
  </conditionalFormatting>
  <conditionalFormatting sqref="AA38">
    <cfRule type="containsText" dxfId="11482" priority="2991" operator="containsText" text="Pending">
      <formula>NOT(ISERROR(SEARCH("Pending",AA2)))</formula>
    </cfRule>
  </conditionalFormatting>
  <conditionalFormatting sqref="W41">
    <cfRule type="containsText" dxfId="11481" priority="2992" operator="containsText" text="Pending">
      <formula>NOT(ISERROR(SEARCH("Pending",AA2)))</formula>
    </cfRule>
  </conditionalFormatting>
  <conditionalFormatting sqref="W41">
    <cfRule type="containsText" dxfId="11480" priority="2993" operator="containsText" text="Pending">
      <formula>NOT(ISERROR(SEARCH("Pending",AA2)))</formula>
    </cfRule>
  </conditionalFormatting>
  <conditionalFormatting sqref="X41:X52">
    <cfRule type="containsText" dxfId="11479" priority="2994" operator="containsText" text="Pending">
      <formula>NOT(ISERROR(SEARCH("Pending",AA2)))</formula>
    </cfRule>
  </conditionalFormatting>
  <conditionalFormatting sqref="X41">
    <cfRule type="containsText" dxfId="11478" priority="2995" operator="containsText" text="Pending">
      <formula>NOT(ISERROR(SEARCH("Pending",AA2)))</formula>
    </cfRule>
  </conditionalFormatting>
  <conditionalFormatting sqref="X41">
    <cfRule type="containsText" dxfId="11477" priority="2996" operator="containsText" text="Pending">
      <formula>NOT(ISERROR(SEARCH("Pending",AA2)))</formula>
    </cfRule>
  </conditionalFormatting>
  <conditionalFormatting sqref="Y42">
    <cfRule type="containsText" dxfId="11476" priority="2997" operator="containsText" text="Pending">
      <formula>NOT(ISERROR(SEARCH("Pending",AA2)))</formula>
    </cfRule>
  </conditionalFormatting>
  <conditionalFormatting sqref="Z42">
    <cfRule type="containsText" dxfId="11475" priority="2998" operator="containsText" text="Pending">
      <formula>NOT(ISERROR(SEARCH("Pending",AA2)))</formula>
    </cfRule>
  </conditionalFormatting>
  <conditionalFormatting sqref="Z42">
    <cfRule type="containsText" dxfId="11474" priority="2999" operator="containsText" text="Pending">
      <formula>NOT(ISERROR(SEARCH("Pending",AA2)))</formula>
    </cfRule>
  </conditionalFormatting>
  <conditionalFormatting sqref="Z47:Z52">
    <cfRule type="containsText" dxfId="11473" priority="3000" operator="containsText" text="Pending">
      <formula>NOT(ISERROR(SEARCH("Pending",AA2)))</formula>
    </cfRule>
  </conditionalFormatting>
  <conditionalFormatting sqref="AA42">
    <cfRule type="containsText" dxfId="11472" priority="3001" operator="containsText" text="Pending">
      <formula>NOT(ISERROR(SEARCH("Pending",AA2)))</formula>
    </cfRule>
  </conditionalFormatting>
  <conditionalFormatting sqref="AA42">
    <cfRule type="containsText" dxfId="11471" priority="3002" operator="containsText" text="Pending">
      <formula>NOT(ISERROR(SEARCH("Pending",AA2)))</formula>
    </cfRule>
  </conditionalFormatting>
  <conditionalFormatting sqref="AA47:AA52">
    <cfRule type="containsText" dxfId="11470" priority="3003" operator="containsText" text="Pending">
      <formula>NOT(ISERROR(SEARCH("Pending",AA2)))</formula>
    </cfRule>
  </conditionalFormatting>
  <conditionalFormatting sqref="V26">
    <cfRule type="containsText" dxfId="11469" priority="3004" operator="containsText" text="Pending">
      <formula>NOT(ISERROR(SEARCH("Pending",AA2)))</formula>
    </cfRule>
  </conditionalFormatting>
  <conditionalFormatting sqref="V30">
    <cfRule type="containsText" dxfId="11468" priority="3005" operator="containsText" text="Pending">
      <formula>NOT(ISERROR(SEARCH("Pending",AA2)))</formula>
    </cfRule>
  </conditionalFormatting>
  <conditionalFormatting sqref="V31">
    <cfRule type="containsText" dxfId="11467" priority="3006" operator="containsText" text="Pending">
      <formula>NOT(ISERROR(SEARCH("Pending",AA2)))</formula>
    </cfRule>
  </conditionalFormatting>
  <conditionalFormatting sqref="W26:X26">
    <cfRule type="containsText" dxfId="11466" priority="3007" operator="containsText" text="Pending">
      <formula>NOT(ISERROR(SEARCH("Pending",AA2)))</formula>
    </cfRule>
  </conditionalFormatting>
  <conditionalFormatting sqref="W29:X29">
    <cfRule type="containsText" dxfId="11465" priority="3008" operator="containsText" text="Pending">
      <formula>NOT(ISERROR(SEARCH("Pending",AA2)))</formula>
    </cfRule>
  </conditionalFormatting>
  <conditionalFormatting sqref="W31:X31">
    <cfRule type="containsText" dxfId="11464" priority="3009" operator="containsText" text="Pending">
      <formula>NOT(ISERROR(SEARCH("Pending",AA2)))</formula>
    </cfRule>
  </conditionalFormatting>
  <conditionalFormatting sqref="Y25">
    <cfRule type="containsText" dxfId="11463" priority="3010" operator="containsText" text="Pending">
      <formula>NOT(ISERROR(SEARCH("Pending",AA2)))</formula>
    </cfRule>
  </conditionalFormatting>
  <conditionalFormatting sqref="Y26">
    <cfRule type="containsText" dxfId="11462" priority="3011" operator="containsText" text="Pending">
      <formula>NOT(ISERROR(SEARCH("Pending",AA2)))</formula>
    </cfRule>
  </conditionalFormatting>
  <conditionalFormatting sqref="Y28">
    <cfRule type="containsText" dxfId="11461" priority="3012" operator="containsText" text="Pending">
      <formula>NOT(ISERROR(SEARCH("Pending",AA2)))</formula>
    </cfRule>
  </conditionalFormatting>
  <conditionalFormatting sqref="Y30">
    <cfRule type="containsText" dxfId="11460" priority="3013" operator="containsText" text="Pending">
      <formula>NOT(ISERROR(SEARCH("Pending",AA2)))</formula>
    </cfRule>
  </conditionalFormatting>
  <conditionalFormatting sqref="Y31">
    <cfRule type="containsText" dxfId="11459" priority="3014" operator="containsText" text="Pending">
      <formula>NOT(ISERROR(SEARCH("Pending",AA2)))</formula>
    </cfRule>
  </conditionalFormatting>
  <conditionalFormatting sqref="X26">
    <cfRule type="containsText" dxfId="11458" priority="3015" operator="containsText" text="Pending">
      <formula>NOT(ISERROR(SEARCH("Pending",AA2)))</formula>
    </cfRule>
  </conditionalFormatting>
  <conditionalFormatting sqref="X26">
    <cfRule type="containsText" dxfId="11457" priority="3016" operator="containsText" text="Pending">
      <formula>NOT(ISERROR(SEARCH("Pending",AA2)))</formula>
    </cfRule>
  </conditionalFormatting>
  <conditionalFormatting sqref="W30">
    <cfRule type="containsText" dxfId="11456" priority="3017" operator="containsText" text="Pending">
      <formula>NOT(ISERROR(SEARCH("Pending",AA2)))</formula>
    </cfRule>
  </conditionalFormatting>
  <conditionalFormatting sqref="W30">
    <cfRule type="containsText" dxfId="11455" priority="3018" operator="containsText" text="Pending">
      <formula>NOT(ISERROR(SEARCH("Pending",AA2)))</formula>
    </cfRule>
  </conditionalFormatting>
  <conditionalFormatting sqref="X30">
    <cfRule type="containsText" dxfId="11454" priority="3019" operator="containsText" text="Pending">
      <formula>NOT(ISERROR(SEARCH("Pending",AA2)))</formula>
    </cfRule>
  </conditionalFormatting>
  <conditionalFormatting sqref="X30">
    <cfRule type="containsText" dxfId="11453" priority="3020" operator="containsText" text="Pending">
      <formula>NOT(ISERROR(SEARCH("Pending",AA2)))</formula>
    </cfRule>
  </conditionalFormatting>
  <conditionalFormatting sqref="W22">
    <cfRule type="containsText" dxfId="11452" priority="3021" operator="containsText" text="Pending">
      <formula>NOT(ISERROR(SEARCH("Pending",AA2)))</formula>
    </cfRule>
  </conditionalFormatting>
  <conditionalFormatting sqref="X22">
    <cfRule type="containsText" dxfId="11451" priority="3022" operator="containsText" text="Pending">
      <formula>NOT(ISERROR(SEARCH("Pending",AA2)))</formula>
    </cfRule>
  </conditionalFormatting>
  <conditionalFormatting sqref="T25">
    <cfRule type="containsText" dxfId="11450" priority="3023" operator="containsText" text="Pending">
      <formula>NOT(ISERROR(SEARCH("Pending",AA2)))</formula>
    </cfRule>
  </conditionalFormatting>
  <conditionalFormatting sqref="T27">
    <cfRule type="containsText" dxfId="11449" priority="3024" operator="containsText" text="Pending">
      <formula>NOT(ISERROR(SEARCH("Pending",AA2)))</formula>
    </cfRule>
  </conditionalFormatting>
  <conditionalFormatting sqref="Z44">
    <cfRule type="containsText" dxfId="11448" priority="3025" operator="containsText" text="Pending">
      <formula>NOT(ISERROR(SEARCH("Pending",AA2)))</formula>
    </cfRule>
  </conditionalFormatting>
  <conditionalFormatting sqref="Z44">
    <cfRule type="containsText" dxfId="11447" priority="3026" operator="containsText" text="Pending">
      <formula>NOT(ISERROR(SEARCH("Pending",AA2)))</formula>
    </cfRule>
  </conditionalFormatting>
  <conditionalFormatting sqref="W44:X44">
    <cfRule type="containsText" dxfId="11446" priority="3027" operator="containsText" text="Pending">
      <formula>NOT(ISERROR(SEARCH("Pending",AA2)))</formula>
    </cfRule>
  </conditionalFormatting>
  <conditionalFormatting sqref="X44">
    <cfRule type="containsText" dxfId="11445" priority="3028" operator="containsText" text="Pending">
      <formula>NOT(ISERROR(SEARCH("Pending",AA2)))</formula>
    </cfRule>
  </conditionalFormatting>
  <conditionalFormatting sqref="U3:Y16 X18:Y18 U19:Y40 W41:Y52 U53:Y56">
    <cfRule type="containsText" dxfId="11444" priority="2714" operator="containsText" text="NA">
      <formula>NOT(ISERROR(SEARCH("NA",AA2)))</formula>
    </cfRule>
  </conditionalFormatting>
  <conditionalFormatting sqref="U6:Y6">
    <cfRule type="containsText" dxfId="11443" priority="3029" operator="containsText" text="NA">
      <formula>NOT(ISERROR(SEARCH("NA",AA2)))</formula>
    </cfRule>
  </conditionalFormatting>
  <conditionalFormatting sqref="U7:Y7">
    <cfRule type="containsText" dxfId="11442" priority="3030" operator="containsText" text="NA">
      <formula>NOT(ISERROR(SEARCH("NA",AA2)))</formula>
    </cfRule>
  </conditionalFormatting>
  <conditionalFormatting sqref="U9:Y9">
    <cfRule type="containsText" dxfId="11441" priority="3031" operator="containsText" text="NA">
      <formula>NOT(ISERROR(SEARCH("NA",AA2)))</formula>
    </cfRule>
  </conditionalFormatting>
  <conditionalFormatting sqref="U4:Y4">
    <cfRule type="containsText" dxfId="11440" priority="3032" operator="containsText" text="NA">
      <formula>NOT(ISERROR(SEARCH("NA",AA2)))</formula>
    </cfRule>
  </conditionalFormatting>
  <conditionalFormatting sqref="U3:Y3">
    <cfRule type="containsText" dxfId="11439" priority="3033" operator="containsText" text="NA">
      <formula>NOT(ISERROR(SEARCH("NA",AA2)))</formula>
    </cfRule>
  </conditionalFormatting>
  <conditionalFormatting sqref="U30">
    <cfRule type="containsText" dxfId="11438" priority="3034" operator="containsText" text="NA">
      <formula>NOT(ISERROR(SEARCH("NA",AA2)))</formula>
    </cfRule>
  </conditionalFormatting>
  <conditionalFormatting sqref="U29">
    <cfRule type="containsText" dxfId="11437" priority="3035" operator="containsText" text="NA">
      <formula>NOT(ISERROR(SEARCH("NA",AA2)))</formula>
    </cfRule>
  </conditionalFormatting>
  <conditionalFormatting sqref="U28">
    <cfRule type="containsText" dxfId="11436" priority="3036" operator="containsText" text="NA">
      <formula>NOT(ISERROR(SEARCH("NA",AA2)))</formula>
    </cfRule>
  </conditionalFormatting>
  <conditionalFormatting sqref="U26">
    <cfRule type="containsText" dxfId="11435" priority="3037" operator="containsText" text="NA">
      <formula>NOT(ISERROR(SEARCH("NA",AA2)))</formula>
    </cfRule>
  </conditionalFormatting>
  <conditionalFormatting sqref="U54">
    <cfRule type="containsText" dxfId="11434" priority="3038" operator="containsText" text="NA">
      <formula>NOT(ISERROR(SEARCH("NA",AA2)))</formula>
    </cfRule>
  </conditionalFormatting>
  <conditionalFormatting sqref="U55">
    <cfRule type="containsText" dxfId="11433" priority="3039" operator="containsText" text="NA">
      <formula>NOT(ISERROR(SEARCH("NA",AA2)))</formula>
    </cfRule>
  </conditionalFormatting>
  <conditionalFormatting sqref="U56">
    <cfRule type="containsText" dxfId="11432" priority="3040" operator="containsText" text="NA">
      <formula>NOT(ISERROR(SEARCH("NA",AA2)))</formula>
    </cfRule>
  </conditionalFormatting>
  <conditionalFormatting sqref="V54">
    <cfRule type="containsText" dxfId="11431" priority="3041" operator="containsText" text="NA">
      <formula>NOT(ISERROR(SEARCH("NA",AA2)))</formula>
    </cfRule>
  </conditionalFormatting>
  <conditionalFormatting sqref="X53">
    <cfRule type="containsText" dxfId="11430" priority="3042" operator="containsText" text="NA">
      <formula>NOT(ISERROR(SEARCH("NA",AA2)))</formula>
    </cfRule>
  </conditionalFormatting>
  <conditionalFormatting sqref="W54">
    <cfRule type="containsText" dxfId="11429" priority="3043" operator="containsText" text="NA">
      <formula>NOT(ISERROR(SEARCH("NA",AA2)))</formula>
    </cfRule>
  </conditionalFormatting>
  <conditionalFormatting sqref="W56">
    <cfRule type="containsText" dxfId="11428" priority="3044" operator="containsText" text="NA">
      <formula>NOT(ISERROR(SEARCH("NA",AA2)))</formula>
    </cfRule>
  </conditionalFormatting>
  <conditionalFormatting sqref="Y55">
    <cfRule type="containsText" dxfId="11427" priority="3045" operator="containsText" text="NA">
      <formula>NOT(ISERROR(SEARCH("NA",AA2)))</formula>
    </cfRule>
  </conditionalFormatting>
  <conditionalFormatting sqref="U11:Y11">
    <cfRule type="containsText" dxfId="11426" priority="3046" operator="containsText" text="NA">
      <formula>NOT(ISERROR(SEARCH("NA",AA2)))</formula>
    </cfRule>
  </conditionalFormatting>
  <conditionalFormatting sqref="U13:Y13">
    <cfRule type="containsText" dxfId="11425" priority="3047" operator="containsText" text="NA">
      <formula>NOT(ISERROR(SEARCH("NA",AA2)))</formula>
    </cfRule>
  </conditionalFormatting>
  <conditionalFormatting sqref="U19:Y19">
    <cfRule type="containsText" dxfId="11424" priority="3048" operator="containsText" text="NA">
      <formula>NOT(ISERROR(SEARCH("NA",AA2)))</formula>
    </cfRule>
  </conditionalFormatting>
  <conditionalFormatting sqref="V20:Z20">
    <cfRule type="containsText" dxfId="11423" priority="3049" operator="containsText" text="NA">
      <formula>NOT(ISERROR(SEARCH("NA",AA2)))</formula>
    </cfRule>
  </conditionalFormatting>
  <conditionalFormatting sqref="V21:Z21">
    <cfRule type="containsText" dxfId="11422" priority="3050" operator="containsText" text="NA">
      <formula>NOT(ISERROR(SEARCH("NA",AA2)))</formula>
    </cfRule>
  </conditionalFormatting>
  <conditionalFormatting sqref="W34:X34">
    <cfRule type="containsText" dxfId="11421" priority="3051" operator="containsText" text="NA">
      <formula>NOT(ISERROR(SEARCH("NA",AA2)))</formula>
    </cfRule>
  </conditionalFormatting>
  <conditionalFormatting sqref="W35:X35">
    <cfRule type="containsText" dxfId="11420" priority="3052" operator="containsText" text="NA">
      <formula>NOT(ISERROR(SEARCH("NA",AA2)))</formula>
    </cfRule>
  </conditionalFormatting>
  <conditionalFormatting sqref="W38">
    <cfRule type="containsText" dxfId="11419" priority="3053" operator="containsText" text="NA">
      <formula>NOT(ISERROR(SEARCH("NA",AA2)))</formula>
    </cfRule>
  </conditionalFormatting>
  <conditionalFormatting sqref="X38">
    <cfRule type="containsText" dxfId="11418" priority="3054" operator="containsText" text="NA">
      <formula>NOT(ISERROR(SEARCH("NA",AA2)))</formula>
    </cfRule>
  </conditionalFormatting>
  <conditionalFormatting sqref="Z38:AA38">
    <cfRule type="containsText" dxfId="11417" priority="3055" operator="containsText" text="NA">
      <formula>NOT(ISERROR(SEARCH("NA",AA2)))</formula>
    </cfRule>
  </conditionalFormatting>
  <conditionalFormatting sqref="Z38">
    <cfRule type="containsText" dxfId="11416" priority="3056" operator="containsText" text="NA">
      <formula>NOT(ISERROR(SEARCH("NA",AA2)))</formula>
    </cfRule>
  </conditionalFormatting>
  <conditionalFormatting sqref="AA38">
    <cfRule type="containsText" dxfId="11415" priority="3057" operator="containsText" text="NA">
      <formula>NOT(ISERROR(SEARCH("NA",AA2)))</formula>
    </cfRule>
  </conditionalFormatting>
  <conditionalFormatting sqref="W41">
    <cfRule type="containsText" dxfId="11414" priority="3058" operator="containsText" text="NA">
      <formula>NOT(ISERROR(SEARCH("NA",AA2)))</formula>
    </cfRule>
  </conditionalFormatting>
  <conditionalFormatting sqref="W41">
    <cfRule type="containsText" dxfId="11413" priority="3059" operator="containsText" text="NA">
      <formula>NOT(ISERROR(SEARCH("NA",AA2)))</formula>
    </cfRule>
  </conditionalFormatting>
  <conditionalFormatting sqref="X41:X52">
    <cfRule type="containsText" dxfId="11412" priority="3060" operator="containsText" text="NA">
      <formula>NOT(ISERROR(SEARCH("NA",AA2)))</formula>
    </cfRule>
  </conditionalFormatting>
  <conditionalFormatting sqref="X41">
    <cfRule type="containsText" dxfId="11411" priority="3061" operator="containsText" text="NA">
      <formula>NOT(ISERROR(SEARCH("NA",AA2)))</formula>
    </cfRule>
  </conditionalFormatting>
  <conditionalFormatting sqref="X41">
    <cfRule type="containsText" dxfId="11410" priority="3062" operator="containsText" text="NA">
      <formula>NOT(ISERROR(SEARCH("NA",AA2)))</formula>
    </cfRule>
  </conditionalFormatting>
  <conditionalFormatting sqref="Y42">
    <cfRule type="containsText" dxfId="11409" priority="3063" operator="containsText" text="NA">
      <formula>NOT(ISERROR(SEARCH("NA",AA2)))</formula>
    </cfRule>
  </conditionalFormatting>
  <conditionalFormatting sqref="Z42">
    <cfRule type="containsText" dxfId="11408" priority="3064" operator="containsText" text="NA">
      <formula>NOT(ISERROR(SEARCH("NA",AA2)))</formula>
    </cfRule>
  </conditionalFormatting>
  <conditionalFormatting sqref="Z42">
    <cfRule type="containsText" dxfId="11407" priority="3065" operator="containsText" text="NA">
      <formula>NOT(ISERROR(SEARCH("NA",AA2)))</formula>
    </cfRule>
  </conditionalFormatting>
  <conditionalFormatting sqref="Z47:Z52">
    <cfRule type="containsText" dxfId="11406" priority="3066" operator="containsText" text="NA">
      <formula>NOT(ISERROR(SEARCH("NA",AA2)))</formula>
    </cfRule>
  </conditionalFormatting>
  <conditionalFormatting sqref="AA42">
    <cfRule type="containsText" dxfId="11405" priority="3067" operator="containsText" text="NA">
      <formula>NOT(ISERROR(SEARCH("NA",AA2)))</formula>
    </cfRule>
  </conditionalFormatting>
  <conditionalFormatting sqref="AA42">
    <cfRule type="containsText" dxfId="11404" priority="3068" operator="containsText" text="NA">
      <formula>NOT(ISERROR(SEARCH("NA",AA2)))</formula>
    </cfRule>
  </conditionalFormatting>
  <conditionalFormatting sqref="AA47:AA52">
    <cfRule type="containsText" dxfId="11403" priority="3069" operator="containsText" text="NA">
      <formula>NOT(ISERROR(SEARCH("NA",AA2)))</formula>
    </cfRule>
  </conditionalFormatting>
  <conditionalFormatting sqref="V26">
    <cfRule type="containsText" dxfId="11402" priority="3070" operator="containsText" text="NA">
      <formula>NOT(ISERROR(SEARCH("NA",AA2)))</formula>
    </cfRule>
  </conditionalFormatting>
  <conditionalFormatting sqref="V30">
    <cfRule type="containsText" dxfId="11401" priority="3071" operator="containsText" text="NA">
      <formula>NOT(ISERROR(SEARCH("NA",AA2)))</formula>
    </cfRule>
  </conditionalFormatting>
  <conditionalFormatting sqref="V31">
    <cfRule type="containsText" dxfId="11400" priority="3072" operator="containsText" text="NA">
      <formula>NOT(ISERROR(SEARCH("NA",AA2)))</formula>
    </cfRule>
  </conditionalFormatting>
  <conditionalFormatting sqref="W26:X26">
    <cfRule type="containsText" dxfId="11399" priority="3073" operator="containsText" text="NA">
      <formula>NOT(ISERROR(SEARCH("NA",AA2)))</formula>
    </cfRule>
  </conditionalFormatting>
  <conditionalFormatting sqref="W29:X29">
    <cfRule type="containsText" dxfId="11398" priority="3074" operator="containsText" text="NA">
      <formula>NOT(ISERROR(SEARCH("NA",AA2)))</formula>
    </cfRule>
  </conditionalFormatting>
  <conditionalFormatting sqref="W31:X31">
    <cfRule type="containsText" dxfId="11397" priority="3075" operator="containsText" text="NA">
      <formula>NOT(ISERROR(SEARCH("NA",AA2)))</formula>
    </cfRule>
  </conditionalFormatting>
  <conditionalFormatting sqref="Y25">
    <cfRule type="containsText" dxfId="11396" priority="3076" operator="containsText" text="NA">
      <formula>NOT(ISERROR(SEARCH("NA",AA2)))</formula>
    </cfRule>
  </conditionalFormatting>
  <conditionalFormatting sqref="Y26">
    <cfRule type="containsText" dxfId="11395" priority="3077" operator="containsText" text="NA">
      <formula>NOT(ISERROR(SEARCH("NA",AA2)))</formula>
    </cfRule>
  </conditionalFormatting>
  <conditionalFormatting sqref="Y28">
    <cfRule type="containsText" dxfId="11394" priority="3078" operator="containsText" text="NA">
      <formula>NOT(ISERROR(SEARCH("NA",AA2)))</formula>
    </cfRule>
  </conditionalFormatting>
  <conditionalFormatting sqref="Y30">
    <cfRule type="containsText" dxfId="11393" priority="3079" operator="containsText" text="NA">
      <formula>NOT(ISERROR(SEARCH("NA",AA2)))</formula>
    </cfRule>
  </conditionalFormatting>
  <conditionalFormatting sqref="Y31">
    <cfRule type="containsText" dxfId="11392" priority="3080" operator="containsText" text="NA">
      <formula>NOT(ISERROR(SEARCH("NA",AA2)))</formula>
    </cfRule>
  </conditionalFormatting>
  <conditionalFormatting sqref="X26">
    <cfRule type="containsText" dxfId="11391" priority="3081" operator="containsText" text="NA">
      <formula>NOT(ISERROR(SEARCH("NA",AA2)))</formula>
    </cfRule>
  </conditionalFormatting>
  <conditionalFormatting sqref="X26">
    <cfRule type="containsText" dxfId="11390" priority="3082" operator="containsText" text="NA">
      <formula>NOT(ISERROR(SEARCH("NA",AA2)))</formula>
    </cfRule>
  </conditionalFormatting>
  <conditionalFormatting sqref="W30">
    <cfRule type="containsText" dxfId="11389" priority="3083" operator="containsText" text="NA">
      <formula>NOT(ISERROR(SEARCH("NA",AA2)))</formula>
    </cfRule>
  </conditionalFormatting>
  <conditionalFormatting sqref="W30">
    <cfRule type="containsText" dxfId="11388" priority="3084" operator="containsText" text="NA">
      <formula>NOT(ISERROR(SEARCH("NA",AA2)))</formula>
    </cfRule>
  </conditionalFormatting>
  <conditionalFormatting sqref="X30">
    <cfRule type="containsText" dxfId="11387" priority="3085" operator="containsText" text="NA">
      <formula>NOT(ISERROR(SEARCH("NA",AA2)))</formula>
    </cfRule>
  </conditionalFormatting>
  <conditionalFormatting sqref="X30">
    <cfRule type="containsText" dxfId="11386" priority="3086" operator="containsText" text="NA">
      <formula>NOT(ISERROR(SEARCH("NA",AA2)))</formula>
    </cfRule>
  </conditionalFormatting>
  <conditionalFormatting sqref="W22">
    <cfRule type="containsText" dxfId="11385" priority="3087" operator="containsText" text="NA">
      <formula>NOT(ISERROR(SEARCH("NA",AA2)))</formula>
    </cfRule>
  </conditionalFormatting>
  <conditionalFormatting sqref="X22">
    <cfRule type="containsText" dxfId="11384" priority="3088" operator="containsText" text="NA">
      <formula>NOT(ISERROR(SEARCH("NA",AA2)))</formula>
    </cfRule>
  </conditionalFormatting>
  <conditionalFormatting sqref="T25">
    <cfRule type="containsText" dxfId="11383" priority="3089" operator="containsText" text="NA">
      <formula>NOT(ISERROR(SEARCH("NA",AA2)))</formula>
    </cfRule>
  </conditionalFormatting>
  <conditionalFormatting sqref="T27">
    <cfRule type="containsText" dxfId="11382" priority="3090" operator="containsText" text="NA">
      <formula>NOT(ISERROR(SEARCH("NA",AA2)))</formula>
    </cfRule>
  </conditionalFormatting>
  <conditionalFormatting sqref="Z44">
    <cfRule type="containsText" dxfId="11381" priority="3091" operator="containsText" text="NA">
      <formula>NOT(ISERROR(SEARCH("NA",AA2)))</formula>
    </cfRule>
  </conditionalFormatting>
  <conditionalFormatting sqref="Z44">
    <cfRule type="containsText" dxfId="11380" priority="3092" operator="containsText" text="NA">
      <formula>NOT(ISERROR(SEARCH("NA",AA2)))</formula>
    </cfRule>
  </conditionalFormatting>
  <conditionalFormatting sqref="W44:X44">
    <cfRule type="containsText" dxfId="11379" priority="3093" operator="containsText" text="NA">
      <formula>NOT(ISERROR(SEARCH("NA",AA2)))</formula>
    </cfRule>
  </conditionalFormatting>
  <conditionalFormatting sqref="X44">
    <cfRule type="containsText" dxfId="11378" priority="3094" operator="containsText" text="NA">
      <formula>NOT(ISERROR(SEARCH("NA",AA2)))</formula>
    </cfRule>
  </conditionalFormatting>
  <conditionalFormatting sqref="Z3:Z16 Z18:Z37 Z39:Z41 Z43 Z45:Z46 Z53:Z56">
    <cfRule type="containsText" dxfId="11377" priority="2062" operator="containsText" text="Done">
      <formula>NOT(ISERROR(SEARCH("Done",AG2)))</formula>
    </cfRule>
  </conditionalFormatting>
  <conditionalFormatting sqref="Z6">
    <cfRule type="containsText" dxfId="11376" priority="3095" operator="containsText" text="Done">
      <formula>NOT(ISERROR(SEARCH("Done",AG2)))</formula>
    </cfRule>
  </conditionalFormatting>
  <conditionalFormatting sqref="Z7">
    <cfRule type="containsText" dxfId="11375" priority="3096" operator="containsText" text="Done">
      <formula>NOT(ISERROR(SEARCH("Done",AG2)))</formula>
    </cfRule>
  </conditionalFormatting>
  <conditionalFormatting sqref="Z9">
    <cfRule type="containsText" dxfId="11374" priority="3097" operator="containsText" text="Done">
      <formula>NOT(ISERROR(SEARCH("Done",AG2)))</formula>
    </cfRule>
  </conditionalFormatting>
  <conditionalFormatting sqref="Z4">
    <cfRule type="containsText" dxfId="11373" priority="3098" operator="containsText" text="Done">
      <formula>NOT(ISERROR(SEARCH("Done",AG2)))</formula>
    </cfRule>
  </conditionalFormatting>
  <conditionalFormatting sqref="Z3">
    <cfRule type="containsText" dxfId="11372" priority="3099" operator="containsText" text="Done">
      <formula>NOT(ISERROR(SEARCH("Done",AG2)))</formula>
    </cfRule>
  </conditionalFormatting>
  <conditionalFormatting sqref="Z53">
    <cfRule type="containsText" dxfId="11371" priority="3100" operator="containsText" text="Done">
      <formula>NOT(ISERROR(SEARCH("Done",AG2)))</formula>
    </cfRule>
  </conditionalFormatting>
  <conditionalFormatting sqref="AA53">
    <cfRule type="containsText" dxfId="11370" priority="3101" operator="containsText" text="Done">
      <formula>NOT(ISERROR(SEARCH("Done",AG2)))</formula>
    </cfRule>
  </conditionalFormatting>
  <conditionalFormatting sqref="AA53">
    <cfRule type="containsText" dxfId="11369" priority="3102" operator="containsText" text="Done">
      <formula>NOT(ISERROR(SEARCH("Done",AG2)))</formula>
    </cfRule>
  </conditionalFormatting>
  <conditionalFormatting sqref="AA54">
    <cfRule type="containsText" dxfId="11368" priority="3103" operator="containsText" text="Done">
      <formula>NOT(ISERROR(SEARCH("Done",AG2)))</formula>
    </cfRule>
  </conditionalFormatting>
  <conditionalFormatting sqref="AA54">
    <cfRule type="containsText" dxfId="11367" priority="3104" operator="containsText" text="Done">
      <formula>NOT(ISERROR(SEARCH("Done",AG2)))</formula>
    </cfRule>
  </conditionalFormatting>
  <conditionalFormatting sqref="AA56">
    <cfRule type="containsText" dxfId="11366" priority="3105" operator="containsText" text="Done">
      <formula>NOT(ISERROR(SEARCH("Done",AG2)))</formula>
    </cfRule>
  </conditionalFormatting>
  <conditionalFormatting sqref="AA56">
    <cfRule type="containsText" dxfId="11365" priority="3106" operator="containsText" text="Done">
      <formula>NOT(ISERROR(SEARCH("Done",AG2)))</formula>
    </cfRule>
  </conditionalFormatting>
  <conditionalFormatting sqref="AA55">
    <cfRule type="containsText" dxfId="11364" priority="3107" operator="containsText" text="Done">
      <formula>NOT(ISERROR(SEARCH("Done",AG2)))</formula>
    </cfRule>
  </conditionalFormatting>
  <conditionalFormatting sqref="AA55">
    <cfRule type="containsText" dxfId="11363" priority="3108" operator="containsText" text="Done">
      <formula>NOT(ISERROR(SEARCH("Done",AG2)))</formula>
    </cfRule>
  </conditionalFormatting>
  <conditionalFormatting sqref="Z11">
    <cfRule type="containsText" dxfId="11362" priority="3109" operator="containsText" text="Done">
      <formula>NOT(ISERROR(SEARCH("Done",AG2)))</formula>
    </cfRule>
  </conditionalFormatting>
  <conditionalFormatting sqref="Z13">
    <cfRule type="containsText" dxfId="11361" priority="3110" operator="containsText" text="Done">
      <formula>NOT(ISERROR(SEARCH("Done",AG2)))</formula>
    </cfRule>
  </conditionalFormatting>
  <conditionalFormatting sqref="Z19">
    <cfRule type="containsText" dxfId="11360" priority="3111" operator="containsText" text="Done">
      <formula>NOT(ISERROR(SEARCH("Done",AG2)))</formula>
    </cfRule>
  </conditionalFormatting>
  <conditionalFormatting sqref="AA20">
    <cfRule type="containsText" dxfId="11359" priority="3112" operator="containsText" text="Done">
      <formula>NOT(ISERROR(SEARCH("Done",AG2)))</formula>
    </cfRule>
  </conditionalFormatting>
  <conditionalFormatting sqref="AA21">
    <cfRule type="containsText" dxfId="11358" priority="3113" operator="containsText" text="Done">
      <formula>NOT(ISERROR(SEARCH("Done",AG2)))</formula>
    </cfRule>
  </conditionalFormatting>
  <conditionalFormatting sqref="AA41 AA43:AA46">
    <cfRule type="containsText" dxfId="11357" priority="3114" operator="containsText" text="Done">
      <formula>NOT(ISERROR(SEARCH("Done",AG2)))</formula>
    </cfRule>
  </conditionalFormatting>
  <conditionalFormatting sqref="Z29">
    <cfRule type="containsText" dxfId="11356" priority="3115" operator="containsText" text="Done">
      <formula>NOT(ISERROR(SEARCH("Done",AG2)))</formula>
    </cfRule>
  </conditionalFormatting>
  <conditionalFormatting sqref="Z30">
    <cfRule type="containsText" dxfId="11355" priority="3116" operator="containsText" text="Done">
      <formula>NOT(ISERROR(SEARCH("Done",AG2)))</formula>
    </cfRule>
  </conditionalFormatting>
  <conditionalFormatting sqref="Z31">
    <cfRule type="containsText" dxfId="11354" priority="3117" operator="containsText" text="Done">
      <formula>NOT(ISERROR(SEARCH("Done",AG2)))</formula>
    </cfRule>
  </conditionalFormatting>
  <conditionalFormatting sqref="Z3:Z16 Z18:Z37 Z39:Z41 Z43 Z45:Z46 Z53:Z56">
    <cfRule type="containsText" dxfId="11353" priority="2059" operator="containsText" text="Pending">
      <formula>NOT(ISERROR(SEARCH("Pending",AG2)))</formula>
    </cfRule>
  </conditionalFormatting>
  <conditionalFormatting sqref="Z6">
    <cfRule type="containsText" dxfId="11352" priority="3118" operator="containsText" text="Pending">
      <formula>NOT(ISERROR(SEARCH("Pending",AG2)))</formula>
    </cfRule>
  </conditionalFormatting>
  <conditionalFormatting sqref="Z7">
    <cfRule type="containsText" dxfId="11351" priority="3119" operator="containsText" text="Pending">
      <formula>NOT(ISERROR(SEARCH("Pending",AG2)))</formula>
    </cfRule>
  </conditionalFormatting>
  <conditionalFormatting sqref="Z9">
    <cfRule type="containsText" dxfId="11350" priority="3120" operator="containsText" text="Pending">
      <formula>NOT(ISERROR(SEARCH("Pending",AG2)))</formula>
    </cfRule>
  </conditionalFormatting>
  <conditionalFormatting sqref="Z4">
    <cfRule type="containsText" dxfId="11349" priority="3121" operator="containsText" text="Pending">
      <formula>NOT(ISERROR(SEARCH("Pending",AG2)))</formula>
    </cfRule>
  </conditionalFormatting>
  <conditionalFormatting sqref="Z3">
    <cfRule type="containsText" dxfId="11348" priority="3122" operator="containsText" text="Pending">
      <formula>NOT(ISERROR(SEARCH("Pending",AG2)))</formula>
    </cfRule>
  </conditionalFormatting>
  <conditionalFormatting sqref="Z53">
    <cfRule type="containsText" dxfId="11347" priority="3123" operator="containsText" text="Pending">
      <formula>NOT(ISERROR(SEARCH("Pending",AG2)))</formula>
    </cfRule>
  </conditionalFormatting>
  <conditionalFormatting sqref="AA53">
    <cfRule type="containsText" dxfId="11346" priority="3124" operator="containsText" text="Pending">
      <formula>NOT(ISERROR(SEARCH("Pending",AG2)))</formula>
    </cfRule>
  </conditionalFormatting>
  <conditionalFormatting sqref="AA53">
    <cfRule type="containsText" dxfId="11345" priority="3125" operator="containsText" text="Pending">
      <formula>NOT(ISERROR(SEARCH("Pending",AG2)))</formula>
    </cfRule>
  </conditionalFormatting>
  <conditionalFormatting sqref="AA54">
    <cfRule type="containsText" dxfId="11344" priority="3126" operator="containsText" text="Pending">
      <formula>NOT(ISERROR(SEARCH("Pending",AG2)))</formula>
    </cfRule>
  </conditionalFormatting>
  <conditionalFormatting sqref="AA54">
    <cfRule type="containsText" dxfId="11343" priority="3127" operator="containsText" text="Pending">
      <formula>NOT(ISERROR(SEARCH("Pending",AG2)))</formula>
    </cfRule>
  </conditionalFormatting>
  <conditionalFormatting sqref="AA56">
    <cfRule type="containsText" dxfId="11342" priority="3128" operator="containsText" text="Pending">
      <formula>NOT(ISERROR(SEARCH("Pending",AG2)))</formula>
    </cfRule>
  </conditionalFormatting>
  <conditionalFormatting sqref="AA56">
    <cfRule type="containsText" dxfId="11341" priority="3129" operator="containsText" text="Pending">
      <formula>NOT(ISERROR(SEARCH("Pending",AG2)))</formula>
    </cfRule>
  </conditionalFormatting>
  <conditionalFormatting sqref="AA55">
    <cfRule type="containsText" dxfId="11340" priority="3130" operator="containsText" text="Pending">
      <formula>NOT(ISERROR(SEARCH("Pending",AG2)))</formula>
    </cfRule>
  </conditionalFormatting>
  <conditionalFormatting sqref="AA55">
    <cfRule type="containsText" dxfId="11339" priority="3131" operator="containsText" text="Pending">
      <formula>NOT(ISERROR(SEARCH("Pending",AG2)))</formula>
    </cfRule>
  </conditionalFormatting>
  <conditionalFormatting sqref="Z11">
    <cfRule type="containsText" dxfId="11338" priority="3132" operator="containsText" text="Pending">
      <formula>NOT(ISERROR(SEARCH("Pending",AG2)))</formula>
    </cfRule>
  </conditionalFormatting>
  <conditionalFormatting sqref="Z13">
    <cfRule type="containsText" dxfId="11337" priority="3133" operator="containsText" text="Pending">
      <formula>NOT(ISERROR(SEARCH("Pending",AG2)))</formula>
    </cfRule>
  </conditionalFormatting>
  <conditionalFormatting sqref="Z19">
    <cfRule type="containsText" dxfId="11336" priority="3134" operator="containsText" text="Pending">
      <formula>NOT(ISERROR(SEARCH("Pending",AG2)))</formula>
    </cfRule>
  </conditionalFormatting>
  <conditionalFormatting sqref="AA20">
    <cfRule type="containsText" dxfId="11335" priority="3135" operator="containsText" text="Pending">
      <formula>NOT(ISERROR(SEARCH("Pending",AG2)))</formula>
    </cfRule>
  </conditionalFormatting>
  <conditionalFormatting sqref="AA21">
    <cfRule type="containsText" dxfId="11334" priority="3136" operator="containsText" text="Pending">
      <formula>NOT(ISERROR(SEARCH("Pending",AG2)))</formula>
    </cfRule>
  </conditionalFormatting>
  <conditionalFormatting sqref="AA41 AA43:AA46">
    <cfRule type="containsText" dxfId="11333" priority="3137" operator="containsText" text="Pending">
      <formula>NOT(ISERROR(SEARCH("Pending",AG2)))</formula>
    </cfRule>
  </conditionalFormatting>
  <conditionalFormatting sqref="Z29">
    <cfRule type="containsText" dxfId="11332" priority="3138" operator="containsText" text="Pending">
      <formula>NOT(ISERROR(SEARCH("Pending",AG2)))</formula>
    </cfRule>
  </conditionalFormatting>
  <conditionalFormatting sqref="Z30">
    <cfRule type="containsText" dxfId="11331" priority="3139" operator="containsText" text="Pending">
      <formula>NOT(ISERROR(SEARCH("Pending",AG2)))</formula>
    </cfRule>
  </conditionalFormatting>
  <conditionalFormatting sqref="Z31">
    <cfRule type="containsText" dxfId="11330" priority="3140" operator="containsText" text="Pending">
      <formula>NOT(ISERROR(SEARCH("Pending",AG2)))</formula>
    </cfRule>
  </conditionalFormatting>
  <conditionalFormatting sqref="Z3:Z16 Z18:Z37 Z39:Z41 Z43 Z45:Z46 Z53:Z56">
    <cfRule type="containsText" dxfId="11329" priority="2056" operator="containsText" text="NA">
      <formula>NOT(ISERROR(SEARCH("NA",AG2)))</formula>
    </cfRule>
  </conditionalFormatting>
  <conditionalFormatting sqref="Z6">
    <cfRule type="containsText" dxfId="11328" priority="3141" operator="containsText" text="NA">
      <formula>NOT(ISERROR(SEARCH("NA",AG2)))</formula>
    </cfRule>
  </conditionalFormatting>
  <conditionalFormatting sqref="Z7">
    <cfRule type="containsText" dxfId="11327" priority="3142" operator="containsText" text="NA">
      <formula>NOT(ISERROR(SEARCH("NA",AG2)))</formula>
    </cfRule>
  </conditionalFormatting>
  <conditionalFormatting sqref="Z9">
    <cfRule type="containsText" dxfId="11326" priority="3143" operator="containsText" text="NA">
      <formula>NOT(ISERROR(SEARCH("NA",AG2)))</formula>
    </cfRule>
  </conditionalFormatting>
  <conditionalFormatting sqref="Z4">
    <cfRule type="containsText" dxfId="11325" priority="3144" operator="containsText" text="NA">
      <formula>NOT(ISERROR(SEARCH("NA",AG2)))</formula>
    </cfRule>
  </conditionalFormatting>
  <conditionalFormatting sqref="Z3">
    <cfRule type="containsText" dxfId="11324" priority="3145" operator="containsText" text="NA">
      <formula>NOT(ISERROR(SEARCH("NA",AG2)))</formula>
    </cfRule>
  </conditionalFormatting>
  <conditionalFormatting sqref="Z53">
    <cfRule type="containsText" dxfId="11323" priority="3146" operator="containsText" text="NA">
      <formula>NOT(ISERROR(SEARCH("NA",AG2)))</formula>
    </cfRule>
  </conditionalFormatting>
  <conditionalFormatting sqref="AA53">
    <cfRule type="containsText" dxfId="11322" priority="3147" operator="containsText" text="NA">
      <formula>NOT(ISERROR(SEARCH("NA",AG2)))</formula>
    </cfRule>
  </conditionalFormatting>
  <conditionalFormatting sqref="AA53">
    <cfRule type="containsText" dxfId="11321" priority="3148" operator="containsText" text="NA">
      <formula>NOT(ISERROR(SEARCH("NA",AG2)))</formula>
    </cfRule>
  </conditionalFormatting>
  <conditionalFormatting sqref="AA54">
    <cfRule type="containsText" dxfId="11320" priority="3149" operator="containsText" text="NA">
      <formula>NOT(ISERROR(SEARCH("NA",AG2)))</formula>
    </cfRule>
  </conditionalFormatting>
  <conditionalFormatting sqref="AA54">
    <cfRule type="containsText" dxfId="11319" priority="3150" operator="containsText" text="NA">
      <formula>NOT(ISERROR(SEARCH("NA",AG2)))</formula>
    </cfRule>
  </conditionalFormatting>
  <conditionalFormatting sqref="AA56">
    <cfRule type="containsText" dxfId="11318" priority="3151" operator="containsText" text="NA">
      <formula>NOT(ISERROR(SEARCH("NA",AG2)))</formula>
    </cfRule>
  </conditionalFormatting>
  <conditionalFormatting sqref="AA56">
    <cfRule type="containsText" dxfId="11317" priority="3152" operator="containsText" text="NA">
      <formula>NOT(ISERROR(SEARCH("NA",AG2)))</formula>
    </cfRule>
  </conditionalFormatting>
  <conditionalFormatting sqref="AA55">
    <cfRule type="containsText" dxfId="11316" priority="3153" operator="containsText" text="NA">
      <formula>NOT(ISERROR(SEARCH("NA",AG2)))</formula>
    </cfRule>
  </conditionalFormatting>
  <conditionalFormatting sqref="AA55">
    <cfRule type="containsText" dxfId="11315" priority="3154" operator="containsText" text="NA">
      <formula>NOT(ISERROR(SEARCH("NA",AG2)))</formula>
    </cfRule>
  </conditionalFormatting>
  <conditionalFormatting sqref="Z11">
    <cfRule type="containsText" dxfId="11314" priority="3155" operator="containsText" text="NA">
      <formula>NOT(ISERROR(SEARCH("NA",AG2)))</formula>
    </cfRule>
  </conditionalFormatting>
  <conditionalFormatting sqref="Z13">
    <cfRule type="containsText" dxfId="11313" priority="3156" operator="containsText" text="NA">
      <formula>NOT(ISERROR(SEARCH("NA",AG2)))</formula>
    </cfRule>
  </conditionalFormatting>
  <conditionalFormatting sqref="Z19">
    <cfRule type="containsText" dxfId="11312" priority="3157" operator="containsText" text="NA">
      <formula>NOT(ISERROR(SEARCH("NA",AG2)))</formula>
    </cfRule>
  </conditionalFormatting>
  <conditionalFormatting sqref="AA20">
    <cfRule type="containsText" dxfId="11311" priority="3158" operator="containsText" text="NA">
      <formula>NOT(ISERROR(SEARCH("NA",AG2)))</formula>
    </cfRule>
  </conditionalFormatting>
  <conditionalFormatting sqref="AA21">
    <cfRule type="containsText" dxfId="11310" priority="3159" operator="containsText" text="NA">
      <formula>NOT(ISERROR(SEARCH("NA",AG2)))</formula>
    </cfRule>
  </conditionalFormatting>
  <conditionalFormatting sqref="AA41 AA43:AA46">
    <cfRule type="containsText" dxfId="11309" priority="3160" operator="containsText" text="NA">
      <formula>NOT(ISERROR(SEARCH("NA",AG2)))</formula>
    </cfRule>
  </conditionalFormatting>
  <conditionalFormatting sqref="Z29">
    <cfRule type="containsText" dxfId="11308" priority="3161" operator="containsText" text="NA">
      <formula>NOT(ISERROR(SEARCH("NA",AG2)))</formula>
    </cfRule>
  </conditionalFormatting>
  <conditionalFormatting sqref="Z30">
    <cfRule type="containsText" dxfId="11307" priority="3162" operator="containsText" text="NA">
      <formula>NOT(ISERROR(SEARCH("NA",AG2)))</formula>
    </cfRule>
  </conditionalFormatting>
  <conditionalFormatting sqref="Z31">
    <cfRule type="containsText" dxfId="11306" priority="3163" operator="containsText" text="NA">
      <formula>NOT(ISERROR(SEARCH("NA",AG2)))</formula>
    </cfRule>
  </conditionalFormatting>
  <conditionalFormatting sqref="S3:S16 S18:S41 S43:S56 O3:O12 O14:O22 O25">
    <cfRule type="containsText" dxfId="11305" priority="27" operator="containsText" text="Done">
      <formula>NOT(ISERROR(SEARCH("Done",W2)))</formula>
    </cfRule>
  </conditionalFormatting>
  <conditionalFormatting sqref="S6 O6">
    <cfRule type="containsText" dxfId="11304" priority="3164" operator="containsText" text="Done">
      <formula>NOT(ISERROR(SEARCH("Done",W2)))</formula>
    </cfRule>
  </conditionalFormatting>
  <conditionalFormatting sqref="S7 O7">
    <cfRule type="containsText" dxfId="11303" priority="3165" operator="containsText" text="Done">
      <formula>NOT(ISERROR(SEARCH("Done",W2)))</formula>
    </cfRule>
  </conditionalFormatting>
  <conditionalFormatting sqref="S9 O9">
    <cfRule type="containsText" dxfId="11302" priority="3166" operator="containsText" text="Done">
      <formula>NOT(ISERROR(SEARCH("Done",W2)))</formula>
    </cfRule>
  </conditionalFormatting>
  <conditionalFormatting sqref="P8">
    <cfRule type="containsText" dxfId="11301" priority="3167" operator="containsText" text="Done">
      <formula>NOT(ISERROR(SEARCH("Done",W2)))</formula>
    </cfRule>
  </conditionalFormatting>
  <conditionalFormatting sqref="S4 O4">
    <cfRule type="containsText" dxfId="11300" priority="3168" operator="containsText" text="Done">
      <formula>NOT(ISERROR(SEARCH("Done",W2)))</formula>
    </cfRule>
  </conditionalFormatting>
  <conditionalFormatting sqref="P4">
    <cfRule type="containsText" dxfId="11299" priority="3169" operator="containsText" text="Done">
      <formula>NOT(ISERROR(SEARCH("Done",W2)))</formula>
    </cfRule>
  </conditionalFormatting>
  <conditionalFormatting sqref="S3 O3">
    <cfRule type="containsText" dxfId="11298" priority="3170" operator="containsText" text="Done">
      <formula>NOT(ISERROR(SEARCH("Done",W2)))</formula>
    </cfRule>
  </conditionalFormatting>
  <conditionalFormatting sqref="K3 K4 K5 K6 K7 K8 K9 L3 L4 L5 L6 L7 L8 L9 N3 N4 N5 N6 N7 N8 N9">
    <cfRule type="containsText" dxfId="11297" priority="3171" operator="containsText" text="Done">
      <formula>NOT(ISERROR(SEARCH("Done",W2)))</formula>
    </cfRule>
  </conditionalFormatting>
  <conditionalFormatting sqref="R18">
    <cfRule type="containsText" dxfId="11296" priority="3172" operator="containsText" text="Done">
      <formula>NOT(ISERROR(SEARCH("Done",W2)))</formula>
    </cfRule>
  </conditionalFormatting>
  <conditionalFormatting sqref="S18">
    <cfRule type="containsText" dxfId="11295" priority="3173" operator="containsText" text="Done">
      <formula>NOT(ISERROR(SEARCH("Done",W2)))</formula>
    </cfRule>
  </conditionalFormatting>
  <conditionalFormatting sqref="T18">
    <cfRule type="containsText" dxfId="11294" priority="3174" operator="containsText" text="Done">
      <formula>NOT(ISERROR(SEARCH("Done",W2)))</formula>
    </cfRule>
  </conditionalFormatting>
  <conditionalFormatting sqref="U18">
    <cfRule type="containsText" dxfId="11293" priority="3175" operator="containsText" text="Done">
      <formula>NOT(ISERROR(SEARCH("Done",W2)))</formula>
    </cfRule>
  </conditionalFormatting>
  <conditionalFormatting sqref="V18">
    <cfRule type="containsText" dxfId="11292" priority="3176" operator="containsText" text="Done">
      <formula>NOT(ISERROR(SEARCH("Done",W2)))</formula>
    </cfRule>
  </conditionalFormatting>
  <conditionalFormatting sqref="W18">
    <cfRule type="containsText" dxfId="11291" priority="3177" operator="containsText" text="Done">
      <formula>NOT(ISERROR(SEARCH("Done",W2)))</formula>
    </cfRule>
  </conditionalFormatting>
  <conditionalFormatting sqref="O25">
    <cfRule type="containsText" dxfId="11290" priority="3178" operator="containsText" text="Done">
      <formula>NOT(ISERROR(SEARCH("Done",W2)))</formula>
    </cfRule>
  </conditionalFormatting>
  <conditionalFormatting sqref="N25">
    <cfRule type="containsText" dxfId="11289" priority="3179" operator="containsText" text="Done">
      <formula>NOT(ISERROR(SEARCH("Done",W2)))</formula>
    </cfRule>
  </conditionalFormatting>
  <conditionalFormatting sqref="N23">
    <cfRule type="containsText" dxfId="11288" priority="3180" operator="containsText" text="Done">
      <formula>NOT(ISERROR(SEARCH("Done",W2)))</formula>
    </cfRule>
  </conditionalFormatting>
  <conditionalFormatting sqref="Q25">
    <cfRule type="containsText" dxfId="11287" priority="3181" operator="containsText" text="Done">
      <formula>NOT(ISERROR(SEARCH("Done",W2)))</formula>
    </cfRule>
  </conditionalFormatting>
  <conditionalFormatting sqref="Q25">
    <cfRule type="containsText" dxfId="11286" priority="3182" operator="containsText" text="Done">
      <formula>NOT(ISERROR(SEARCH("Done",W2)))</formula>
    </cfRule>
  </conditionalFormatting>
  <conditionalFormatting sqref="L3">
    <cfRule type="containsText" dxfId="11285" priority="3183" operator="containsText" text="Done">
      <formula>NOT(ISERROR(SEARCH("Done",W2)))</formula>
    </cfRule>
  </conditionalFormatting>
  <conditionalFormatting sqref="O12">
    <cfRule type="containsText" dxfId="11284" priority="3184" operator="containsText" text="Done">
      <formula>NOT(ISERROR(SEARCH("Done",W2)))</formula>
    </cfRule>
  </conditionalFormatting>
  <conditionalFormatting sqref="O12">
    <cfRule type="containsText" dxfId="11283" priority="3185" operator="containsText" text="Done">
      <formula>NOT(ISERROR(SEARCH("Done",W2)))</formula>
    </cfRule>
  </conditionalFormatting>
  <conditionalFormatting sqref="N12">
    <cfRule type="containsText" dxfId="11282" priority="3186" operator="containsText" text="Done">
      <formula>NOT(ISERROR(SEARCH("Done",W2)))</formula>
    </cfRule>
  </conditionalFormatting>
  <conditionalFormatting sqref="O14">
    <cfRule type="containsText" dxfId="11281" priority="3187" operator="containsText" text="Done">
      <formula>NOT(ISERROR(SEARCH("Done",W2)))</formula>
    </cfRule>
  </conditionalFormatting>
  <conditionalFormatting sqref="O14">
    <cfRule type="containsText" dxfId="11280" priority="3188" operator="containsText" text="Done">
      <formula>NOT(ISERROR(SEARCH("Done",W2)))</formula>
    </cfRule>
  </conditionalFormatting>
  <conditionalFormatting sqref="N14">
    <cfRule type="containsText" dxfId="11279" priority="3189" operator="containsText" text="Done">
      <formula>NOT(ISERROR(SEARCH("Done",W2)))</formula>
    </cfRule>
  </conditionalFormatting>
  <conditionalFormatting sqref="O15">
    <cfRule type="containsText" dxfId="11278" priority="3190" operator="containsText" text="Done">
      <formula>NOT(ISERROR(SEARCH("Done",W2)))</formula>
    </cfRule>
  </conditionalFormatting>
  <conditionalFormatting sqref="O15">
    <cfRule type="containsText" dxfId="11277" priority="3191" operator="containsText" text="Done">
      <formula>NOT(ISERROR(SEARCH("Done",W2)))</formula>
    </cfRule>
  </conditionalFormatting>
  <conditionalFormatting sqref="N15">
    <cfRule type="containsText" dxfId="11276" priority="3192" operator="containsText" text="Done">
      <formula>NOT(ISERROR(SEARCH("Done",W2)))</formula>
    </cfRule>
  </conditionalFormatting>
  <conditionalFormatting sqref="O18">
    <cfRule type="containsText" dxfId="11275" priority="3193" operator="containsText" text="Done">
      <formula>NOT(ISERROR(SEARCH("Done",W2)))</formula>
    </cfRule>
  </conditionalFormatting>
  <conditionalFormatting sqref="O18">
    <cfRule type="containsText" dxfId="11274" priority="3194" operator="containsText" text="Done">
      <formula>NOT(ISERROR(SEARCH("Done",W2)))</formula>
    </cfRule>
  </conditionalFormatting>
  <conditionalFormatting sqref="N18">
    <cfRule type="containsText" dxfId="11273" priority="3195" operator="containsText" text="Done">
      <formula>NOT(ISERROR(SEARCH("Done",W2)))</formula>
    </cfRule>
  </conditionalFormatting>
  <conditionalFormatting sqref="S12">
    <cfRule type="containsText" dxfId="11272" priority="3196" operator="containsText" text="Done">
      <formula>NOT(ISERROR(SEARCH("Done",W2)))</formula>
    </cfRule>
  </conditionalFormatting>
  <conditionalFormatting sqref="S12">
    <cfRule type="containsText" dxfId="11271" priority="3197" operator="containsText" text="Done">
      <formula>NOT(ISERROR(SEARCH("Done",W2)))</formula>
    </cfRule>
  </conditionalFormatting>
  <conditionalFormatting sqref="S14">
    <cfRule type="containsText" dxfId="11270" priority="3198" operator="containsText" text="Done">
      <formula>NOT(ISERROR(SEARCH("Done",W2)))</formula>
    </cfRule>
  </conditionalFormatting>
  <conditionalFormatting sqref="S14">
    <cfRule type="containsText" dxfId="11269" priority="3199" operator="containsText" text="Done">
      <formula>NOT(ISERROR(SEARCH("Done",W2)))</formula>
    </cfRule>
  </conditionalFormatting>
  <conditionalFormatting sqref="S15">
    <cfRule type="containsText" dxfId="11268" priority="3200" operator="containsText" text="Done">
      <formula>NOT(ISERROR(SEARCH("Done",W2)))</formula>
    </cfRule>
  </conditionalFormatting>
  <conditionalFormatting sqref="S15">
    <cfRule type="containsText" dxfId="11267" priority="3201" operator="containsText" text="Done">
      <formula>NOT(ISERROR(SEARCH("Done",W2)))</formula>
    </cfRule>
  </conditionalFormatting>
  <conditionalFormatting sqref="K10 L10 K11 L11">
    <cfRule type="containsText" dxfId="11266" priority="3202" operator="containsText" text="Done">
      <formula>NOT(ISERROR(SEARCH("Done",W2)))</formula>
    </cfRule>
  </conditionalFormatting>
  <conditionalFormatting sqref="K13 L13">
    <cfRule type="containsText" dxfId="11265" priority="3203" operator="containsText" text="Done">
      <formula>NOT(ISERROR(SEARCH("Done",W2)))</formula>
    </cfRule>
  </conditionalFormatting>
  <conditionalFormatting sqref="K17 L17">
    <cfRule type="containsText" dxfId="11264" priority="3204" operator="containsText" text="Done">
      <formula>NOT(ISERROR(SEARCH("Done",W2)))</formula>
    </cfRule>
  </conditionalFormatting>
  <conditionalFormatting sqref="K19 L19">
    <cfRule type="containsText" dxfId="11263" priority="3205" operator="containsText" text="Done">
      <formula>NOT(ISERROR(SEARCH("Done",W2)))</formula>
    </cfRule>
  </conditionalFormatting>
  <conditionalFormatting sqref="N26 N27 N28 N29 N30 N31 N32 N33 N34 N35 N36 N37 N38 N39 N40 N41 N42 N43 N44 N45 N46 N47 N48 N49 N50 N51 N52 N53 N54 N55 N56 O26 O27 O28 O29 O30 O31 O32 O33 O34 O35 O36 O37 O38 O39 O40 O41 O42 O43 O44 O45 O46 O47 O48 O49 O50 O51 O52 O53 O54 O55 O56 P26 P27 P28 P29 P30 P31 P32 P33 P34 P35 P36 P37 P38 P39 P40 P41 P42 P43 P44 P45 P46 P47 P48 P49 P50 P51 P52 P53 P54 P55 P56 Q26 Q27 Q28 Q29 Q30 Q31 Q32 Q33 Q34 Q35 Q36 Q37 Q38 Q39 Q40 Q41 Q42 Q43 Q44 Q45 Q46 Q47 Q48 Q49 Q50 Q51 Q52 Q53 Q54 Q55 Q56">
    <cfRule type="containsText" dxfId="11262" priority="3206" operator="containsText" text="Done">
      <formula>NOT(ISERROR(SEARCH("Done",W2)))</formula>
    </cfRule>
  </conditionalFormatting>
  <conditionalFormatting sqref="O40">
    <cfRule type="containsText" dxfId="11261" priority="3207" operator="containsText" text="Done">
      <formula>NOT(ISERROR(SEARCH("Done",W2)))</formula>
    </cfRule>
  </conditionalFormatting>
  <conditionalFormatting sqref="P40">
    <cfRule type="containsText" dxfId="11260" priority="3208" operator="containsText" text="Done">
      <formula>NOT(ISERROR(SEARCH("Done",W2)))</formula>
    </cfRule>
  </conditionalFormatting>
  <conditionalFormatting sqref="Q40">
    <cfRule type="containsText" dxfId="11259" priority="3209" operator="containsText" text="Done">
      <formula>NOT(ISERROR(SEARCH("Done",W2)))</formula>
    </cfRule>
  </conditionalFormatting>
  <conditionalFormatting sqref="O34">
    <cfRule type="containsText" dxfId="11258" priority="3210" operator="containsText" text="Done">
      <formula>NOT(ISERROR(SEARCH("Done",W2)))</formula>
    </cfRule>
  </conditionalFormatting>
  <conditionalFormatting sqref="O23">
    <cfRule type="containsText" dxfId="11257" priority="3211" operator="containsText" text="Done">
      <formula>NOT(ISERROR(SEARCH("Done",W2)))</formula>
    </cfRule>
  </conditionalFormatting>
  <conditionalFormatting sqref="N29">
    <cfRule type="containsText" dxfId="11256" priority="3212" operator="containsText" text="Done">
      <formula>NOT(ISERROR(SEARCH("Done",W2)))</formula>
    </cfRule>
  </conditionalFormatting>
  <conditionalFormatting sqref="O29">
    <cfRule type="containsText" dxfId="11255" priority="3213" operator="containsText" text="Done">
      <formula>NOT(ISERROR(SEARCH("Done",W2)))</formula>
    </cfRule>
  </conditionalFormatting>
  <conditionalFormatting sqref="O29">
    <cfRule type="containsText" dxfId="11254" priority="3214" operator="containsText" text="Done">
      <formula>NOT(ISERROR(SEARCH("Done",W2)))</formula>
    </cfRule>
  </conditionalFormatting>
  <conditionalFormatting sqref="N24">
    <cfRule type="containsText" dxfId="11253" priority="3215" operator="containsText" text="Done">
      <formula>NOT(ISERROR(SEARCH("Done",W2)))</formula>
    </cfRule>
  </conditionalFormatting>
  <conditionalFormatting sqref="O24">
    <cfRule type="containsText" dxfId="11252" priority="3216" operator="containsText" text="Done">
      <formula>NOT(ISERROR(SEARCH("Done",W2)))</formula>
    </cfRule>
  </conditionalFormatting>
  <conditionalFormatting sqref="O28">
    <cfRule type="containsText" dxfId="11251" priority="3217" operator="containsText" text="Done">
      <formula>NOT(ISERROR(SEARCH("Done",W2)))</formula>
    </cfRule>
  </conditionalFormatting>
  <conditionalFormatting sqref="P23">
    <cfRule type="containsText" dxfId="11250" priority="3218" operator="containsText" text="Done">
      <formula>NOT(ISERROR(SEARCH("Done",W2)))</formula>
    </cfRule>
  </conditionalFormatting>
  <conditionalFormatting sqref="P24">
    <cfRule type="containsText" dxfId="11249" priority="3219" operator="containsText" text="Done">
      <formula>NOT(ISERROR(SEARCH("Done",W2)))</formula>
    </cfRule>
  </conditionalFormatting>
  <conditionalFormatting sqref="P25">
    <cfRule type="containsText" dxfId="11248" priority="3220" operator="containsText" text="Done">
      <formula>NOT(ISERROR(SEARCH("Done",W2)))</formula>
    </cfRule>
  </conditionalFormatting>
  <conditionalFormatting sqref="P28">
    <cfRule type="containsText" dxfId="11247" priority="3221" operator="containsText" text="Done">
      <formula>NOT(ISERROR(SEARCH("Done",W2)))</formula>
    </cfRule>
  </conditionalFormatting>
  <conditionalFormatting sqref="P29">
    <cfRule type="containsText" dxfId="11246" priority="3222" operator="containsText" text="Done">
      <formula>NOT(ISERROR(SEARCH("Done",W2)))</formula>
    </cfRule>
  </conditionalFormatting>
  <conditionalFormatting sqref="Q23">
    <cfRule type="containsText" dxfId="11245" priority="3223" operator="containsText" text="Done">
      <formula>NOT(ISERROR(SEARCH("Done",W2)))</formula>
    </cfRule>
  </conditionalFormatting>
  <conditionalFormatting sqref="Q23">
    <cfRule type="containsText" dxfId="11244" priority="3224" operator="containsText" text="Done">
      <formula>NOT(ISERROR(SEARCH("Done",W2)))</formula>
    </cfRule>
  </conditionalFormatting>
  <conditionalFormatting sqref="Q24">
    <cfRule type="containsText" dxfId="11243" priority="3225" operator="containsText" text="Done">
      <formula>NOT(ISERROR(SEARCH("Done",W2)))</formula>
    </cfRule>
  </conditionalFormatting>
  <conditionalFormatting sqref="Q24">
    <cfRule type="containsText" dxfId="11242" priority="3226" operator="containsText" text="Done">
      <formula>NOT(ISERROR(SEARCH("Done",W2)))</formula>
    </cfRule>
  </conditionalFormatting>
  <conditionalFormatting sqref="N43">
    <cfRule type="containsText" dxfId="11241" priority="3227" operator="containsText" text="Done">
      <formula>NOT(ISERROR(SEARCH("Done",W2)))</formula>
    </cfRule>
  </conditionalFormatting>
  <conditionalFormatting sqref="S54">
    <cfRule type="containsText" dxfId="11240" priority="3228" operator="containsText" text="Done">
      <formula>NOT(ISERROR(SEARCH("Done",W2)))</formula>
    </cfRule>
  </conditionalFormatting>
  <conditionalFormatting sqref="S11 O11">
    <cfRule type="containsText" dxfId="11239" priority="3229" operator="containsText" text="Done">
      <formula>NOT(ISERROR(SEARCH("Done",W2)))</formula>
    </cfRule>
  </conditionalFormatting>
  <conditionalFormatting sqref="S13 O13">
    <cfRule type="containsText" dxfId="11238" priority="3230" operator="containsText" text="Done">
      <formula>NOT(ISERROR(SEARCH("Done",W2)))</formula>
    </cfRule>
  </conditionalFormatting>
  <conditionalFormatting sqref="S19 O19">
    <cfRule type="containsText" dxfId="11237" priority="3231" operator="containsText" text="Done">
      <formula>NOT(ISERROR(SEARCH("Done",W2)))</formula>
    </cfRule>
  </conditionalFormatting>
  <conditionalFormatting sqref="T20 P20">
    <cfRule type="containsText" dxfId="11236" priority="3232" operator="containsText" text="Done">
      <formula>NOT(ISERROR(SEARCH("Done",W2)))</formula>
    </cfRule>
  </conditionalFormatting>
  <conditionalFormatting sqref="T21 P21">
    <cfRule type="containsText" dxfId="11235" priority="3233" operator="containsText" text="Done">
      <formula>NOT(ISERROR(SEARCH("Done",W2)))</formula>
    </cfRule>
  </conditionalFormatting>
  <conditionalFormatting sqref="P38">
    <cfRule type="containsText" dxfId="11234" priority="3234" operator="containsText" text="Done">
      <formula>NOT(ISERROR(SEARCH("Done",W2)))</formula>
    </cfRule>
  </conditionalFormatting>
  <conditionalFormatting sqref="Q38">
    <cfRule type="containsText" dxfId="11233" priority="3235" operator="containsText" text="Done">
      <formula>NOT(ISERROR(SEARCH("Done",W2)))</formula>
    </cfRule>
  </conditionalFormatting>
  <conditionalFormatting sqref="N44 O44">
    <cfRule type="containsText" dxfId="11232" priority="3236" operator="containsText" text="Done">
      <formula>NOT(ISERROR(SEARCH("Done",W2)))</formula>
    </cfRule>
  </conditionalFormatting>
  <conditionalFormatting sqref="N44">
    <cfRule type="containsText" dxfId="11231" priority="3237" operator="containsText" text="Done">
      <formula>NOT(ISERROR(SEARCH("Done",W2)))</formula>
    </cfRule>
  </conditionalFormatting>
  <conditionalFormatting sqref="O44">
    <cfRule type="containsText" dxfId="11230" priority="3238" operator="containsText" text="Done">
      <formula>NOT(ISERROR(SEARCH("Done",W2)))</formula>
    </cfRule>
  </conditionalFormatting>
  <conditionalFormatting sqref="O47">
    <cfRule type="containsText" dxfId="11229" priority="3239" operator="containsText" text="Done">
      <formula>NOT(ISERROR(SEARCH("Done",W2)))</formula>
    </cfRule>
  </conditionalFormatting>
  <conditionalFormatting sqref="S41">
    <cfRule type="containsText" dxfId="11228" priority="3240" operator="containsText" text="Done">
      <formula>NOT(ISERROR(SEARCH("Done",W2)))</formula>
    </cfRule>
  </conditionalFormatting>
  <conditionalFormatting sqref="S47">
    <cfRule type="containsText" dxfId="11227" priority="3241" operator="containsText" text="Done">
      <formula>NOT(ISERROR(SEARCH("Done",W2)))</formula>
    </cfRule>
  </conditionalFormatting>
  <conditionalFormatting sqref="S49">
    <cfRule type="containsText" dxfId="11226" priority="3242" operator="containsText" text="Done">
      <formula>NOT(ISERROR(SEARCH("Done",W2)))</formula>
    </cfRule>
  </conditionalFormatting>
  <conditionalFormatting sqref="S49">
    <cfRule type="containsText" dxfId="11225" priority="3243" operator="containsText" text="Done">
      <formula>NOT(ISERROR(SEARCH("Done",W2)))</formula>
    </cfRule>
  </conditionalFormatting>
  <conditionalFormatting sqref="Q30">
    <cfRule type="containsText" dxfId="11224" priority="3244" operator="containsText" text="Done">
      <formula>NOT(ISERROR(SEARCH("Done",W2)))</formula>
    </cfRule>
  </conditionalFormatting>
  <conditionalFormatting sqref="S25">
    <cfRule type="containsText" dxfId="11223" priority="3245" operator="containsText" text="Done">
      <formula>NOT(ISERROR(SEARCH("Done",W2)))</formula>
    </cfRule>
  </conditionalFormatting>
  <conditionalFormatting sqref="S26">
    <cfRule type="containsText" dxfId="11222" priority="3246" operator="containsText" text="Done">
      <formula>NOT(ISERROR(SEARCH("Done",W2)))</formula>
    </cfRule>
  </conditionalFormatting>
  <conditionalFormatting sqref="S28">
    <cfRule type="containsText" dxfId="11221" priority="3247" operator="containsText" text="Done">
      <formula>NOT(ISERROR(SEARCH("Done",W2)))</formula>
    </cfRule>
  </conditionalFormatting>
  <conditionalFormatting sqref="S30">
    <cfRule type="containsText" dxfId="11220" priority="3248" operator="containsText" text="Done">
      <formula>NOT(ISERROR(SEARCH("Done",W2)))</formula>
    </cfRule>
  </conditionalFormatting>
  <conditionalFormatting sqref="S31">
    <cfRule type="containsText" dxfId="11219" priority="3249" operator="containsText" text="Done">
      <formula>NOT(ISERROR(SEARCH("Done",W2)))</formula>
    </cfRule>
  </conditionalFormatting>
  <conditionalFormatting sqref="P48">
    <cfRule type="containsText" dxfId="11218" priority="3250" operator="containsText" text="Done">
      <formula>NOT(ISERROR(SEARCH("Done",W2)))</formula>
    </cfRule>
  </conditionalFormatting>
  <conditionalFormatting sqref="R52">
    <cfRule type="containsText" dxfId="11217" priority="3251" operator="containsText" text="Done">
      <formula>NOT(ISERROR(SEARCH("Done",W2)))</formula>
    </cfRule>
  </conditionalFormatting>
  <conditionalFormatting sqref="H27 I27">
    <cfRule type="containsText" dxfId="11216" priority="3252" operator="containsText" text="Done">
      <formula>NOT(ISERROR(SEARCH("Done",W2)))</formula>
    </cfRule>
  </conditionalFormatting>
  <conditionalFormatting sqref="I27">
    <cfRule type="containsText" dxfId="11215" priority="3253" operator="containsText" text="Done">
      <formula>NOT(ISERROR(SEARCH("Done",W2)))</formula>
    </cfRule>
  </conditionalFormatting>
  <conditionalFormatting sqref="N27 O27">
    <cfRule type="containsText" dxfId="11214" priority="3254" operator="containsText" text="Done">
      <formula>NOT(ISERROR(SEARCH("Done",W2)))</formula>
    </cfRule>
  </conditionalFormatting>
  <conditionalFormatting sqref="N37 O37 P37 Q37">
    <cfRule type="containsText" dxfId="11213" priority="3255" operator="containsText" text="Done">
      <formula>NOT(ISERROR(SEARCH("Done",W2)))</formula>
    </cfRule>
  </conditionalFormatting>
  <conditionalFormatting sqref="P43">
    <cfRule type="containsText" dxfId="11212" priority="3256" operator="containsText" text="Done">
      <formula>NOT(ISERROR(SEARCH("Done",W2)))</formula>
    </cfRule>
  </conditionalFormatting>
  <conditionalFormatting sqref="Q43">
    <cfRule type="containsText" dxfId="11211" priority="3257" operator="containsText" text="Done">
      <formula>NOT(ISERROR(SEARCH("Done",W2)))</formula>
    </cfRule>
  </conditionalFormatting>
  <conditionalFormatting sqref="P44">
    <cfRule type="containsText" dxfId="11210" priority="3258" operator="containsText" text="Done">
      <formula>NOT(ISERROR(SEARCH("Done",W2)))</formula>
    </cfRule>
  </conditionalFormatting>
  <conditionalFormatting sqref="Q44">
    <cfRule type="containsText" dxfId="11209" priority="3259" operator="containsText" text="Done">
      <formula>NOT(ISERROR(SEARCH("Done",W2)))</formula>
    </cfRule>
  </conditionalFormatting>
  <conditionalFormatting sqref="O42">
    <cfRule type="containsText" dxfId="11208" priority="3260" operator="containsText" text="Done">
      <formula>NOT(ISERROR(SEARCH("Done",W2)))</formula>
    </cfRule>
  </conditionalFormatting>
  <conditionalFormatting sqref="P42">
    <cfRule type="containsText" dxfId="11207" priority="3261" operator="containsText" text="Done">
      <formula>NOT(ISERROR(SEARCH("Done",W2)))</formula>
    </cfRule>
  </conditionalFormatting>
  <conditionalFormatting sqref="Q42">
    <cfRule type="containsText" dxfId="11206" priority="3262" operator="containsText" text="Done">
      <formula>NOT(ISERROR(SEARCH("Done",W2)))</formula>
    </cfRule>
  </conditionalFormatting>
  <conditionalFormatting sqref="R42">
    <cfRule type="containsText" dxfId="11205" priority="3263" operator="containsText" text="Done">
      <formula>NOT(ISERROR(SEARCH("Done",W2)))</formula>
    </cfRule>
  </conditionalFormatting>
  <conditionalFormatting sqref="P47">
    <cfRule type="containsText" dxfId="11204" priority="3264" operator="containsText" text="Done">
      <formula>NOT(ISERROR(SEARCH("Done",W2)))</formula>
    </cfRule>
  </conditionalFormatting>
  <conditionalFormatting sqref="Q47">
    <cfRule type="containsText" dxfId="11203" priority="3265" operator="containsText" text="Done">
      <formula>NOT(ISERROR(SEARCH("Done",W2)))</formula>
    </cfRule>
  </conditionalFormatting>
  <conditionalFormatting sqref="S42">
    <cfRule type="containsText" dxfId="11202" priority="3266" operator="containsText" text="Done">
      <formula>NOT(ISERROR(SEARCH("Done",W2)))</formula>
    </cfRule>
  </conditionalFormatting>
  <conditionalFormatting sqref="U42">
    <cfRule type="containsText" dxfId="11201" priority="3267" operator="containsText" text="Done">
      <formula>NOT(ISERROR(SEARCH("Done",W2)))</formula>
    </cfRule>
  </conditionalFormatting>
  <conditionalFormatting sqref="T42">
    <cfRule type="containsText" dxfId="11200" priority="3268" operator="containsText" text="Done">
      <formula>NOT(ISERROR(SEARCH("Done",W2)))</formula>
    </cfRule>
  </conditionalFormatting>
  <conditionalFormatting sqref="V42">
    <cfRule type="containsText" dxfId="11199" priority="3269" operator="containsText" text="Done">
      <formula>NOT(ISERROR(SEARCH("Done",W2)))</formula>
    </cfRule>
  </conditionalFormatting>
  <conditionalFormatting sqref="V47">
    <cfRule type="containsText" dxfId="11198" priority="3270" operator="containsText" text="Done">
      <formula>NOT(ISERROR(SEARCH("Done",W2)))</formula>
    </cfRule>
  </conditionalFormatting>
  <conditionalFormatting sqref="S3:S16 S18:S41 S43:S56 O3:O12 O14:O22 O25">
    <cfRule type="containsText" dxfId="11197" priority="26" operator="containsText" text="Pending">
      <formula>NOT(ISERROR(SEARCH("Pending",W2)))</formula>
    </cfRule>
  </conditionalFormatting>
  <conditionalFormatting sqref="S6 O6">
    <cfRule type="containsText" dxfId="11196" priority="3271" operator="containsText" text="Pending">
      <formula>NOT(ISERROR(SEARCH("Pending",W2)))</formula>
    </cfRule>
  </conditionalFormatting>
  <conditionalFormatting sqref="S7 O7">
    <cfRule type="containsText" dxfId="11195" priority="3272" operator="containsText" text="Pending">
      <formula>NOT(ISERROR(SEARCH("Pending",W2)))</formula>
    </cfRule>
  </conditionalFormatting>
  <conditionalFormatting sqref="S9 O9">
    <cfRule type="containsText" dxfId="11194" priority="3273" operator="containsText" text="Pending">
      <formula>NOT(ISERROR(SEARCH("Pending",W2)))</formula>
    </cfRule>
  </conditionalFormatting>
  <conditionalFormatting sqref="P8">
    <cfRule type="containsText" dxfId="11193" priority="3274" operator="containsText" text="Pending">
      <formula>NOT(ISERROR(SEARCH("Pending",W2)))</formula>
    </cfRule>
  </conditionalFormatting>
  <conditionalFormatting sqref="S4 O4">
    <cfRule type="containsText" dxfId="11192" priority="3275" operator="containsText" text="Pending">
      <formula>NOT(ISERROR(SEARCH("Pending",W2)))</formula>
    </cfRule>
  </conditionalFormatting>
  <conditionalFormatting sqref="P4">
    <cfRule type="containsText" dxfId="11191" priority="3276" operator="containsText" text="Pending">
      <formula>NOT(ISERROR(SEARCH("Pending",W2)))</formula>
    </cfRule>
  </conditionalFormatting>
  <conditionalFormatting sqref="S3 O3">
    <cfRule type="containsText" dxfId="11190" priority="3277" operator="containsText" text="Pending">
      <formula>NOT(ISERROR(SEARCH("Pending",W2)))</formula>
    </cfRule>
  </conditionalFormatting>
  <conditionalFormatting sqref="K3 K4 K5 K6 K7 K8 K9 L3 L4 L5 L6 L7 L8 L9 N3 N4 N5 N6 N7 N8 N9">
    <cfRule type="containsText" dxfId="11189" priority="3278" operator="containsText" text="Pending">
      <formula>NOT(ISERROR(SEARCH("Pending",W2)))</formula>
    </cfRule>
  </conditionalFormatting>
  <conditionalFormatting sqref="R18">
    <cfRule type="containsText" dxfId="11188" priority="3279" operator="containsText" text="Pending">
      <formula>NOT(ISERROR(SEARCH("Pending",W2)))</formula>
    </cfRule>
  </conditionalFormatting>
  <conditionalFormatting sqref="S18">
    <cfRule type="containsText" dxfId="11187" priority="3280" operator="containsText" text="Pending">
      <formula>NOT(ISERROR(SEARCH("Pending",W2)))</formula>
    </cfRule>
  </conditionalFormatting>
  <conditionalFormatting sqref="T18">
    <cfRule type="containsText" dxfId="11186" priority="3281" operator="containsText" text="Pending">
      <formula>NOT(ISERROR(SEARCH("Pending",W2)))</formula>
    </cfRule>
  </conditionalFormatting>
  <conditionalFormatting sqref="U18">
    <cfRule type="containsText" dxfId="11185" priority="3282" operator="containsText" text="Pending">
      <formula>NOT(ISERROR(SEARCH("Pending",W2)))</formula>
    </cfRule>
  </conditionalFormatting>
  <conditionalFormatting sqref="V18">
    <cfRule type="containsText" dxfId="11184" priority="3283" operator="containsText" text="Pending">
      <formula>NOT(ISERROR(SEARCH("Pending",W2)))</formula>
    </cfRule>
  </conditionalFormatting>
  <conditionalFormatting sqref="W18">
    <cfRule type="containsText" dxfId="11183" priority="3284" operator="containsText" text="Pending">
      <formula>NOT(ISERROR(SEARCH("Pending",W2)))</formula>
    </cfRule>
  </conditionalFormatting>
  <conditionalFormatting sqref="O25">
    <cfRule type="containsText" dxfId="11182" priority="3285" operator="containsText" text="Pending">
      <formula>NOT(ISERROR(SEARCH("Pending",W2)))</formula>
    </cfRule>
  </conditionalFormatting>
  <conditionalFormatting sqref="N25">
    <cfRule type="containsText" dxfId="11181" priority="3286" operator="containsText" text="Pending">
      <formula>NOT(ISERROR(SEARCH("Pending",W2)))</formula>
    </cfRule>
  </conditionalFormatting>
  <conditionalFormatting sqref="N23">
    <cfRule type="containsText" dxfId="11180" priority="3287" operator="containsText" text="Pending">
      <formula>NOT(ISERROR(SEARCH("Pending",W2)))</formula>
    </cfRule>
  </conditionalFormatting>
  <conditionalFormatting sqref="Q25">
    <cfRule type="containsText" dxfId="11179" priority="3288" operator="containsText" text="Pending">
      <formula>NOT(ISERROR(SEARCH("Pending",W2)))</formula>
    </cfRule>
  </conditionalFormatting>
  <conditionalFormatting sqref="Q25">
    <cfRule type="containsText" dxfId="11178" priority="3289" operator="containsText" text="Pending">
      <formula>NOT(ISERROR(SEARCH("Pending",W2)))</formula>
    </cfRule>
  </conditionalFormatting>
  <conditionalFormatting sqref="L3">
    <cfRule type="containsText" dxfId="11177" priority="3290" operator="containsText" text="Pending">
      <formula>NOT(ISERROR(SEARCH("Pending",W2)))</formula>
    </cfRule>
  </conditionalFormatting>
  <conditionalFormatting sqref="O12">
    <cfRule type="containsText" dxfId="11176" priority="3291" operator="containsText" text="Pending">
      <formula>NOT(ISERROR(SEARCH("Pending",W2)))</formula>
    </cfRule>
  </conditionalFormatting>
  <conditionalFormatting sqref="O12">
    <cfRule type="containsText" dxfId="11175" priority="3292" operator="containsText" text="Pending">
      <formula>NOT(ISERROR(SEARCH("Pending",W2)))</formula>
    </cfRule>
  </conditionalFormatting>
  <conditionalFormatting sqref="N12">
    <cfRule type="containsText" dxfId="11174" priority="3293" operator="containsText" text="Pending">
      <formula>NOT(ISERROR(SEARCH("Pending",W2)))</formula>
    </cfRule>
  </conditionalFormatting>
  <conditionalFormatting sqref="O14">
    <cfRule type="containsText" dxfId="11173" priority="3294" operator="containsText" text="Pending">
      <formula>NOT(ISERROR(SEARCH("Pending",W2)))</formula>
    </cfRule>
  </conditionalFormatting>
  <conditionalFormatting sqref="O14">
    <cfRule type="containsText" dxfId="11172" priority="3295" operator="containsText" text="Pending">
      <formula>NOT(ISERROR(SEARCH("Pending",W2)))</formula>
    </cfRule>
  </conditionalFormatting>
  <conditionalFormatting sqref="N14">
    <cfRule type="containsText" dxfId="11171" priority="3296" operator="containsText" text="Pending">
      <formula>NOT(ISERROR(SEARCH("Pending",W2)))</formula>
    </cfRule>
  </conditionalFormatting>
  <conditionalFormatting sqref="O15">
    <cfRule type="containsText" dxfId="11170" priority="3297" operator="containsText" text="Pending">
      <formula>NOT(ISERROR(SEARCH("Pending",W2)))</formula>
    </cfRule>
  </conditionalFormatting>
  <conditionalFormatting sqref="O15">
    <cfRule type="containsText" dxfId="11169" priority="3298" operator="containsText" text="Pending">
      <formula>NOT(ISERROR(SEARCH("Pending",W2)))</formula>
    </cfRule>
  </conditionalFormatting>
  <conditionalFormatting sqref="N15">
    <cfRule type="containsText" dxfId="11168" priority="3299" operator="containsText" text="Pending">
      <formula>NOT(ISERROR(SEARCH("Pending",W2)))</formula>
    </cfRule>
  </conditionalFormatting>
  <conditionalFormatting sqref="O18">
    <cfRule type="containsText" dxfId="11167" priority="3300" operator="containsText" text="Pending">
      <formula>NOT(ISERROR(SEARCH("Pending",W2)))</formula>
    </cfRule>
  </conditionalFormatting>
  <conditionalFormatting sqref="O18">
    <cfRule type="containsText" dxfId="11166" priority="3301" operator="containsText" text="Pending">
      <formula>NOT(ISERROR(SEARCH("Pending",W2)))</formula>
    </cfRule>
  </conditionalFormatting>
  <conditionalFormatting sqref="N18">
    <cfRule type="containsText" dxfId="11165" priority="3302" operator="containsText" text="Pending">
      <formula>NOT(ISERROR(SEARCH("Pending",W2)))</formula>
    </cfRule>
  </conditionalFormatting>
  <conditionalFormatting sqref="S12">
    <cfRule type="containsText" dxfId="11164" priority="3303" operator="containsText" text="Pending">
      <formula>NOT(ISERROR(SEARCH("Pending",W2)))</formula>
    </cfRule>
  </conditionalFormatting>
  <conditionalFormatting sqref="S12">
    <cfRule type="containsText" dxfId="11163" priority="3304" operator="containsText" text="Pending">
      <formula>NOT(ISERROR(SEARCH("Pending",W2)))</formula>
    </cfRule>
  </conditionalFormatting>
  <conditionalFormatting sqref="S14">
    <cfRule type="containsText" dxfId="11162" priority="3305" operator="containsText" text="Pending">
      <formula>NOT(ISERROR(SEARCH("Pending",W2)))</formula>
    </cfRule>
  </conditionalFormatting>
  <conditionalFormatting sqref="S14">
    <cfRule type="containsText" dxfId="11161" priority="3306" operator="containsText" text="Pending">
      <formula>NOT(ISERROR(SEARCH("Pending",W2)))</formula>
    </cfRule>
  </conditionalFormatting>
  <conditionalFormatting sqref="S15">
    <cfRule type="containsText" dxfId="11160" priority="3307" operator="containsText" text="Pending">
      <formula>NOT(ISERROR(SEARCH("Pending",W2)))</formula>
    </cfRule>
  </conditionalFormatting>
  <conditionalFormatting sqref="S15">
    <cfRule type="containsText" dxfId="11159" priority="3308" operator="containsText" text="Pending">
      <formula>NOT(ISERROR(SEARCH("Pending",W2)))</formula>
    </cfRule>
  </conditionalFormatting>
  <conditionalFormatting sqref="K10 L10 K11 L11">
    <cfRule type="containsText" dxfId="11158" priority="3309" operator="containsText" text="Pending">
      <formula>NOT(ISERROR(SEARCH("Pending",W2)))</formula>
    </cfRule>
  </conditionalFormatting>
  <conditionalFormatting sqref="K13 L13">
    <cfRule type="containsText" dxfId="11157" priority="3310" operator="containsText" text="Pending">
      <formula>NOT(ISERROR(SEARCH("Pending",W2)))</formula>
    </cfRule>
  </conditionalFormatting>
  <conditionalFormatting sqref="K17 L17">
    <cfRule type="containsText" dxfId="11156" priority="3311" operator="containsText" text="Pending">
      <formula>NOT(ISERROR(SEARCH("Pending",W2)))</formula>
    </cfRule>
  </conditionalFormatting>
  <conditionalFormatting sqref="K19 L19">
    <cfRule type="containsText" dxfId="11155" priority="3312" operator="containsText" text="Pending">
      <formula>NOT(ISERROR(SEARCH("Pending",W2)))</formula>
    </cfRule>
  </conditionalFormatting>
  <conditionalFormatting sqref="N26 N27 N28 N29 N30 N31 N32 N33 N34 N35 N36 N37 N38 N39 N40 N41 N42 N43 N44 N45 N46 N47 N48 N49 N50 N51 N52 N53 N54 N55 N56 O26 O27 O28 O29 O30 O31 O32 O33 O34 O35 O36 O37 O38 O39 O40 O41 O42 O43 O44 O45 O46 O47 O48 O49 O50 O51 O52 O53 O54 O55 O56 P26 P27 P28 P29 P30 P31 P32 P33 P34 P35 P36 P37 P38 P39 P40 P41 P42 P43 P44 P45 P46 P47 P48 P49 P50 P51 P52 P53 P54 P55 P56 Q26 Q27 Q28 Q29 Q30 Q31 Q32 Q33 Q34 Q35 Q36 Q37 Q38 Q39 Q40 Q41 Q42 Q43 Q44 Q45 Q46 Q47 Q48 Q49 Q50 Q51 Q52 Q53 Q54 Q55 Q56">
    <cfRule type="containsText" dxfId="11154" priority="3313" operator="containsText" text="Pending">
      <formula>NOT(ISERROR(SEARCH("Pending",W2)))</formula>
    </cfRule>
  </conditionalFormatting>
  <conditionalFormatting sqref="O40">
    <cfRule type="containsText" dxfId="11153" priority="3314" operator="containsText" text="Pending">
      <formula>NOT(ISERROR(SEARCH("Pending",W2)))</formula>
    </cfRule>
  </conditionalFormatting>
  <conditionalFormatting sqref="P40">
    <cfRule type="containsText" dxfId="11152" priority="3315" operator="containsText" text="Pending">
      <formula>NOT(ISERROR(SEARCH("Pending",W2)))</formula>
    </cfRule>
  </conditionalFormatting>
  <conditionalFormatting sqref="Q40">
    <cfRule type="containsText" dxfId="11151" priority="3316" operator="containsText" text="Pending">
      <formula>NOT(ISERROR(SEARCH("Pending",W2)))</formula>
    </cfRule>
  </conditionalFormatting>
  <conditionalFormatting sqref="O34">
    <cfRule type="containsText" dxfId="11150" priority="3317" operator="containsText" text="Pending">
      <formula>NOT(ISERROR(SEARCH("Pending",W2)))</formula>
    </cfRule>
  </conditionalFormatting>
  <conditionalFormatting sqref="O23">
    <cfRule type="containsText" dxfId="11149" priority="3318" operator="containsText" text="Pending">
      <formula>NOT(ISERROR(SEARCH("Pending",W2)))</formula>
    </cfRule>
  </conditionalFormatting>
  <conditionalFormatting sqref="N29">
    <cfRule type="containsText" dxfId="11148" priority="3319" operator="containsText" text="Pending">
      <formula>NOT(ISERROR(SEARCH("Pending",W2)))</formula>
    </cfRule>
  </conditionalFormatting>
  <conditionalFormatting sqref="O29">
    <cfRule type="containsText" dxfId="11147" priority="3320" operator="containsText" text="Pending">
      <formula>NOT(ISERROR(SEARCH("Pending",W2)))</formula>
    </cfRule>
  </conditionalFormatting>
  <conditionalFormatting sqref="O29">
    <cfRule type="containsText" dxfId="11146" priority="3321" operator="containsText" text="Pending">
      <formula>NOT(ISERROR(SEARCH("Pending",W2)))</formula>
    </cfRule>
  </conditionalFormatting>
  <conditionalFormatting sqref="N24">
    <cfRule type="containsText" dxfId="11145" priority="3322" operator="containsText" text="Pending">
      <formula>NOT(ISERROR(SEARCH("Pending",W2)))</formula>
    </cfRule>
  </conditionalFormatting>
  <conditionalFormatting sqref="O24">
    <cfRule type="containsText" dxfId="11144" priority="3323" operator="containsText" text="Pending">
      <formula>NOT(ISERROR(SEARCH("Pending",W2)))</formula>
    </cfRule>
  </conditionalFormatting>
  <conditionalFormatting sqref="O28">
    <cfRule type="containsText" dxfId="11143" priority="3324" operator="containsText" text="Pending">
      <formula>NOT(ISERROR(SEARCH("Pending",W2)))</formula>
    </cfRule>
  </conditionalFormatting>
  <conditionalFormatting sqref="P23">
    <cfRule type="containsText" dxfId="11142" priority="3325" operator="containsText" text="Pending">
      <formula>NOT(ISERROR(SEARCH("Pending",W2)))</formula>
    </cfRule>
  </conditionalFormatting>
  <conditionalFormatting sqref="P24">
    <cfRule type="containsText" dxfId="11141" priority="3326" operator="containsText" text="Pending">
      <formula>NOT(ISERROR(SEARCH("Pending",W2)))</formula>
    </cfRule>
  </conditionalFormatting>
  <conditionalFormatting sqref="P25">
    <cfRule type="containsText" dxfId="11140" priority="3327" operator="containsText" text="Pending">
      <formula>NOT(ISERROR(SEARCH("Pending",W2)))</formula>
    </cfRule>
  </conditionalFormatting>
  <conditionalFormatting sqref="P28">
    <cfRule type="containsText" dxfId="11139" priority="3328" operator="containsText" text="Pending">
      <formula>NOT(ISERROR(SEARCH("Pending",W2)))</formula>
    </cfRule>
  </conditionalFormatting>
  <conditionalFormatting sqref="P29">
    <cfRule type="containsText" dxfId="11138" priority="3329" operator="containsText" text="Pending">
      <formula>NOT(ISERROR(SEARCH("Pending",W2)))</formula>
    </cfRule>
  </conditionalFormatting>
  <conditionalFormatting sqref="Q23">
    <cfRule type="containsText" dxfId="11137" priority="3330" operator="containsText" text="Pending">
      <formula>NOT(ISERROR(SEARCH("Pending",W2)))</formula>
    </cfRule>
  </conditionalFormatting>
  <conditionalFormatting sqref="Q23">
    <cfRule type="containsText" dxfId="11136" priority="3331" operator="containsText" text="Pending">
      <formula>NOT(ISERROR(SEARCH("Pending",W2)))</formula>
    </cfRule>
  </conditionalFormatting>
  <conditionalFormatting sqref="Q24">
    <cfRule type="containsText" dxfId="11135" priority="3332" operator="containsText" text="Pending">
      <formula>NOT(ISERROR(SEARCH("Pending",W2)))</formula>
    </cfRule>
  </conditionalFormatting>
  <conditionalFormatting sqref="Q24">
    <cfRule type="containsText" dxfId="11134" priority="3333" operator="containsText" text="Pending">
      <formula>NOT(ISERROR(SEARCH("Pending",W2)))</formula>
    </cfRule>
  </conditionalFormatting>
  <conditionalFormatting sqref="N43">
    <cfRule type="containsText" dxfId="11133" priority="3334" operator="containsText" text="Pending">
      <formula>NOT(ISERROR(SEARCH("Pending",W2)))</formula>
    </cfRule>
  </conditionalFormatting>
  <conditionalFormatting sqref="S54">
    <cfRule type="containsText" dxfId="11132" priority="3335" operator="containsText" text="Pending">
      <formula>NOT(ISERROR(SEARCH("Pending",W2)))</formula>
    </cfRule>
  </conditionalFormatting>
  <conditionalFormatting sqref="S11 O11">
    <cfRule type="containsText" dxfId="11131" priority="3336" operator="containsText" text="Pending">
      <formula>NOT(ISERROR(SEARCH("Pending",W2)))</formula>
    </cfRule>
  </conditionalFormatting>
  <conditionalFormatting sqref="S13 O13">
    <cfRule type="containsText" dxfId="11130" priority="3337" operator="containsText" text="Pending">
      <formula>NOT(ISERROR(SEARCH("Pending",W2)))</formula>
    </cfRule>
  </conditionalFormatting>
  <conditionalFormatting sqref="S19 O19">
    <cfRule type="containsText" dxfId="11129" priority="3338" operator="containsText" text="Pending">
      <formula>NOT(ISERROR(SEARCH("Pending",W2)))</formula>
    </cfRule>
  </conditionalFormatting>
  <conditionalFormatting sqref="T20 P20">
    <cfRule type="containsText" dxfId="11128" priority="3339" operator="containsText" text="Pending">
      <formula>NOT(ISERROR(SEARCH("Pending",W2)))</formula>
    </cfRule>
  </conditionalFormatting>
  <conditionalFormatting sqref="T21 P21">
    <cfRule type="containsText" dxfId="11127" priority="3340" operator="containsText" text="Pending">
      <formula>NOT(ISERROR(SEARCH("Pending",W2)))</formula>
    </cfRule>
  </conditionalFormatting>
  <conditionalFormatting sqref="P38">
    <cfRule type="containsText" dxfId="11126" priority="3341" operator="containsText" text="Pending">
      <formula>NOT(ISERROR(SEARCH("Pending",W2)))</formula>
    </cfRule>
  </conditionalFormatting>
  <conditionalFormatting sqref="Q38">
    <cfRule type="containsText" dxfId="11125" priority="3342" operator="containsText" text="Pending">
      <formula>NOT(ISERROR(SEARCH("Pending",W2)))</formula>
    </cfRule>
  </conditionalFormatting>
  <conditionalFormatting sqref="N44 O44">
    <cfRule type="containsText" dxfId="11124" priority="3343" operator="containsText" text="Pending">
      <formula>NOT(ISERROR(SEARCH("Pending",W2)))</formula>
    </cfRule>
  </conditionalFormatting>
  <conditionalFormatting sqref="N44">
    <cfRule type="containsText" dxfId="11123" priority="3344" operator="containsText" text="Pending">
      <formula>NOT(ISERROR(SEARCH("Pending",W2)))</formula>
    </cfRule>
  </conditionalFormatting>
  <conditionalFormatting sqref="O44">
    <cfRule type="containsText" dxfId="11122" priority="3345" operator="containsText" text="Pending">
      <formula>NOT(ISERROR(SEARCH("Pending",W2)))</formula>
    </cfRule>
  </conditionalFormatting>
  <conditionalFormatting sqref="O47">
    <cfRule type="containsText" dxfId="11121" priority="3346" operator="containsText" text="Pending">
      <formula>NOT(ISERROR(SEARCH("Pending",W2)))</formula>
    </cfRule>
  </conditionalFormatting>
  <conditionalFormatting sqref="S41">
    <cfRule type="containsText" dxfId="11120" priority="3347" operator="containsText" text="Pending">
      <formula>NOT(ISERROR(SEARCH("Pending",W2)))</formula>
    </cfRule>
  </conditionalFormatting>
  <conditionalFormatting sqref="S47">
    <cfRule type="containsText" dxfId="11119" priority="3348" operator="containsText" text="Pending">
      <formula>NOT(ISERROR(SEARCH("Pending",W2)))</formula>
    </cfRule>
  </conditionalFormatting>
  <conditionalFormatting sqref="S49">
    <cfRule type="containsText" dxfId="11118" priority="3349" operator="containsText" text="Pending">
      <formula>NOT(ISERROR(SEARCH("Pending",W2)))</formula>
    </cfRule>
  </conditionalFormatting>
  <conditionalFormatting sqref="S49">
    <cfRule type="containsText" dxfId="11117" priority="3350" operator="containsText" text="Pending">
      <formula>NOT(ISERROR(SEARCH("Pending",W2)))</formula>
    </cfRule>
  </conditionalFormatting>
  <conditionalFormatting sqref="Q30">
    <cfRule type="containsText" dxfId="11116" priority="3351" operator="containsText" text="Pending">
      <formula>NOT(ISERROR(SEARCH("Pending",W2)))</formula>
    </cfRule>
  </conditionalFormatting>
  <conditionalFormatting sqref="S25">
    <cfRule type="containsText" dxfId="11115" priority="3352" operator="containsText" text="Pending">
      <formula>NOT(ISERROR(SEARCH("Pending",W2)))</formula>
    </cfRule>
  </conditionalFormatting>
  <conditionalFormatting sqref="S26">
    <cfRule type="containsText" dxfId="11114" priority="3353" operator="containsText" text="Pending">
      <formula>NOT(ISERROR(SEARCH("Pending",W2)))</formula>
    </cfRule>
  </conditionalFormatting>
  <conditionalFormatting sqref="S28">
    <cfRule type="containsText" dxfId="11113" priority="3354" operator="containsText" text="Pending">
      <formula>NOT(ISERROR(SEARCH("Pending",W2)))</formula>
    </cfRule>
  </conditionalFormatting>
  <conditionalFormatting sqref="S30">
    <cfRule type="containsText" dxfId="11112" priority="3355" operator="containsText" text="Pending">
      <formula>NOT(ISERROR(SEARCH("Pending",W2)))</formula>
    </cfRule>
  </conditionalFormatting>
  <conditionalFormatting sqref="S31">
    <cfRule type="containsText" dxfId="11111" priority="3356" operator="containsText" text="Pending">
      <formula>NOT(ISERROR(SEARCH("Pending",W2)))</formula>
    </cfRule>
  </conditionalFormatting>
  <conditionalFormatting sqref="P48">
    <cfRule type="containsText" dxfId="11110" priority="3357" operator="containsText" text="Pending">
      <formula>NOT(ISERROR(SEARCH("Pending",W2)))</formula>
    </cfRule>
  </conditionalFormatting>
  <conditionalFormatting sqref="R52">
    <cfRule type="containsText" dxfId="11109" priority="3358" operator="containsText" text="Pending">
      <formula>NOT(ISERROR(SEARCH("Pending",W2)))</formula>
    </cfRule>
  </conditionalFormatting>
  <conditionalFormatting sqref="H27 I27">
    <cfRule type="containsText" dxfId="11108" priority="3359" operator="containsText" text="Pending">
      <formula>NOT(ISERROR(SEARCH("Pending",W2)))</formula>
    </cfRule>
  </conditionalFormatting>
  <conditionalFormatting sqref="I27">
    <cfRule type="containsText" dxfId="11107" priority="3360" operator="containsText" text="Pending">
      <formula>NOT(ISERROR(SEARCH("Pending",W2)))</formula>
    </cfRule>
  </conditionalFormatting>
  <conditionalFormatting sqref="N27 O27">
    <cfRule type="containsText" dxfId="11106" priority="3361" operator="containsText" text="Pending">
      <formula>NOT(ISERROR(SEARCH("Pending",W2)))</formula>
    </cfRule>
  </conditionalFormatting>
  <conditionalFormatting sqref="N37 O37 P37 Q37">
    <cfRule type="containsText" dxfId="11105" priority="3362" operator="containsText" text="Pending">
      <formula>NOT(ISERROR(SEARCH("Pending",W2)))</formula>
    </cfRule>
  </conditionalFormatting>
  <conditionalFormatting sqref="P43">
    <cfRule type="containsText" dxfId="11104" priority="3363" operator="containsText" text="Pending">
      <formula>NOT(ISERROR(SEARCH("Pending",W2)))</formula>
    </cfRule>
  </conditionalFormatting>
  <conditionalFormatting sqref="Q43">
    <cfRule type="containsText" dxfId="11103" priority="3364" operator="containsText" text="Pending">
      <formula>NOT(ISERROR(SEARCH("Pending",W2)))</formula>
    </cfRule>
  </conditionalFormatting>
  <conditionalFormatting sqref="P44">
    <cfRule type="containsText" dxfId="11102" priority="3365" operator="containsText" text="Pending">
      <formula>NOT(ISERROR(SEARCH("Pending",W2)))</formula>
    </cfRule>
  </conditionalFormatting>
  <conditionalFormatting sqref="Q44">
    <cfRule type="containsText" dxfId="11101" priority="3366" operator="containsText" text="Pending">
      <formula>NOT(ISERROR(SEARCH("Pending",W2)))</formula>
    </cfRule>
  </conditionalFormatting>
  <conditionalFormatting sqref="O42">
    <cfRule type="containsText" dxfId="11100" priority="3367" operator="containsText" text="Pending">
      <formula>NOT(ISERROR(SEARCH("Pending",W2)))</formula>
    </cfRule>
  </conditionalFormatting>
  <conditionalFormatting sqref="P42">
    <cfRule type="containsText" dxfId="11099" priority="3368" operator="containsText" text="Pending">
      <formula>NOT(ISERROR(SEARCH("Pending",W2)))</formula>
    </cfRule>
  </conditionalFormatting>
  <conditionalFormatting sqref="Q42">
    <cfRule type="containsText" dxfId="11098" priority="3369" operator="containsText" text="Pending">
      <formula>NOT(ISERROR(SEARCH("Pending",W2)))</formula>
    </cfRule>
  </conditionalFormatting>
  <conditionalFormatting sqref="R42">
    <cfRule type="containsText" dxfId="11097" priority="3370" operator="containsText" text="Pending">
      <formula>NOT(ISERROR(SEARCH("Pending",W2)))</formula>
    </cfRule>
  </conditionalFormatting>
  <conditionalFormatting sqref="P47">
    <cfRule type="containsText" dxfId="11096" priority="3371" operator="containsText" text="Pending">
      <formula>NOT(ISERROR(SEARCH("Pending",W2)))</formula>
    </cfRule>
  </conditionalFormatting>
  <conditionalFormatting sqref="Q47">
    <cfRule type="containsText" dxfId="11095" priority="3372" operator="containsText" text="Pending">
      <formula>NOT(ISERROR(SEARCH("Pending",W2)))</formula>
    </cfRule>
  </conditionalFormatting>
  <conditionalFormatting sqref="S42">
    <cfRule type="containsText" dxfId="11094" priority="3373" operator="containsText" text="Pending">
      <formula>NOT(ISERROR(SEARCH("Pending",W2)))</formula>
    </cfRule>
  </conditionalFormatting>
  <conditionalFormatting sqref="U42">
    <cfRule type="containsText" dxfId="11093" priority="3374" operator="containsText" text="Pending">
      <formula>NOT(ISERROR(SEARCH("Pending",W2)))</formula>
    </cfRule>
  </conditionalFormatting>
  <conditionalFormatting sqref="T42">
    <cfRule type="containsText" dxfId="11092" priority="3375" operator="containsText" text="Pending">
      <formula>NOT(ISERROR(SEARCH("Pending",W2)))</formula>
    </cfRule>
  </conditionalFormatting>
  <conditionalFormatting sqref="V42">
    <cfRule type="containsText" dxfId="11091" priority="3376" operator="containsText" text="Pending">
      <formula>NOT(ISERROR(SEARCH("Pending",W2)))</formula>
    </cfRule>
  </conditionalFormatting>
  <conditionalFormatting sqref="V47">
    <cfRule type="containsText" dxfId="11090" priority="3377" operator="containsText" text="Pending">
      <formula>NOT(ISERROR(SEARCH("Pending",W2)))</formula>
    </cfRule>
  </conditionalFormatting>
  <conditionalFormatting sqref="S3:S16 S18:S41 S43:S56 O3:O12 O14:O22 O25">
    <cfRule type="containsText" dxfId="11089" priority="25" operator="containsText" text="NA">
      <formula>NOT(ISERROR(SEARCH("NA",W2)))</formula>
    </cfRule>
  </conditionalFormatting>
  <conditionalFormatting sqref="S6 O6">
    <cfRule type="containsText" dxfId="11088" priority="3378" operator="containsText" text="NA">
      <formula>NOT(ISERROR(SEARCH("NA",W2)))</formula>
    </cfRule>
  </conditionalFormatting>
  <conditionalFormatting sqref="S7 O7">
    <cfRule type="containsText" dxfId="11087" priority="3379" operator="containsText" text="NA">
      <formula>NOT(ISERROR(SEARCH("NA",W2)))</formula>
    </cfRule>
  </conditionalFormatting>
  <conditionalFormatting sqref="S9 O9">
    <cfRule type="containsText" dxfId="11086" priority="3380" operator="containsText" text="NA">
      <formula>NOT(ISERROR(SEARCH("NA",W2)))</formula>
    </cfRule>
  </conditionalFormatting>
  <conditionalFormatting sqref="P8">
    <cfRule type="containsText" dxfId="11085" priority="3381" operator="containsText" text="NA">
      <formula>NOT(ISERROR(SEARCH("NA",W2)))</formula>
    </cfRule>
  </conditionalFormatting>
  <conditionalFormatting sqref="S4 O4">
    <cfRule type="containsText" dxfId="11084" priority="3382" operator="containsText" text="NA">
      <formula>NOT(ISERROR(SEARCH("NA",W2)))</formula>
    </cfRule>
  </conditionalFormatting>
  <conditionalFormatting sqref="P4">
    <cfRule type="containsText" dxfId="11083" priority="3383" operator="containsText" text="NA">
      <formula>NOT(ISERROR(SEARCH("NA",W2)))</formula>
    </cfRule>
  </conditionalFormatting>
  <conditionalFormatting sqref="S3 O3">
    <cfRule type="containsText" dxfId="11082" priority="3384" operator="containsText" text="NA">
      <formula>NOT(ISERROR(SEARCH("NA",W2)))</formula>
    </cfRule>
  </conditionalFormatting>
  <conditionalFormatting sqref="K3 K4 K5 K6 K7 K8 K9 L3 L4 L5 L6 L7 L8 L9 N3 N4 N5 N6 N7 N8 N9">
    <cfRule type="containsText" dxfId="11081" priority="3385" operator="containsText" text="NA">
      <formula>NOT(ISERROR(SEARCH("NA",W2)))</formula>
    </cfRule>
  </conditionalFormatting>
  <conditionalFormatting sqref="R18">
    <cfRule type="containsText" dxfId="11080" priority="3386" operator="containsText" text="NA">
      <formula>NOT(ISERROR(SEARCH("NA",W2)))</formula>
    </cfRule>
  </conditionalFormatting>
  <conditionalFormatting sqref="S18">
    <cfRule type="containsText" dxfId="11079" priority="3387" operator="containsText" text="NA">
      <formula>NOT(ISERROR(SEARCH("NA",W2)))</formula>
    </cfRule>
  </conditionalFormatting>
  <conditionalFormatting sqref="T18">
    <cfRule type="containsText" dxfId="11078" priority="3388" operator="containsText" text="NA">
      <formula>NOT(ISERROR(SEARCH("NA",W2)))</formula>
    </cfRule>
  </conditionalFormatting>
  <conditionalFormatting sqref="U18">
    <cfRule type="containsText" dxfId="11077" priority="3389" operator="containsText" text="NA">
      <formula>NOT(ISERROR(SEARCH("NA",W2)))</formula>
    </cfRule>
  </conditionalFormatting>
  <conditionalFormatting sqref="V18">
    <cfRule type="containsText" dxfId="11076" priority="3390" operator="containsText" text="NA">
      <formula>NOT(ISERROR(SEARCH("NA",W2)))</formula>
    </cfRule>
  </conditionalFormatting>
  <conditionalFormatting sqref="W18">
    <cfRule type="containsText" dxfId="11075" priority="3391" operator="containsText" text="NA">
      <formula>NOT(ISERROR(SEARCH("NA",W2)))</formula>
    </cfRule>
  </conditionalFormatting>
  <conditionalFormatting sqref="O25">
    <cfRule type="containsText" dxfId="11074" priority="3392" operator="containsText" text="NA">
      <formula>NOT(ISERROR(SEARCH("NA",W2)))</formula>
    </cfRule>
  </conditionalFormatting>
  <conditionalFormatting sqref="N25">
    <cfRule type="containsText" dxfId="11073" priority="3393" operator="containsText" text="NA">
      <formula>NOT(ISERROR(SEARCH("NA",W2)))</formula>
    </cfRule>
  </conditionalFormatting>
  <conditionalFormatting sqref="N23">
    <cfRule type="containsText" dxfId="11072" priority="3394" operator="containsText" text="NA">
      <formula>NOT(ISERROR(SEARCH("NA",W2)))</formula>
    </cfRule>
  </conditionalFormatting>
  <conditionalFormatting sqref="Q25">
    <cfRule type="containsText" dxfId="11071" priority="3395" operator="containsText" text="NA">
      <formula>NOT(ISERROR(SEARCH("NA",W2)))</formula>
    </cfRule>
  </conditionalFormatting>
  <conditionalFormatting sqref="Q25">
    <cfRule type="containsText" dxfId="11070" priority="3396" operator="containsText" text="NA">
      <formula>NOT(ISERROR(SEARCH("NA",W2)))</formula>
    </cfRule>
  </conditionalFormatting>
  <conditionalFormatting sqref="L3">
    <cfRule type="containsText" dxfId="11069" priority="3397" operator="containsText" text="NA">
      <formula>NOT(ISERROR(SEARCH("NA",W2)))</formula>
    </cfRule>
  </conditionalFormatting>
  <conditionalFormatting sqref="O12">
    <cfRule type="containsText" dxfId="11068" priority="3398" operator="containsText" text="NA">
      <formula>NOT(ISERROR(SEARCH("NA",W2)))</formula>
    </cfRule>
  </conditionalFormatting>
  <conditionalFormatting sqref="O12">
    <cfRule type="containsText" dxfId="11067" priority="3399" operator="containsText" text="NA">
      <formula>NOT(ISERROR(SEARCH("NA",W2)))</formula>
    </cfRule>
  </conditionalFormatting>
  <conditionalFormatting sqref="N12">
    <cfRule type="containsText" dxfId="11066" priority="3400" operator="containsText" text="NA">
      <formula>NOT(ISERROR(SEARCH("NA",W2)))</formula>
    </cfRule>
  </conditionalFormatting>
  <conditionalFormatting sqref="O14">
    <cfRule type="containsText" dxfId="11065" priority="3401" operator="containsText" text="NA">
      <formula>NOT(ISERROR(SEARCH("NA",W2)))</formula>
    </cfRule>
  </conditionalFormatting>
  <conditionalFormatting sqref="O14">
    <cfRule type="containsText" dxfId="11064" priority="3402" operator="containsText" text="NA">
      <formula>NOT(ISERROR(SEARCH("NA",W2)))</formula>
    </cfRule>
  </conditionalFormatting>
  <conditionalFormatting sqref="N14">
    <cfRule type="containsText" dxfId="11063" priority="3403" operator="containsText" text="NA">
      <formula>NOT(ISERROR(SEARCH("NA",W2)))</formula>
    </cfRule>
  </conditionalFormatting>
  <conditionalFormatting sqref="O15">
    <cfRule type="containsText" dxfId="11062" priority="3404" operator="containsText" text="NA">
      <formula>NOT(ISERROR(SEARCH("NA",W2)))</formula>
    </cfRule>
  </conditionalFormatting>
  <conditionalFormatting sqref="O15">
    <cfRule type="containsText" dxfId="11061" priority="3405" operator="containsText" text="NA">
      <formula>NOT(ISERROR(SEARCH("NA",W2)))</formula>
    </cfRule>
  </conditionalFormatting>
  <conditionalFormatting sqref="N15">
    <cfRule type="containsText" dxfId="11060" priority="3406" operator="containsText" text="NA">
      <formula>NOT(ISERROR(SEARCH("NA",W2)))</formula>
    </cfRule>
  </conditionalFormatting>
  <conditionalFormatting sqref="O18">
    <cfRule type="containsText" dxfId="11059" priority="3407" operator="containsText" text="NA">
      <formula>NOT(ISERROR(SEARCH("NA",W2)))</formula>
    </cfRule>
  </conditionalFormatting>
  <conditionalFormatting sqref="O18">
    <cfRule type="containsText" dxfId="11058" priority="3408" operator="containsText" text="NA">
      <formula>NOT(ISERROR(SEARCH("NA",W2)))</formula>
    </cfRule>
  </conditionalFormatting>
  <conditionalFormatting sqref="N18">
    <cfRule type="containsText" dxfId="11057" priority="3409" operator="containsText" text="NA">
      <formula>NOT(ISERROR(SEARCH("NA",W2)))</formula>
    </cfRule>
  </conditionalFormatting>
  <conditionalFormatting sqref="S12">
    <cfRule type="containsText" dxfId="11056" priority="3410" operator="containsText" text="NA">
      <formula>NOT(ISERROR(SEARCH("NA",W2)))</formula>
    </cfRule>
  </conditionalFormatting>
  <conditionalFormatting sqref="S12">
    <cfRule type="containsText" dxfId="11055" priority="3411" operator="containsText" text="NA">
      <formula>NOT(ISERROR(SEARCH("NA",W2)))</formula>
    </cfRule>
  </conditionalFormatting>
  <conditionalFormatting sqref="S14">
    <cfRule type="containsText" dxfId="11054" priority="3412" operator="containsText" text="NA">
      <formula>NOT(ISERROR(SEARCH("NA",W2)))</formula>
    </cfRule>
  </conditionalFormatting>
  <conditionalFormatting sqref="S14">
    <cfRule type="containsText" dxfId="11053" priority="3413" operator="containsText" text="NA">
      <formula>NOT(ISERROR(SEARCH("NA",W2)))</formula>
    </cfRule>
  </conditionalFormatting>
  <conditionalFormatting sqref="S15">
    <cfRule type="containsText" dxfId="11052" priority="3414" operator="containsText" text="NA">
      <formula>NOT(ISERROR(SEARCH("NA",W2)))</formula>
    </cfRule>
  </conditionalFormatting>
  <conditionalFormatting sqref="S15">
    <cfRule type="containsText" dxfId="11051" priority="3415" operator="containsText" text="NA">
      <formula>NOT(ISERROR(SEARCH("NA",W2)))</formula>
    </cfRule>
  </conditionalFormatting>
  <conditionalFormatting sqref="K10 L10 K11 L11">
    <cfRule type="containsText" dxfId="11050" priority="3416" operator="containsText" text="NA">
      <formula>NOT(ISERROR(SEARCH("NA",W2)))</formula>
    </cfRule>
  </conditionalFormatting>
  <conditionalFormatting sqref="K13 L13">
    <cfRule type="containsText" dxfId="11049" priority="3417" operator="containsText" text="NA">
      <formula>NOT(ISERROR(SEARCH("NA",W2)))</formula>
    </cfRule>
  </conditionalFormatting>
  <conditionalFormatting sqref="K17 L17">
    <cfRule type="containsText" dxfId="11048" priority="3418" operator="containsText" text="NA">
      <formula>NOT(ISERROR(SEARCH("NA",W2)))</formula>
    </cfRule>
  </conditionalFormatting>
  <conditionalFormatting sqref="K19 L19">
    <cfRule type="containsText" dxfId="11047" priority="3419" operator="containsText" text="NA">
      <formula>NOT(ISERROR(SEARCH("NA",W2)))</formula>
    </cfRule>
  </conditionalFormatting>
  <conditionalFormatting sqref="N26 N27 N28 N29 N30 N31 N32 N33 N34 N35 N36 N37 N38 N39 N40 N41 N42 N43 N44 N45 N46 N47 N48 N49 N50 N51 N52 N53 N54 N55 N56 O26 O27 O28 O29 O30 O31 O32 O33 O34 O35 O36 O37 O38 O39 O40 O41 O42 O43 O44 O45 O46 O47 O48 O49 O50 O51 O52 O53 O54 O55 O56 P26 P27 P28 P29 P30 P31 P32 P33 P34 P35 P36 P37 P38 P39 P40 P41 P42 P43 P44 P45 P46 P47 P48 P49 P50 P51 P52 P53 P54 P55 P56 Q26 Q27 Q28 Q29 Q30 Q31 Q32 Q33 Q34 Q35 Q36 Q37 Q38 Q39 Q40 Q41 Q42 Q43 Q44 Q45 Q46 Q47 Q48 Q49 Q50 Q51 Q52 Q53 Q54 Q55 Q56">
    <cfRule type="containsText" dxfId="11046" priority="3420" operator="containsText" text="NA">
      <formula>NOT(ISERROR(SEARCH("NA",W2)))</formula>
    </cfRule>
  </conditionalFormatting>
  <conditionalFormatting sqref="O40">
    <cfRule type="containsText" dxfId="11045" priority="3421" operator="containsText" text="NA">
      <formula>NOT(ISERROR(SEARCH("NA",W2)))</formula>
    </cfRule>
  </conditionalFormatting>
  <conditionalFormatting sqref="P40">
    <cfRule type="containsText" dxfId="11044" priority="3422" operator="containsText" text="NA">
      <formula>NOT(ISERROR(SEARCH("NA",W2)))</formula>
    </cfRule>
  </conditionalFormatting>
  <conditionalFormatting sqref="Q40">
    <cfRule type="containsText" dxfId="11043" priority="3423" operator="containsText" text="NA">
      <formula>NOT(ISERROR(SEARCH("NA",W2)))</formula>
    </cfRule>
  </conditionalFormatting>
  <conditionalFormatting sqref="O34">
    <cfRule type="containsText" dxfId="11042" priority="3424" operator="containsText" text="NA">
      <formula>NOT(ISERROR(SEARCH("NA",W2)))</formula>
    </cfRule>
  </conditionalFormatting>
  <conditionalFormatting sqref="O23">
    <cfRule type="containsText" dxfId="11041" priority="3425" operator="containsText" text="NA">
      <formula>NOT(ISERROR(SEARCH("NA",W2)))</formula>
    </cfRule>
  </conditionalFormatting>
  <conditionalFormatting sqref="N29">
    <cfRule type="containsText" dxfId="11040" priority="3426" operator="containsText" text="NA">
      <formula>NOT(ISERROR(SEARCH("NA",W2)))</formula>
    </cfRule>
  </conditionalFormatting>
  <conditionalFormatting sqref="O29">
    <cfRule type="containsText" dxfId="11039" priority="3427" operator="containsText" text="NA">
      <formula>NOT(ISERROR(SEARCH("NA",W2)))</formula>
    </cfRule>
  </conditionalFormatting>
  <conditionalFormatting sqref="O29">
    <cfRule type="containsText" dxfId="11038" priority="3428" operator="containsText" text="NA">
      <formula>NOT(ISERROR(SEARCH("NA",W2)))</formula>
    </cfRule>
  </conditionalFormatting>
  <conditionalFormatting sqref="N24">
    <cfRule type="containsText" dxfId="11037" priority="3429" operator="containsText" text="NA">
      <formula>NOT(ISERROR(SEARCH("NA",W2)))</formula>
    </cfRule>
  </conditionalFormatting>
  <conditionalFormatting sqref="O24">
    <cfRule type="containsText" dxfId="11036" priority="3430" operator="containsText" text="NA">
      <formula>NOT(ISERROR(SEARCH("NA",W2)))</formula>
    </cfRule>
  </conditionalFormatting>
  <conditionalFormatting sqref="O28">
    <cfRule type="containsText" dxfId="11035" priority="3431" operator="containsText" text="NA">
      <formula>NOT(ISERROR(SEARCH("NA",W2)))</formula>
    </cfRule>
  </conditionalFormatting>
  <conditionalFormatting sqref="P23">
    <cfRule type="containsText" dxfId="11034" priority="3432" operator="containsText" text="NA">
      <formula>NOT(ISERROR(SEARCH("NA",W2)))</formula>
    </cfRule>
  </conditionalFormatting>
  <conditionalFormatting sqref="P24">
    <cfRule type="containsText" dxfId="11033" priority="3433" operator="containsText" text="NA">
      <formula>NOT(ISERROR(SEARCH("NA",W2)))</formula>
    </cfRule>
  </conditionalFormatting>
  <conditionalFormatting sqref="P25">
    <cfRule type="containsText" dxfId="11032" priority="3434" operator="containsText" text="NA">
      <formula>NOT(ISERROR(SEARCH("NA",W2)))</formula>
    </cfRule>
  </conditionalFormatting>
  <conditionalFormatting sqref="P28">
    <cfRule type="containsText" dxfId="11031" priority="3435" operator="containsText" text="NA">
      <formula>NOT(ISERROR(SEARCH("NA",W2)))</formula>
    </cfRule>
  </conditionalFormatting>
  <conditionalFormatting sqref="P29">
    <cfRule type="containsText" dxfId="11030" priority="3436" operator="containsText" text="NA">
      <formula>NOT(ISERROR(SEARCH("NA",W2)))</formula>
    </cfRule>
  </conditionalFormatting>
  <conditionalFormatting sqref="Q23">
    <cfRule type="containsText" dxfId="11029" priority="3437" operator="containsText" text="NA">
      <formula>NOT(ISERROR(SEARCH("NA",W2)))</formula>
    </cfRule>
  </conditionalFormatting>
  <conditionalFormatting sqref="Q23">
    <cfRule type="containsText" dxfId="11028" priority="3438" operator="containsText" text="NA">
      <formula>NOT(ISERROR(SEARCH("NA",W2)))</formula>
    </cfRule>
  </conditionalFormatting>
  <conditionalFormatting sqref="Q24">
    <cfRule type="containsText" dxfId="11027" priority="3439" operator="containsText" text="NA">
      <formula>NOT(ISERROR(SEARCH("NA",W2)))</formula>
    </cfRule>
  </conditionalFormatting>
  <conditionalFormatting sqref="Q24">
    <cfRule type="containsText" dxfId="11026" priority="3440" operator="containsText" text="NA">
      <formula>NOT(ISERROR(SEARCH("NA",W2)))</formula>
    </cfRule>
  </conditionalFormatting>
  <conditionalFormatting sqref="N43">
    <cfRule type="containsText" dxfId="11025" priority="3441" operator="containsText" text="NA">
      <formula>NOT(ISERROR(SEARCH("NA",W2)))</formula>
    </cfRule>
  </conditionalFormatting>
  <conditionalFormatting sqref="S54">
    <cfRule type="containsText" dxfId="11024" priority="3442" operator="containsText" text="NA">
      <formula>NOT(ISERROR(SEARCH("NA",W2)))</formula>
    </cfRule>
  </conditionalFormatting>
  <conditionalFormatting sqref="S11 O11">
    <cfRule type="containsText" dxfId="11023" priority="3443" operator="containsText" text="NA">
      <formula>NOT(ISERROR(SEARCH("NA",W2)))</formula>
    </cfRule>
  </conditionalFormatting>
  <conditionalFormatting sqref="S13 O13">
    <cfRule type="containsText" dxfId="11022" priority="3444" operator="containsText" text="NA">
      <formula>NOT(ISERROR(SEARCH("NA",W2)))</formula>
    </cfRule>
  </conditionalFormatting>
  <conditionalFormatting sqref="S19 O19">
    <cfRule type="containsText" dxfId="11021" priority="3445" operator="containsText" text="NA">
      <formula>NOT(ISERROR(SEARCH("NA",W2)))</formula>
    </cfRule>
  </conditionalFormatting>
  <conditionalFormatting sqref="T20 P20">
    <cfRule type="containsText" dxfId="11020" priority="3446" operator="containsText" text="NA">
      <formula>NOT(ISERROR(SEARCH("NA",W2)))</formula>
    </cfRule>
  </conditionalFormatting>
  <conditionalFormatting sqref="T21 P21">
    <cfRule type="containsText" dxfId="11019" priority="3447" operator="containsText" text="NA">
      <formula>NOT(ISERROR(SEARCH("NA",W2)))</formula>
    </cfRule>
  </conditionalFormatting>
  <conditionalFormatting sqref="P38">
    <cfRule type="containsText" dxfId="11018" priority="3448" operator="containsText" text="NA">
      <formula>NOT(ISERROR(SEARCH("NA",W2)))</formula>
    </cfRule>
  </conditionalFormatting>
  <conditionalFormatting sqref="Q38">
    <cfRule type="containsText" dxfId="11017" priority="3449" operator="containsText" text="NA">
      <formula>NOT(ISERROR(SEARCH("NA",W2)))</formula>
    </cfRule>
  </conditionalFormatting>
  <conditionalFormatting sqref="N44 O44">
    <cfRule type="containsText" dxfId="11016" priority="3450" operator="containsText" text="NA">
      <formula>NOT(ISERROR(SEARCH("NA",W2)))</formula>
    </cfRule>
  </conditionalFormatting>
  <conditionalFormatting sqref="N44">
    <cfRule type="containsText" dxfId="11015" priority="3451" operator="containsText" text="NA">
      <formula>NOT(ISERROR(SEARCH("NA",W2)))</formula>
    </cfRule>
  </conditionalFormatting>
  <conditionalFormatting sqref="O44">
    <cfRule type="containsText" dxfId="11014" priority="3452" operator="containsText" text="NA">
      <formula>NOT(ISERROR(SEARCH("NA",W2)))</formula>
    </cfRule>
  </conditionalFormatting>
  <conditionalFormatting sqref="O47">
    <cfRule type="containsText" dxfId="11013" priority="3453" operator="containsText" text="NA">
      <formula>NOT(ISERROR(SEARCH("NA",W2)))</formula>
    </cfRule>
  </conditionalFormatting>
  <conditionalFormatting sqref="S41">
    <cfRule type="containsText" dxfId="11012" priority="3454" operator="containsText" text="NA">
      <formula>NOT(ISERROR(SEARCH("NA",W2)))</formula>
    </cfRule>
  </conditionalFormatting>
  <conditionalFormatting sqref="S47">
    <cfRule type="containsText" dxfId="11011" priority="3455" operator="containsText" text="NA">
      <formula>NOT(ISERROR(SEARCH("NA",W2)))</formula>
    </cfRule>
  </conditionalFormatting>
  <conditionalFormatting sqref="S49">
    <cfRule type="containsText" dxfId="11010" priority="3456" operator="containsText" text="NA">
      <formula>NOT(ISERROR(SEARCH("NA",W2)))</formula>
    </cfRule>
  </conditionalFormatting>
  <conditionalFormatting sqref="S49">
    <cfRule type="containsText" dxfId="11009" priority="3457" operator="containsText" text="NA">
      <formula>NOT(ISERROR(SEARCH("NA",W2)))</formula>
    </cfRule>
  </conditionalFormatting>
  <conditionalFormatting sqref="Q30">
    <cfRule type="containsText" dxfId="11008" priority="3458" operator="containsText" text="NA">
      <formula>NOT(ISERROR(SEARCH("NA",W2)))</formula>
    </cfRule>
  </conditionalFormatting>
  <conditionalFormatting sqref="S25">
    <cfRule type="containsText" dxfId="11007" priority="3459" operator="containsText" text="NA">
      <formula>NOT(ISERROR(SEARCH("NA",W2)))</formula>
    </cfRule>
  </conditionalFormatting>
  <conditionalFormatting sqref="S26">
    <cfRule type="containsText" dxfId="11006" priority="3460" operator="containsText" text="NA">
      <formula>NOT(ISERROR(SEARCH("NA",W2)))</formula>
    </cfRule>
  </conditionalFormatting>
  <conditionalFormatting sqref="S28">
    <cfRule type="containsText" dxfId="11005" priority="3461" operator="containsText" text="NA">
      <formula>NOT(ISERROR(SEARCH("NA",W2)))</formula>
    </cfRule>
  </conditionalFormatting>
  <conditionalFormatting sqref="S30">
    <cfRule type="containsText" dxfId="11004" priority="3462" operator="containsText" text="NA">
      <formula>NOT(ISERROR(SEARCH("NA",W2)))</formula>
    </cfRule>
  </conditionalFormatting>
  <conditionalFormatting sqref="S31">
    <cfRule type="containsText" dxfId="11003" priority="3463" operator="containsText" text="NA">
      <formula>NOT(ISERROR(SEARCH("NA",W2)))</formula>
    </cfRule>
  </conditionalFormatting>
  <conditionalFormatting sqref="P48">
    <cfRule type="containsText" dxfId="11002" priority="3464" operator="containsText" text="NA">
      <formula>NOT(ISERROR(SEARCH("NA",W2)))</formula>
    </cfRule>
  </conditionalFormatting>
  <conditionalFormatting sqref="R52">
    <cfRule type="containsText" dxfId="11001" priority="3465" operator="containsText" text="NA">
      <formula>NOT(ISERROR(SEARCH("NA",W2)))</formula>
    </cfRule>
  </conditionalFormatting>
  <conditionalFormatting sqref="H27 I27">
    <cfRule type="containsText" dxfId="11000" priority="3466" operator="containsText" text="NA">
      <formula>NOT(ISERROR(SEARCH("NA",W2)))</formula>
    </cfRule>
  </conditionalFormatting>
  <conditionalFormatting sqref="I27">
    <cfRule type="containsText" dxfId="10999" priority="3467" operator="containsText" text="NA">
      <formula>NOT(ISERROR(SEARCH("NA",W2)))</formula>
    </cfRule>
  </conditionalFormatting>
  <conditionalFormatting sqref="N27 O27">
    <cfRule type="containsText" dxfId="10998" priority="3468" operator="containsText" text="NA">
      <formula>NOT(ISERROR(SEARCH("NA",W2)))</formula>
    </cfRule>
  </conditionalFormatting>
  <conditionalFormatting sqref="N37 O37 P37 Q37">
    <cfRule type="containsText" dxfId="10997" priority="3469" operator="containsText" text="NA">
      <formula>NOT(ISERROR(SEARCH("NA",W2)))</formula>
    </cfRule>
  </conditionalFormatting>
  <conditionalFormatting sqref="P43">
    <cfRule type="containsText" dxfId="10996" priority="3470" operator="containsText" text="NA">
      <formula>NOT(ISERROR(SEARCH("NA",W2)))</formula>
    </cfRule>
  </conditionalFormatting>
  <conditionalFormatting sqref="Q43">
    <cfRule type="containsText" dxfId="10995" priority="3471" operator="containsText" text="NA">
      <formula>NOT(ISERROR(SEARCH("NA",W2)))</formula>
    </cfRule>
  </conditionalFormatting>
  <conditionalFormatting sqref="P44">
    <cfRule type="containsText" dxfId="10994" priority="3472" operator="containsText" text="NA">
      <formula>NOT(ISERROR(SEARCH("NA",W2)))</formula>
    </cfRule>
  </conditionalFormatting>
  <conditionalFormatting sqref="Q44">
    <cfRule type="containsText" dxfId="10993" priority="3473" operator="containsText" text="NA">
      <formula>NOT(ISERROR(SEARCH("NA",W2)))</formula>
    </cfRule>
  </conditionalFormatting>
  <conditionalFormatting sqref="O42">
    <cfRule type="containsText" dxfId="10992" priority="3474" operator="containsText" text="NA">
      <formula>NOT(ISERROR(SEARCH("NA",W2)))</formula>
    </cfRule>
  </conditionalFormatting>
  <conditionalFormatting sqref="P42">
    <cfRule type="containsText" dxfId="10991" priority="3475" operator="containsText" text="NA">
      <formula>NOT(ISERROR(SEARCH("NA",W2)))</formula>
    </cfRule>
  </conditionalFormatting>
  <conditionalFormatting sqref="Q42">
    <cfRule type="containsText" dxfId="10990" priority="3476" operator="containsText" text="NA">
      <formula>NOT(ISERROR(SEARCH("NA",W2)))</formula>
    </cfRule>
  </conditionalFormatting>
  <conditionalFormatting sqref="R42">
    <cfRule type="containsText" dxfId="10989" priority="3477" operator="containsText" text="NA">
      <formula>NOT(ISERROR(SEARCH("NA",W2)))</formula>
    </cfRule>
  </conditionalFormatting>
  <conditionalFormatting sqref="P47">
    <cfRule type="containsText" dxfId="10988" priority="3478" operator="containsText" text="NA">
      <formula>NOT(ISERROR(SEARCH("NA",W2)))</formula>
    </cfRule>
  </conditionalFormatting>
  <conditionalFormatting sqref="Q47">
    <cfRule type="containsText" dxfId="10987" priority="3479" operator="containsText" text="NA">
      <formula>NOT(ISERROR(SEARCH("NA",W2)))</formula>
    </cfRule>
  </conditionalFormatting>
  <conditionalFormatting sqref="S42">
    <cfRule type="containsText" dxfId="10986" priority="3480" operator="containsText" text="NA">
      <formula>NOT(ISERROR(SEARCH("NA",W2)))</formula>
    </cfRule>
  </conditionalFormatting>
  <conditionalFormatting sqref="U42">
    <cfRule type="containsText" dxfId="10985" priority="3481" operator="containsText" text="NA">
      <formula>NOT(ISERROR(SEARCH("NA",W2)))</formula>
    </cfRule>
  </conditionalFormatting>
  <conditionalFormatting sqref="T42">
    <cfRule type="containsText" dxfId="10984" priority="3482" operator="containsText" text="NA">
      <formula>NOT(ISERROR(SEARCH("NA",W2)))</formula>
    </cfRule>
  </conditionalFormatting>
  <conditionalFormatting sqref="V42">
    <cfRule type="containsText" dxfId="10983" priority="3483" operator="containsText" text="NA">
      <formula>NOT(ISERROR(SEARCH("NA",W2)))</formula>
    </cfRule>
  </conditionalFormatting>
  <conditionalFormatting sqref="V47">
    <cfRule type="containsText" dxfId="10982" priority="3484" operator="containsText" text="NA">
      <formula>NOT(ISERROR(SEARCH("NA",W2)))</formula>
    </cfRule>
  </conditionalFormatting>
  <conditionalFormatting sqref="AB3">
    <cfRule type="containsText" dxfId="10981" priority="18" operator="containsText" text="Done">
      <formula>NOT(ISERROR(SEARCH("Done",Z2)))</formula>
    </cfRule>
  </conditionalFormatting>
  <conditionalFormatting sqref="AE3 AF3 AI3 BA3">
    <cfRule type="containsText" dxfId="10980" priority="3485" operator="containsText" text="Done">
      <formula>NOT(ISERROR(SEARCH("Done",Z2)))</formula>
    </cfRule>
  </conditionalFormatting>
  <conditionalFormatting sqref="AC3">
    <cfRule type="containsText" dxfId="10979" priority="3486" operator="containsText" text="Done">
      <formula>NOT(ISERROR(SEARCH("Done",Z2)))</formula>
    </cfRule>
  </conditionalFormatting>
  <conditionalFormatting sqref="AB3">
    <cfRule type="containsText" dxfId="10978" priority="17" operator="containsText" text="Pending">
      <formula>NOT(ISERROR(SEARCH("Pending",Z2)))</formula>
    </cfRule>
  </conditionalFormatting>
  <conditionalFormatting sqref="AE3 AF3 AI3 BA3">
    <cfRule type="containsText" dxfId="10977" priority="3487" operator="containsText" text="Pending">
      <formula>NOT(ISERROR(SEARCH("Pending",Z2)))</formula>
    </cfRule>
  </conditionalFormatting>
  <conditionalFormatting sqref="AC3">
    <cfRule type="containsText" dxfId="10976" priority="3488" operator="containsText" text="Pending">
      <formula>NOT(ISERROR(SEARCH("Pending",Z2)))</formula>
    </cfRule>
  </conditionalFormatting>
  <conditionalFormatting sqref="AB3">
    <cfRule type="containsText" dxfId="10975" priority="16" operator="containsText" text="NA">
      <formula>NOT(ISERROR(SEARCH("NA",Z2)))</formula>
    </cfRule>
  </conditionalFormatting>
  <conditionalFormatting sqref="AE3 AF3 AI3 BA3">
    <cfRule type="containsText" dxfId="10974" priority="3489" operator="containsText" text="NA">
      <formula>NOT(ISERROR(SEARCH("NA",Z2)))</formula>
    </cfRule>
  </conditionalFormatting>
  <conditionalFormatting sqref="AC3">
    <cfRule type="containsText" dxfId="10973" priority="3490" operator="containsText" text="NA">
      <formula>NOT(ISERROR(SEARCH("NA",Z2)))</formula>
    </cfRule>
  </conditionalFormatting>
  <conditionalFormatting sqref="T4:T16 T19:T24 T26 T28:T39 T41 T43:T56">
    <cfRule type="containsText" dxfId="10972" priority="12" operator="containsText" text="Done">
      <formula>NOT(ISERROR(SEARCH("Done",#REF!)))</formula>
    </cfRule>
  </conditionalFormatting>
  <conditionalFormatting sqref="T6">
    <cfRule type="containsText" dxfId="10971" priority="3491" operator="containsText" text="Done">
      <formula>NOT(ISERROR(SEARCH("Done",#REF!)))</formula>
    </cfRule>
  </conditionalFormatting>
  <conditionalFormatting sqref="T7">
    <cfRule type="containsText" dxfId="10970" priority="3492" operator="containsText" text="Done">
      <formula>NOT(ISERROR(SEARCH("Done",#REF!)))</formula>
    </cfRule>
  </conditionalFormatting>
  <conditionalFormatting sqref="T9">
    <cfRule type="containsText" dxfId="10969" priority="3493" operator="containsText" text="Done">
      <formula>NOT(ISERROR(SEARCH("Done",#REF!)))</formula>
    </cfRule>
  </conditionalFormatting>
  <conditionalFormatting sqref="T4">
    <cfRule type="containsText" dxfId="10968" priority="3494" operator="containsText" text="Done">
      <formula>NOT(ISERROR(SEARCH("Done",#REF!)))</formula>
    </cfRule>
  </conditionalFormatting>
  <conditionalFormatting sqref="T3">
    <cfRule type="containsText" dxfId="10967" priority="3495" operator="containsText" text="Done">
      <formula>NOT(ISERROR(SEARCH("Done",#REF!)))</formula>
    </cfRule>
  </conditionalFormatting>
  <conditionalFormatting sqref="T11">
    <cfRule type="containsText" dxfId="10966" priority="3496" operator="containsText" text="Done">
      <formula>NOT(ISERROR(SEARCH("Done",#REF!)))</formula>
    </cfRule>
  </conditionalFormatting>
  <conditionalFormatting sqref="T13">
    <cfRule type="containsText" dxfId="10965" priority="3497" operator="containsText" text="Done">
      <formula>NOT(ISERROR(SEARCH("Done",#REF!)))</formula>
    </cfRule>
  </conditionalFormatting>
  <conditionalFormatting sqref="T19">
    <cfRule type="containsText" dxfId="10964" priority="3498" operator="containsText" text="Done">
      <formula>NOT(ISERROR(SEARCH("Done",#REF!)))</formula>
    </cfRule>
  </conditionalFormatting>
  <conditionalFormatting sqref="U20">
    <cfRule type="containsText" dxfId="10963" priority="3499" operator="containsText" text="Done">
      <formula>NOT(ISERROR(SEARCH("Done",#REF!)))</formula>
    </cfRule>
  </conditionalFormatting>
  <conditionalFormatting sqref="U21">
    <cfRule type="containsText" dxfId="10962" priority="3500" operator="containsText" text="Done">
      <formula>NOT(ISERROR(SEARCH("Done",#REF!)))</formula>
    </cfRule>
  </conditionalFormatting>
  <conditionalFormatting sqref="U41 U43:U52">
    <cfRule type="containsText" dxfId="10961" priority="3501" operator="containsText" text="Done">
      <formula>NOT(ISERROR(SEARCH("Done",#REF!)))</formula>
    </cfRule>
  </conditionalFormatting>
  <conditionalFormatting sqref="V41 V43:V46 V48:V52">
    <cfRule type="containsText" dxfId="10960" priority="3502" operator="containsText" text="Done">
      <formula>NOT(ISERROR(SEARCH("Done",#REF!)))</formula>
    </cfRule>
  </conditionalFormatting>
  <conditionalFormatting sqref="T47">
    <cfRule type="containsText" dxfId="10959" priority="3503" operator="containsText" text="Done">
      <formula>NOT(ISERROR(SEARCH("Done",#REF!)))</formula>
    </cfRule>
  </conditionalFormatting>
  <conditionalFormatting sqref="U47">
    <cfRule type="containsText" dxfId="10958" priority="3504" operator="containsText" text="Done">
      <formula>NOT(ISERROR(SEARCH("Done",#REF!)))</formula>
    </cfRule>
  </conditionalFormatting>
  <conditionalFormatting sqref="T4:T16 T19:T24 T26 T28:T39 T41 T43:T56">
    <cfRule type="containsText" dxfId="10957" priority="10" operator="containsText" text="Pending">
      <formula>NOT(ISERROR(SEARCH("Pending",#REF!)))</formula>
    </cfRule>
  </conditionalFormatting>
  <conditionalFormatting sqref="T6">
    <cfRule type="containsText" dxfId="10956" priority="3505" operator="containsText" text="Pending">
      <formula>NOT(ISERROR(SEARCH("Pending",#REF!)))</formula>
    </cfRule>
  </conditionalFormatting>
  <conditionalFormatting sqref="T7">
    <cfRule type="containsText" dxfId="10955" priority="3506" operator="containsText" text="Pending">
      <formula>NOT(ISERROR(SEARCH("Pending",#REF!)))</formula>
    </cfRule>
  </conditionalFormatting>
  <conditionalFormatting sqref="T9">
    <cfRule type="containsText" dxfId="10954" priority="3507" operator="containsText" text="Pending">
      <formula>NOT(ISERROR(SEARCH("Pending",#REF!)))</formula>
    </cfRule>
  </conditionalFormatting>
  <conditionalFormatting sqref="T4">
    <cfRule type="containsText" dxfId="10953" priority="3508" operator="containsText" text="Pending">
      <formula>NOT(ISERROR(SEARCH("Pending",#REF!)))</formula>
    </cfRule>
  </conditionalFormatting>
  <conditionalFormatting sqref="T3">
    <cfRule type="containsText" dxfId="10952" priority="3509" operator="containsText" text="Pending">
      <formula>NOT(ISERROR(SEARCH("Pending",#REF!)))</formula>
    </cfRule>
  </conditionalFormatting>
  <conditionalFormatting sqref="T11">
    <cfRule type="containsText" dxfId="10951" priority="3510" operator="containsText" text="Pending">
      <formula>NOT(ISERROR(SEARCH("Pending",#REF!)))</formula>
    </cfRule>
  </conditionalFormatting>
  <conditionalFormatting sqref="T13">
    <cfRule type="containsText" dxfId="10950" priority="3511" operator="containsText" text="Pending">
      <formula>NOT(ISERROR(SEARCH("Pending",#REF!)))</formula>
    </cfRule>
  </conditionalFormatting>
  <conditionalFormatting sqref="T19">
    <cfRule type="containsText" dxfId="10949" priority="3512" operator="containsText" text="Pending">
      <formula>NOT(ISERROR(SEARCH("Pending",#REF!)))</formula>
    </cfRule>
  </conditionalFormatting>
  <conditionalFormatting sqref="U20">
    <cfRule type="containsText" dxfId="10948" priority="3513" operator="containsText" text="Pending">
      <formula>NOT(ISERROR(SEARCH("Pending",#REF!)))</formula>
    </cfRule>
  </conditionalFormatting>
  <conditionalFormatting sqref="U21">
    <cfRule type="containsText" dxfId="10947" priority="3514" operator="containsText" text="Pending">
      <formula>NOT(ISERROR(SEARCH("Pending",#REF!)))</formula>
    </cfRule>
  </conditionalFormatting>
  <conditionalFormatting sqref="U41 U43:U52">
    <cfRule type="containsText" dxfId="10946" priority="3515" operator="containsText" text="Pending">
      <formula>NOT(ISERROR(SEARCH("Pending",#REF!)))</formula>
    </cfRule>
  </conditionalFormatting>
  <conditionalFormatting sqref="V41 V43:V46 V48:V52">
    <cfRule type="containsText" dxfId="10945" priority="3516" operator="containsText" text="Pending">
      <formula>NOT(ISERROR(SEARCH("Pending",#REF!)))</formula>
    </cfRule>
  </conditionalFormatting>
  <conditionalFormatting sqref="T47">
    <cfRule type="containsText" dxfId="10944" priority="3517" operator="containsText" text="Pending">
      <formula>NOT(ISERROR(SEARCH("Pending",#REF!)))</formula>
    </cfRule>
  </conditionalFormatting>
  <conditionalFormatting sqref="U47">
    <cfRule type="containsText" dxfId="10943" priority="3518" operator="containsText" text="Pending">
      <formula>NOT(ISERROR(SEARCH("Pending",#REF!)))</formula>
    </cfRule>
  </conditionalFormatting>
  <conditionalFormatting sqref="T4:T16 T19:T24 T26 T28:T39 T41 T43:T56">
    <cfRule type="containsText" dxfId="10942" priority="8" operator="containsText" text="NA">
      <formula>NOT(ISERROR(SEARCH("NA",#REF!)))</formula>
    </cfRule>
  </conditionalFormatting>
  <conditionalFormatting sqref="T6">
    <cfRule type="containsText" dxfId="10941" priority="3519" operator="containsText" text="NA">
      <formula>NOT(ISERROR(SEARCH("NA",#REF!)))</formula>
    </cfRule>
  </conditionalFormatting>
  <conditionalFormatting sqref="T7">
    <cfRule type="containsText" dxfId="10940" priority="3520" operator="containsText" text="NA">
      <formula>NOT(ISERROR(SEARCH("NA",#REF!)))</formula>
    </cfRule>
  </conditionalFormatting>
  <conditionalFormatting sqref="T9">
    <cfRule type="containsText" dxfId="10939" priority="3521" operator="containsText" text="NA">
      <formula>NOT(ISERROR(SEARCH("NA",#REF!)))</formula>
    </cfRule>
  </conditionalFormatting>
  <conditionalFormatting sqref="T4">
    <cfRule type="containsText" dxfId="10938" priority="3522" operator="containsText" text="NA">
      <formula>NOT(ISERROR(SEARCH("NA",#REF!)))</formula>
    </cfRule>
  </conditionalFormatting>
  <conditionalFormatting sqref="T3">
    <cfRule type="containsText" dxfId="10937" priority="3523" operator="containsText" text="NA">
      <formula>NOT(ISERROR(SEARCH("NA",#REF!)))</formula>
    </cfRule>
  </conditionalFormatting>
  <conditionalFormatting sqref="T11">
    <cfRule type="containsText" dxfId="10936" priority="3524" operator="containsText" text="NA">
      <formula>NOT(ISERROR(SEARCH("NA",#REF!)))</formula>
    </cfRule>
  </conditionalFormatting>
  <conditionalFormatting sqref="T13">
    <cfRule type="containsText" dxfId="10935" priority="3525" operator="containsText" text="NA">
      <formula>NOT(ISERROR(SEARCH("NA",#REF!)))</formula>
    </cfRule>
  </conditionalFormatting>
  <conditionalFormatting sqref="T19">
    <cfRule type="containsText" dxfId="10934" priority="3526" operator="containsText" text="NA">
      <formula>NOT(ISERROR(SEARCH("NA",#REF!)))</formula>
    </cfRule>
  </conditionalFormatting>
  <conditionalFormatting sqref="U20">
    <cfRule type="containsText" dxfId="10933" priority="3527" operator="containsText" text="NA">
      <formula>NOT(ISERROR(SEARCH("NA",#REF!)))</formula>
    </cfRule>
  </conditionalFormatting>
  <conditionalFormatting sqref="U21">
    <cfRule type="containsText" dxfId="10932" priority="3528" operator="containsText" text="NA">
      <formula>NOT(ISERROR(SEARCH("NA",#REF!)))</formula>
    </cfRule>
  </conditionalFormatting>
  <conditionalFormatting sqref="U41 U43:U52">
    <cfRule type="containsText" dxfId="10931" priority="3529" operator="containsText" text="NA">
      <formula>NOT(ISERROR(SEARCH("NA",#REF!)))</formula>
    </cfRule>
  </conditionalFormatting>
  <conditionalFormatting sqref="V41 V43:V46 V48:V52">
    <cfRule type="containsText" dxfId="10930" priority="3530" operator="containsText" text="NA">
      <formula>NOT(ISERROR(SEARCH("NA",#REF!)))</formula>
    </cfRule>
  </conditionalFormatting>
  <conditionalFormatting sqref="T47">
    <cfRule type="containsText" dxfId="10929" priority="3531" operator="containsText" text="NA">
      <formula>NOT(ISERROR(SEARCH("NA",#REF!)))</formula>
    </cfRule>
  </conditionalFormatting>
  <conditionalFormatting sqref="U47">
    <cfRule type="containsText" dxfId="10928" priority="3532" operator="containsText" text="NA">
      <formula>NOT(ISERROR(SEARCH("NA",#REF!)))</formula>
    </cfRule>
  </conditionalFormatting>
  <conditionalFormatting sqref="AA4:AA16 AA18:AA37 AA39:AA40">
    <cfRule type="containsText" dxfId="10927" priority="6" operator="containsText" text="Done">
      <formula>NOT(ISERROR(SEARCH("Done",Z3)))</formula>
    </cfRule>
  </conditionalFormatting>
  <conditionalFormatting sqref="AB4:AB16 AB18:AB22 AB25 AB28 AB30:AB34 AB38:AB41 AB53:AB55">
    <cfRule type="containsText" dxfId="10926" priority="3533" operator="containsText" text="Done">
      <formula>NOT(ISERROR(SEARCH("Done",Z3)))</formula>
    </cfRule>
  </conditionalFormatting>
  <conditionalFormatting sqref="AB56">
    <cfRule type="containsText" dxfId="10925" priority="3534" operator="containsText" text="Done">
      <formula>NOT(ISERROR(SEARCH("Done",Z3)))</formula>
    </cfRule>
  </conditionalFormatting>
  <conditionalFormatting sqref="AC4:AC16 AC18:AC22 AC26:AC29 AC32 AC41 AC48:AC55">
    <cfRule type="containsText" dxfId="10924" priority="3535" operator="containsText" text="Done">
      <formula>NOT(ISERROR(SEARCH("Done",Z3)))</formula>
    </cfRule>
  </conditionalFormatting>
  <conditionalFormatting sqref="AC56">
    <cfRule type="containsText" dxfId="10923" priority="3536" operator="containsText" text="Done">
      <formula>NOT(ISERROR(SEARCH("Done",Z3)))</formula>
    </cfRule>
  </conditionalFormatting>
  <conditionalFormatting sqref="AE4:AE55 AF4:AF16 AF18:AF24 AF27:AF55 AG4:AG55 AH4:AH16 AH18:AH55 AI4:AI16 AI18:AI55 AJ4:AJ16 AJ18:AJ55 AK4:AK16 AK18:AK55 AL4:AL16 AL18:AL55 AM4:AM16 AM18:AM55 AN4:AN16 AN18:AN55 AO4:AO16 AO18:AO55 AP4:AP16 AP18:AP55 AQ4:AQ16 AQ18:AQ55 AR4:AR16 AR18:AR55 AS4:AS16 AS18:AS55 AT4:AT16 AT18:AT55 AU4:AU16 AU18:AU55 AV4:AV16 AV18:AV55 AW4:AW16 AW18:AW55 AX4:AX16 AX18:AX55 AY4:AY16 AY18:AY55 AZ4:AZ16 AZ18:AZ55 BA4:BA55">
    <cfRule type="containsText" dxfId="10922" priority="3537" operator="containsText" text="Done">
      <formula>NOT(ISERROR(SEARCH("Done",Z3)))</formula>
    </cfRule>
  </conditionalFormatting>
  <conditionalFormatting sqref="AE56 AF56 AH56 AI56 AO56 AP56 AQ56 BA56">
    <cfRule type="containsText" dxfId="10921" priority="3538" operator="containsText" text="Done">
      <formula>NOT(ISERROR(SEARCH("Done",Z3)))</formula>
    </cfRule>
  </conditionalFormatting>
  <conditionalFormatting sqref="AE50 AF50">
    <cfRule type="containsText" dxfId="10920" priority="3539" operator="containsText" text="Done">
      <formula>NOT(ISERROR(SEARCH("Done",Z3)))</formula>
    </cfRule>
  </conditionalFormatting>
  <conditionalFormatting sqref="AG5 AH5">
    <cfRule type="containsText" dxfId="10919" priority="3540" operator="containsText" text="Done">
      <formula>NOT(ISERROR(SEARCH("Done",Z3)))</formula>
    </cfRule>
  </conditionalFormatting>
  <conditionalFormatting sqref="AG6 AH6">
    <cfRule type="containsText" dxfId="10918" priority="3541" operator="containsText" text="Done">
      <formula>NOT(ISERROR(SEARCH("Done",Z3)))</formula>
    </cfRule>
  </conditionalFormatting>
  <conditionalFormatting sqref="AJ6 AK6">
    <cfRule type="containsText" dxfId="10917" priority="3542" operator="containsText" text="Done">
      <formula>NOT(ISERROR(SEARCH("Done",Z3)))</formula>
    </cfRule>
  </conditionalFormatting>
  <conditionalFormatting sqref="AA6">
    <cfRule type="containsText" dxfId="10916" priority="3543" operator="containsText" text="Done">
      <formula>NOT(ISERROR(SEARCH("Done",Z3)))</formula>
    </cfRule>
  </conditionalFormatting>
  <conditionalFormatting sqref="AA7">
    <cfRule type="containsText" dxfId="10915" priority="3544" operator="containsText" text="Done">
      <formula>NOT(ISERROR(SEARCH("Done",Z3)))</formula>
    </cfRule>
  </conditionalFormatting>
  <conditionalFormatting sqref="AA9">
    <cfRule type="containsText" dxfId="10914" priority="3545" operator="containsText" text="Done">
      <formula>NOT(ISERROR(SEARCH("Done",Z3)))</formula>
    </cfRule>
  </conditionalFormatting>
  <conditionalFormatting sqref="AA4">
    <cfRule type="containsText" dxfId="10913" priority="3546" operator="containsText" text="Done">
      <formula>NOT(ISERROR(SEARCH("Done",Z3)))</formula>
    </cfRule>
  </conditionalFormatting>
  <conditionalFormatting sqref="AA3">
    <cfRule type="containsText" dxfId="10912" priority="3547" operator="containsText" text="Done">
      <formula>NOT(ISERROR(SEARCH("Done",Z3)))</formula>
    </cfRule>
  </conditionalFormatting>
  <conditionalFormatting sqref="AF8">
    <cfRule type="containsText" dxfId="10911" priority="3548" operator="containsText" text="Done">
      <formula>NOT(ISERROR(SEARCH("Done",Z3)))</formula>
    </cfRule>
  </conditionalFormatting>
  <conditionalFormatting sqref="AE4 AF4 AG4 AH4 AI4 AJ4 AK4 AL4 AM4 AN4 AO4 AP4 AQ4 AR4 AS4 AT4 AU4 AV4 AW4 AX4 AY4 AZ4">
    <cfRule type="containsText" dxfId="10910" priority="3549" operator="containsText" text="Done">
      <formula>NOT(ISERROR(SEARCH("Done",Z3)))</formula>
    </cfRule>
  </conditionalFormatting>
  <conditionalFormatting sqref="AF4">
    <cfRule type="containsText" dxfId="10909" priority="3550" operator="containsText" text="Done">
      <formula>NOT(ISERROR(SEARCH("Done",Z3)))</formula>
    </cfRule>
  </conditionalFormatting>
  <conditionalFormatting sqref="AG3 AH3">
    <cfRule type="containsText" dxfId="10908" priority="3551" operator="containsText" text="Done">
      <formula>NOT(ISERROR(SEARCH("Done",Z3)))</formula>
    </cfRule>
  </conditionalFormatting>
  <conditionalFormatting sqref="AG3 AH3">
    <cfRule type="containsText" dxfId="10907" priority="3552" operator="containsText" text="Done">
      <formula>NOT(ISERROR(SEARCH("Done",Z3)))</formula>
    </cfRule>
  </conditionalFormatting>
  <conditionalFormatting sqref="AJ3 AK3 AL3 AM3 AN3 AO3 AP3 AQ3 AR3 AS3 AT3">
    <cfRule type="containsText" dxfId="10906" priority="3553" operator="containsText" text="Done">
      <formula>NOT(ISERROR(SEARCH("Done",Z3)))</formula>
    </cfRule>
  </conditionalFormatting>
  <conditionalFormatting sqref="AU3 AV3 AW3 AX3 AY3 AZ3">
    <cfRule type="containsText" dxfId="10905" priority="3554" operator="containsText" text="Done">
      <formula>NOT(ISERROR(SEARCH("Done",Z3)))</formula>
    </cfRule>
  </conditionalFormatting>
  <conditionalFormatting sqref="AG54">
    <cfRule type="containsText" dxfId="10904" priority="3555" operator="containsText" text="Done">
      <formula>NOT(ISERROR(SEARCH("Done",Z3)))</formula>
    </cfRule>
  </conditionalFormatting>
  <conditionalFormatting sqref="AF25">
    <cfRule type="containsText" dxfId="10903" priority="3556" operator="containsText" text="Done">
      <formula>NOT(ISERROR(SEARCH("Done",Z3)))</formula>
    </cfRule>
  </conditionalFormatting>
  <conditionalFormatting sqref="AF31">
    <cfRule type="containsText" dxfId="10902" priority="3557" operator="containsText" text="Done">
      <formula>NOT(ISERROR(SEARCH("Done",Z3)))</formula>
    </cfRule>
  </conditionalFormatting>
  <conditionalFormatting sqref="AF30">
    <cfRule type="containsText" dxfId="10901" priority="3558" operator="containsText" text="Done">
      <formula>NOT(ISERROR(SEARCH("Done",Z3)))</formula>
    </cfRule>
  </conditionalFormatting>
  <conditionalFormatting sqref="AE30">
    <cfRule type="containsText" dxfId="10900" priority="3559" operator="containsText" text="Done">
      <formula>NOT(ISERROR(SEARCH("Done",Z3)))</formula>
    </cfRule>
  </conditionalFormatting>
  <conditionalFormatting sqref="AE31">
    <cfRule type="containsText" dxfId="10899" priority="3560" operator="containsText" text="Done">
      <formula>NOT(ISERROR(SEARCH("Done",Z3)))</formula>
    </cfRule>
  </conditionalFormatting>
  <conditionalFormatting sqref="AE28">
    <cfRule type="containsText" dxfId="10898" priority="3561" operator="containsText" text="Done">
      <formula>NOT(ISERROR(SEARCH("Done",Z3)))</formula>
    </cfRule>
  </conditionalFormatting>
  <conditionalFormatting sqref="AE15:AE16">
    <cfRule type="containsText" dxfId="10897" priority="3562" operator="containsText" text="Done">
      <formula>NOT(ISERROR(SEARCH("Done",Z3)))</formula>
    </cfRule>
  </conditionalFormatting>
  <conditionalFormatting sqref="AF15:AF16">
    <cfRule type="containsText" dxfId="10896" priority="3563" operator="containsText" text="Done">
      <formula>NOT(ISERROR(SEARCH("Done",Z3)))</formula>
    </cfRule>
  </conditionalFormatting>
  <conditionalFormatting sqref="AB24">
    <cfRule type="containsText" dxfId="10895" priority="3564" operator="containsText" text="Done">
      <formula>NOT(ISERROR(SEARCH("Done",Z3)))</formula>
    </cfRule>
  </conditionalFormatting>
  <conditionalFormatting sqref="AB26">
    <cfRule type="containsText" dxfId="10894" priority="3565" operator="containsText" text="Done">
      <formula>NOT(ISERROR(SEARCH("Done",Z3)))</formula>
    </cfRule>
  </conditionalFormatting>
  <conditionalFormatting sqref="AB27">
    <cfRule type="containsText" dxfId="10893" priority="3566" operator="containsText" text="Done">
      <formula>NOT(ISERROR(SEARCH("Done",Z3)))</formula>
    </cfRule>
  </conditionalFormatting>
  <conditionalFormatting sqref="AB29">
    <cfRule type="containsText" dxfId="10892" priority="3567" operator="containsText" text="Done">
      <formula>NOT(ISERROR(SEARCH("Done",Z3)))</formula>
    </cfRule>
  </conditionalFormatting>
  <conditionalFormatting sqref="AC23">
    <cfRule type="containsText" dxfId="10891" priority="3568" operator="containsText" text="Done">
      <formula>NOT(ISERROR(SEARCH("Done",Z3)))</formula>
    </cfRule>
  </conditionalFormatting>
  <conditionalFormatting sqref="AC24">
    <cfRule type="containsText" dxfId="10890" priority="3569" operator="containsText" text="Done">
      <formula>NOT(ISERROR(SEARCH("Done",Z3)))</formula>
    </cfRule>
  </conditionalFormatting>
  <conditionalFormatting sqref="AC25">
    <cfRule type="containsText" dxfId="10889" priority="3570" operator="containsText" text="Done">
      <formula>NOT(ISERROR(SEARCH("Done",Z3)))</formula>
    </cfRule>
  </conditionalFormatting>
  <conditionalFormatting sqref="AC30">
    <cfRule type="containsText" dxfId="10888" priority="3571" operator="containsText" text="Done">
      <formula>NOT(ISERROR(SEARCH("Done",Z3)))</formula>
    </cfRule>
  </conditionalFormatting>
  <conditionalFormatting sqref="AC31">
    <cfRule type="containsText" dxfId="10887" priority="3572" operator="containsText" text="Done">
      <formula>NOT(ISERROR(SEARCH("Done",Z3)))</formula>
    </cfRule>
  </conditionalFormatting>
  <conditionalFormatting sqref="AB23">
    <cfRule type="containsText" dxfId="10886" priority="3573" operator="containsText" text="Done">
      <formula>NOT(ISERROR(SEARCH("Done",Z3)))</formula>
    </cfRule>
  </conditionalFormatting>
  <conditionalFormatting sqref="AL12">
    <cfRule type="containsText" dxfId="10885" priority="3574" operator="containsText" text="Done">
      <formula>NOT(ISERROR(SEARCH("Done",Z3)))</formula>
    </cfRule>
  </conditionalFormatting>
  <conditionalFormatting sqref="AG14 AH14">
    <cfRule type="containsText" dxfId="10884" priority="3575" operator="containsText" text="Done">
      <formula>NOT(ISERROR(SEARCH("Done",Z3)))</formula>
    </cfRule>
  </conditionalFormatting>
  <conditionalFormatting sqref="AJ14">
    <cfRule type="containsText" dxfId="10883" priority="3576" operator="containsText" text="Done">
      <formula>NOT(ISERROR(SEARCH("Done",Z3)))</formula>
    </cfRule>
  </conditionalFormatting>
  <conditionalFormatting sqref="AK14">
    <cfRule type="containsText" dxfId="10882" priority="3577" operator="containsText" text="Done">
      <formula>NOT(ISERROR(SEARCH("Done",Z3)))</formula>
    </cfRule>
  </conditionalFormatting>
  <conditionalFormatting sqref="AJ18">
    <cfRule type="containsText" dxfId="10881" priority="3578" operator="containsText" text="Done">
      <formula>NOT(ISERROR(SEARCH("Done",Z3)))</formula>
    </cfRule>
  </conditionalFormatting>
  <conditionalFormatting sqref="AG20 AH20 AI20">
    <cfRule type="containsText" dxfId="10880" priority="3579" operator="containsText" text="Done">
      <formula>NOT(ISERROR(SEARCH("Done",Z3)))</formula>
    </cfRule>
  </conditionalFormatting>
  <conditionalFormatting sqref="AO49">
    <cfRule type="containsText" dxfId="10879" priority="3580" operator="containsText" text="Done">
      <formula>NOT(ISERROR(SEARCH("Done",Z3)))</formula>
    </cfRule>
  </conditionalFormatting>
  <conditionalFormatting sqref="AO50">
    <cfRule type="containsText" dxfId="10878" priority="3581" operator="containsText" text="Done">
      <formula>NOT(ISERROR(SEARCH("Done",Z3)))</formula>
    </cfRule>
  </conditionalFormatting>
  <conditionalFormatting sqref="AO50">
    <cfRule type="containsText" dxfId="10877" priority="3582" operator="containsText" text="Done">
      <formula>NOT(ISERROR(SEARCH("Done",Z3)))</formula>
    </cfRule>
  </conditionalFormatting>
  <conditionalFormatting sqref="AO51">
    <cfRule type="containsText" dxfId="10876" priority="3583" operator="containsText" text="Done">
      <formula>NOT(ISERROR(SEARCH("Done",Z3)))</formula>
    </cfRule>
  </conditionalFormatting>
  <conditionalFormatting sqref="AO51">
    <cfRule type="containsText" dxfId="10875" priority="3584" operator="containsText" text="Done">
      <formula>NOT(ISERROR(SEARCH("Done",Z3)))</formula>
    </cfRule>
  </conditionalFormatting>
  <conditionalFormatting sqref="AO51">
    <cfRule type="containsText" dxfId="10874" priority="3585" operator="containsText" text="Done">
      <formula>NOT(ISERROR(SEARCH("Done",Z3)))</formula>
    </cfRule>
  </conditionalFormatting>
  <conditionalFormatting sqref="AC49:AC50">
    <cfRule type="containsText" dxfId="10873" priority="3586" operator="containsText" text="Done">
      <formula>NOT(ISERROR(SEARCH("Done",Z3)))</formula>
    </cfRule>
  </conditionalFormatting>
  <conditionalFormatting sqref="AB48">
    <cfRule type="containsText" dxfId="10872" priority="3587" operator="containsText" text="Done">
      <formula>NOT(ISERROR(SEARCH("Done",Z3)))</formula>
    </cfRule>
  </conditionalFormatting>
  <conditionalFormatting sqref="AB49:AB50">
    <cfRule type="containsText" dxfId="10871" priority="3588" operator="containsText" text="Done">
      <formula>NOT(ISERROR(SEARCH("Done",Z3)))</formula>
    </cfRule>
  </conditionalFormatting>
  <conditionalFormatting sqref="AB51:AB52">
    <cfRule type="containsText" dxfId="10870" priority="3589" operator="containsText" text="Done">
      <formula>NOT(ISERROR(SEARCH("Done",Z3)))</formula>
    </cfRule>
  </conditionalFormatting>
  <conditionalFormatting sqref="AV15">
    <cfRule type="containsText" dxfId="10869" priority="3590" operator="containsText" text="Done">
      <formula>NOT(ISERROR(SEARCH("Done",Z3)))</formula>
    </cfRule>
  </conditionalFormatting>
  <conditionalFormatting sqref="AW15">
    <cfRule type="containsText" dxfId="10868" priority="3591" operator="containsText" text="Done">
      <formula>NOT(ISERROR(SEARCH("Done",Z3)))</formula>
    </cfRule>
  </conditionalFormatting>
  <conditionalFormatting sqref="AX15">
    <cfRule type="containsText" dxfId="10867" priority="3592" operator="containsText" text="Done">
      <formula>NOT(ISERROR(SEARCH("Done",Z3)))</formula>
    </cfRule>
  </conditionalFormatting>
  <conditionalFormatting sqref="AY15">
    <cfRule type="containsText" dxfId="10866" priority="3593" operator="containsText" text="Done">
      <formula>NOT(ISERROR(SEARCH("Done",Z3)))</formula>
    </cfRule>
  </conditionalFormatting>
  <conditionalFormatting sqref="AZ15">
    <cfRule type="containsText" dxfId="10865" priority="3594" operator="containsText" text="Done">
      <formula>NOT(ISERROR(SEARCH("Done",Z3)))</formula>
    </cfRule>
  </conditionalFormatting>
  <conditionalFormatting sqref="AA11">
    <cfRule type="containsText" dxfId="10864" priority="3595" operator="containsText" text="Done">
      <formula>NOT(ISERROR(SEARCH("Done",Z3)))</formula>
    </cfRule>
  </conditionalFormatting>
  <conditionalFormatting sqref="AB11">
    <cfRule type="containsText" dxfId="10863" priority="3596" operator="containsText" text="Done">
      <formula>NOT(ISERROR(SEARCH("Done",Z3)))</formula>
    </cfRule>
  </conditionalFormatting>
  <conditionalFormatting sqref="AC11">
    <cfRule type="containsText" dxfId="10862" priority="3597" operator="containsText" text="Done">
      <formula>NOT(ISERROR(SEARCH("Done",Z3)))</formula>
    </cfRule>
  </conditionalFormatting>
  <conditionalFormatting sqref="AA13">
    <cfRule type="containsText" dxfId="10861" priority="3598" operator="containsText" text="Done">
      <formula>NOT(ISERROR(SEARCH("Done",Z3)))</formula>
    </cfRule>
  </conditionalFormatting>
  <conditionalFormatting sqref="AB13">
    <cfRule type="containsText" dxfId="10860" priority="3599" operator="containsText" text="Done">
      <formula>NOT(ISERROR(SEARCH("Done",Z3)))</formula>
    </cfRule>
  </conditionalFormatting>
  <conditionalFormatting sqref="AC13">
    <cfRule type="containsText" dxfId="10859" priority="3600" operator="containsText" text="Done">
      <formula>NOT(ISERROR(SEARCH("Done",Z3)))</formula>
    </cfRule>
  </conditionalFormatting>
  <conditionalFormatting sqref="AA19">
    <cfRule type="containsText" dxfId="10858" priority="3601" operator="containsText" text="Done">
      <formula>NOT(ISERROR(SEARCH("Done",Z3)))</formula>
    </cfRule>
  </conditionalFormatting>
  <conditionalFormatting sqref="AB19">
    <cfRule type="containsText" dxfId="10857" priority="3602" operator="containsText" text="Done">
      <formula>NOT(ISERROR(SEARCH("Done",Z3)))</formula>
    </cfRule>
  </conditionalFormatting>
  <conditionalFormatting sqref="AC19">
    <cfRule type="containsText" dxfId="10856" priority="3603" operator="containsText" text="Done">
      <formula>NOT(ISERROR(SEARCH("Done",Z3)))</formula>
    </cfRule>
  </conditionalFormatting>
  <conditionalFormatting sqref="AB20">
    <cfRule type="containsText" dxfId="10855" priority="3604" operator="containsText" text="Done">
      <formula>NOT(ISERROR(SEARCH("Done",Z3)))</formula>
    </cfRule>
  </conditionalFormatting>
  <conditionalFormatting sqref="AC20">
    <cfRule type="containsText" dxfId="10854" priority="3605" operator="containsText" text="Done">
      <formula>NOT(ISERROR(SEARCH("Done",Z3)))</formula>
    </cfRule>
  </conditionalFormatting>
  <conditionalFormatting sqref="AD20">
    <cfRule type="containsText" dxfId="10853" priority="3606" operator="containsText" text="Done">
      <formula>NOT(ISERROR(SEARCH("Done",Z3)))</formula>
    </cfRule>
  </conditionalFormatting>
  <conditionalFormatting sqref="AB21">
    <cfRule type="containsText" dxfId="10852" priority="3607" operator="containsText" text="Done">
      <formula>NOT(ISERROR(SEARCH("Done",Z3)))</formula>
    </cfRule>
  </conditionalFormatting>
  <conditionalFormatting sqref="AC21">
    <cfRule type="containsText" dxfId="10851" priority="3608" operator="containsText" text="Done">
      <formula>NOT(ISERROR(SEARCH("Done",Z3)))</formula>
    </cfRule>
  </conditionalFormatting>
  <conditionalFormatting sqref="AD21">
    <cfRule type="containsText" dxfId="10850" priority="3609" operator="containsText" text="Done">
      <formula>NOT(ISERROR(SEARCH("Done",Z3)))</formula>
    </cfRule>
  </conditionalFormatting>
  <conditionalFormatting sqref="AG43">
    <cfRule type="containsText" dxfId="10849" priority="3610" operator="containsText" text="Done">
      <formula>NOT(ISERROR(SEARCH("Done",Z3)))</formula>
    </cfRule>
  </conditionalFormatting>
  <conditionalFormatting sqref="AG44">
    <cfRule type="containsText" dxfId="10848" priority="3611" operator="containsText" text="Done">
      <formula>NOT(ISERROR(SEARCH("Done",Z3)))</formula>
    </cfRule>
  </conditionalFormatting>
  <conditionalFormatting sqref="AG45">
    <cfRule type="containsText" dxfId="10847" priority="3612" operator="containsText" text="Done">
      <formula>NOT(ISERROR(SEARCH("Done",Z3)))</formula>
    </cfRule>
  </conditionalFormatting>
  <conditionalFormatting sqref="AG47">
    <cfRule type="containsText" dxfId="10846" priority="3613" operator="containsText" text="Done">
      <formula>NOT(ISERROR(SEARCH("Done",Z3)))</formula>
    </cfRule>
  </conditionalFormatting>
  <conditionalFormatting sqref="AG47">
    <cfRule type="containsText" dxfId="10845" priority="3614" operator="containsText" text="Done">
      <formula>NOT(ISERROR(SEARCH("Done",Z3)))</formula>
    </cfRule>
  </conditionalFormatting>
  <conditionalFormatting sqref="AH44:AH46">
    <cfRule type="containsText" dxfId="10844" priority="3615" operator="containsText" text="Done">
      <formula>NOT(ISERROR(SEARCH("Done",Z3)))</formula>
    </cfRule>
  </conditionalFormatting>
  <conditionalFormatting sqref="AH44">
    <cfRule type="containsText" dxfId="10843" priority="3616" operator="containsText" text="Done">
      <formula>NOT(ISERROR(SEARCH("Done",Z3)))</formula>
    </cfRule>
  </conditionalFormatting>
  <conditionalFormatting sqref="AH45">
    <cfRule type="containsText" dxfId="10842" priority="3617" operator="containsText" text="Done">
      <formula>NOT(ISERROR(SEARCH("Done",Z3)))</formula>
    </cfRule>
  </conditionalFormatting>
  <conditionalFormatting sqref="AH48">
    <cfRule type="containsText" dxfId="10841" priority="3618" operator="containsText" text="Done">
      <formula>NOT(ISERROR(SEARCH("Done",Z3)))</formula>
    </cfRule>
  </conditionalFormatting>
  <conditionalFormatting sqref="AH48">
    <cfRule type="containsText" dxfId="10840" priority="3619" operator="containsText" text="Done">
      <formula>NOT(ISERROR(SEARCH("Done",Z3)))</formula>
    </cfRule>
  </conditionalFormatting>
  <conditionalFormatting sqref="AH48">
    <cfRule type="containsText" dxfId="10839" priority="3620" operator="containsText" text="Done">
      <formula>NOT(ISERROR(SEARCH("Done",Z3)))</formula>
    </cfRule>
  </conditionalFormatting>
  <conditionalFormatting sqref="AH48">
    <cfRule type="containsText" dxfId="10838" priority="3621" operator="containsText" text="Done">
      <formula>NOT(ISERROR(SEARCH("Done",Z3)))</formula>
    </cfRule>
  </conditionalFormatting>
  <conditionalFormatting sqref="AR10">
    <cfRule type="containsText" dxfId="10837" priority="3622" operator="containsText" text="Done">
      <formula>NOT(ISERROR(SEARCH("Done",Z3)))</formula>
    </cfRule>
  </conditionalFormatting>
  <conditionalFormatting sqref="AT10">
    <cfRule type="containsText" dxfId="10836" priority="3623" operator="containsText" text="Done">
      <formula>NOT(ISERROR(SEARCH("Done",Z3)))</formula>
    </cfRule>
  </conditionalFormatting>
  <conditionalFormatting sqref="AA29">
    <cfRule type="containsText" dxfId="10835" priority="3624" operator="containsText" text="Done">
      <formula>NOT(ISERROR(SEARCH("Done",Z3)))</formula>
    </cfRule>
  </conditionalFormatting>
  <conditionalFormatting sqref="AA30">
    <cfRule type="containsText" dxfId="10834" priority="3625" operator="containsText" text="Done">
      <formula>NOT(ISERROR(SEARCH("Done",Z3)))</formula>
    </cfRule>
  </conditionalFormatting>
  <conditionalFormatting sqref="AA31">
    <cfRule type="containsText" dxfId="10833" priority="3626" operator="containsText" text="Done">
      <formula>NOT(ISERROR(SEARCH("Done",Z3)))</formula>
    </cfRule>
  </conditionalFormatting>
  <conditionalFormatting sqref="AF13">
    <cfRule type="containsText" dxfId="10832" priority="3627" operator="containsText" text="Done">
      <formula>NOT(ISERROR(SEARCH("Done",Z3)))</formula>
    </cfRule>
  </conditionalFormatting>
  <conditionalFormatting sqref="AH13">
    <cfRule type="containsText" dxfId="10831" priority="3628" operator="containsText" text="Done">
      <formula>NOT(ISERROR(SEARCH("Done",Z3)))</formula>
    </cfRule>
  </conditionalFormatting>
  <conditionalFormatting sqref="AI13">
    <cfRule type="containsText" dxfId="10830" priority="3629" operator="containsText" text="Done">
      <formula>NOT(ISERROR(SEARCH("Done",Z3)))</formula>
    </cfRule>
  </conditionalFormatting>
  <conditionalFormatting sqref="AJ13">
    <cfRule type="containsText" dxfId="10829" priority="3630" operator="containsText" text="Done">
      <formula>NOT(ISERROR(SEARCH("Done",Z3)))</formula>
    </cfRule>
  </conditionalFormatting>
  <conditionalFormatting sqref="AK13">
    <cfRule type="containsText" dxfId="10828" priority="3631" operator="containsText" text="Done">
      <formula>NOT(ISERROR(SEARCH("Done",Z3)))</formula>
    </cfRule>
  </conditionalFormatting>
  <conditionalFormatting sqref="AL13">
    <cfRule type="containsText" dxfId="10827" priority="3632" operator="containsText" text="Done">
      <formula>NOT(ISERROR(SEARCH("Done",Z3)))</formula>
    </cfRule>
  </conditionalFormatting>
  <conditionalFormatting sqref="AM13">
    <cfRule type="containsText" dxfId="10826" priority="3633" operator="containsText" text="Done">
      <formula>NOT(ISERROR(SEARCH("Done",Z3)))</formula>
    </cfRule>
  </conditionalFormatting>
  <conditionalFormatting sqref="AN13">
    <cfRule type="containsText" dxfId="10825" priority="3634" operator="containsText" text="Done">
      <formula>NOT(ISERROR(SEARCH("Done",Z3)))</formula>
    </cfRule>
  </conditionalFormatting>
  <conditionalFormatting sqref="AO13">
    <cfRule type="containsText" dxfId="10824" priority="3635" operator="containsText" text="Done">
      <formula>NOT(ISERROR(SEARCH("Done",Z3)))</formula>
    </cfRule>
  </conditionalFormatting>
  <conditionalFormatting sqref="AP13">
    <cfRule type="containsText" dxfId="10823" priority="3636" operator="containsText" text="Done">
      <formula>NOT(ISERROR(SEARCH("Done",Z3)))</formula>
    </cfRule>
  </conditionalFormatting>
  <conditionalFormatting sqref="AQ13">
    <cfRule type="containsText" dxfId="10822" priority="3637" operator="containsText" text="Done">
      <formula>NOT(ISERROR(SEARCH("Done",Z3)))</formula>
    </cfRule>
  </conditionalFormatting>
  <conditionalFormatting sqref="AR13">
    <cfRule type="containsText" dxfId="10821" priority="3638" operator="containsText" text="Done">
      <formula>NOT(ISERROR(SEARCH("Done",Z3)))</formula>
    </cfRule>
  </conditionalFormatting>
  <conditionalFormatting sqref="AS13">
    <cfRule type="containsText" dxfId="10820" priority="3639" operator="containsText" text="Done">
      <formula>NOT(ISERROR(SEARCH("Done",Z3)))</formula>
    </cfRule>
  </conditionalFormatting>
  <conditionalFormatting sqref="AT13">
    <cfRule type="containsText" dxfId="10819" priority="3640" operator="containsText" text="Done">
      <formula>NOT(ISERROR(SEARCH("Done",Z3)))</formula>
    </cfRule>
  </conditionalFormatting>
  <conditionalFormatting sqref="AU13">
    <cfRule type="containsText" dxfId="10818" priority="3641" operator="containsText" text="Done">
      <formula>NOT(ISERROR(SEARCH("Done",Z3)))</formula>
    </cfRule>
  </conditionalFormatting>
  <conditionalFormatting sqref="AV13">
    <cfRule type="containsText" dxfId="10817" priority="3642" operator="containsText" text="Done">
      <formula>NOT(ISERROR(SEARCH("Done",Z3)))</formula>
    </cfRule>
  </conditionalFormatting>
  <conditionalFormatting sqref="AW13">
    <cfRule type="containsText" dxfId="10816" priority="3643" operator="containsText" text="Done">
      <formula>NOT(ISERROR(SEARCH("Done",Z3)))</formula>
    </cfRule>
  </conditionalFormatting>
  <conditionalFormatting sqref="AX13">
    <cfRule type="containsText" dxfId="10815" priority="3644" operator="containsText" text="Done">
      <formula>NOT(ISERROR(SEARCH("Done",Z3)))</formula>
    </cfRule>
  </conditionalFormatting>
  <conditionalFormatting sqref="AY13">
    <cfRule type="containsText" dxfId="10814" priority="3645" operator="containsText" text="Done">
      <formula>NOT(ISERROR(SEARCH("Done",Z3)))</formula>
    </cfRule>
  </conditionalFormatting>
  <conditionalFormatting sqref="AZ13">
    <cfRule type="containsText" dxfId="10813" priority="3646" operator="containsText" text="Done">
      <formula>NOT(ISERROR(SEARCH("Done",Z3)))</formula>
    </cfRule>
  </conditionalFormatting>
  <conditionalFormatting sqref="AJ20:AJ21">
    <cfRule type="containsText" dxfId="10812" priority="3647" operator="containsText" text="Done">
      <formula>NOT(ISERROR(SEARCH("Done",Z3)))</formula>
    </cfRule>
  </conditionalFormatting>
  <conditionalFormatting sqref="AJ20">
    <cfRule type="containsText" dxfId="10811" priority="3648" operator="containsText" text="Done">
      <formula>NOT(ISERROR(SEARCH("Done",Z3)))</formula>
    </cfRule>
  </conditionalFormatting>
  <conditionalFormatting sqref="AJ41">
    <cfRule type="containsText" dxfId="10810" priority="3649" operator="containsText" text="Done">
      <formula>NOT(ISERROR(SEARCH("Done",Z3)))</formula>
    </cfRule>
  </conditionalFormatting>
  <conditionalFormatting sqref="AJ42">
    <cfRule type="containsText" dxfId="10809" priority="3650" operator="containsText" text="Done">
      <formula>NOT(ISERROR(SEARCH("Done",Z3)))</formula>
    </cfRule>
  </conditionalFormatting>
  <conditionalFormatting sqref="AJ42">
    <cfRule type="containsText" dxfId="10808" priority="3651" operator="containsText" text="Done">
      <formula>NOT(ISERROR(SEARCH("Done",Z3)))</formula>
    </cfRule>
  </conditionalFormatting>
  <conditionalFormatting sqref="AK41:AK52">
    <cfRule type="containsText" dxfId="10807" priority="3652" operator="containsText" text="Done">
      <formula>NOT(ISERROR(SEARCH("Done",Z3)))</formula>
    </cfRule>
  </conditionalFormatting>
  <conditionalFormatting sqref="AK41">
    <cfRule type="containsText" dxfId="10806" priority="3653" operator="containsText" text="Done">
      <formula>NOT(ISERROR(SEARCH("Done",Z3)))</formula>
    </cfRule>
  </conditionalFormatting>
  <conditionalFormatting sqref="AK42">
    <cfRule type="containsText" dxfId="10805" priority="3654" operator="containsText" text="Done">
      <formula>NOT(ISERROR(SEARCH("Done",Z3)))</formula>
    </cfRule>
  </conditionalFormatting>
  <conditionalFormatting sqref="AK42">
    <cfRule type="containsText" dxfId="10804" priority="3655" operator="containsText" text="Done">
      <formula>NOT(ISERROR(SEARCH("Done",Z3)))</formula>
    </cfRule>
  </conditionalFormatting>
  <conditionalFormatting sqref="AJ54">
    <cfRule type="containsText" dxfId="10803" priority="3656" operator="containsText" text="Done">
      <formula>NOT(ISERROR(SEARCH("Done",Z3)))</formula>
    </cfRule>
  </conditionalFormatting>
  <conditionalFormatting sqref="AK53">
    <cfRule type="containsText" dxfId="10802" priority="3657" operator="containsText" text="Done">
      <formula>NOT(ISERROR(SEARCH("Done",Z3)))</formula>
    </cfRule>
  </conditionalFormatting>
  <conditionalFormatting sqref="AR54">
    <cfRule type="containsText" dxfId="10801" priority="3658" operator="containsText" text="Done">
      <formula>NOT(ISERROR(SEARCH("Done",Z3)))</formula>
    </cfRule>
  </conditionalFormatting>
  <conditionalFormatting sqref="AB42 AB44 AB45 AB46 AB47 AC42 AC43 AC44 AC45 AC46 AC47">
    <cfRule type="containsText" dxfId="10800" priority="3659" operator="containsText" text="Done">
      <formula>NOT(ISERROR(SEARCH("Done",Z3)))</formula>
    </cfRule>
  </conditionalFormatting>
  <conditionalFormatting sqref="AB43">
    <cfRule type="containsText" dxfId="10799" priority="3660" operator="containsText" text="Done">
      <formula>NOT(ISERROR(SEARCH("Done",Z3)))</formula>
    </cfRule>
  </conditionalFormatting>
  <conditionalFormatting sqref="AG40 AH40">
    <cfRule type="containsText" dxfId="10798" priority="3661" operator="containsText" text="Done">
      <formula>NOT(ISERROR(SEARCH("Done",Z3)))</formula>
    </cfRule>
  </conditionalFormatting>
  <conditionalFormatting sqref="AC34">
    <cfRule type="containsText" dxfId="10797" priority="3662" operator="containsText" text="Done">
      <formula>NOT(ISERROR(SEARCH("Done",Z3)))</formula>
    </cfRule>
  </conditionalFormatting>
  <conditionalFormatting sqref="AC33">
    <cfRule type="containsText" dxfId="10796" priority="3663" operator="containsText" text="Done">
      <formula>NOT(ISERROR(SEARCH("Done",Z3)))</formula>
    </cfRule>
  </conditionalFormatting>
  <conditionalFormatting sqref="AC35">
    <cfRule type="containsText" dxfId="10795" priority="3664" operator="containsText" text="Done">
      <formula>NOT(ISERROR(SEARCH("Done",Z3)))</formula>
    </cfRule>
  </conditionalFormatting>
  <conditionalFormatting sqref="AC36">
    <cfRule type="containsText" dxfId="10794" priority="3665" operator="containsText" text="Done">
      <formula>NOT(ISERROR(SEARCH("Done",Z3)))</formula>
    </cfRule>
  </conditionalFormatting>
  <conditionalFormatting sqref="AC37">
    <cfRule type="containsText" dxfId="10793" priority="3666" operator="containsText" text="Done">
      <formula>NOT(ISERROR(SEARCH("Done",Z3)))</formula>
    </cfRule>
  </conditionalFormatting>
  <conditionalFormatting sqref="AC38">
    <cfRule type="containsText" dxfId="10792" priority="3667" operator="containsText" text="Done">
      <formula>NOT(ISERROR(SEARCH("Done",Z3)))</formula>
    </cfRule>
  </conditionalFormatting>
  <conditionalFormatting sqref="AC39">
    <cfRule type="containsText" dxfId="10791" priority="3668" operator="containsText" text="Done">
      <formula>NOT(ISERROR(SEARCH("Done",Z3)))</formula>
    </cfRule>
  </conditionalFormatting>
  <conditionalFormatting sqref="AC40">
    <cfRule type="containsText" dxfId="10790" priority="3669" operator="containsText" text="Done">
      <formula>NOT(ISERROR(SEARCH("Done",Z3)))</formula>
    </cfRule>
  </conditionalFormatting>
  <conditionalFormatting sqref="AB35">
    <cfRule type="containsText" dxfId="10789" priority="3670" operator="containsText" text="Done">
      <formula>NOT(ISERROR(SEARCH("Done",Z3)))</formula>
    </cfRule>
  </conditionalFormatting>
  <conditionalFormatting sqref="AB36">
    <cfRule type="containsText" dxfId="10788" priority="3671" operator="containsText" text="Done">
      <formula>NOT(ISERROR(SEARCH("Done",Z3)))</formula>
    </cfRule>
  </conditionalFormatting>
  <conditionalFormatting sqref="AB37">
    <cfRule type="containsText" dxfId="10787" priority="3672" operator="containsText" text="Done">
      <formula>NOT(ISERROR(SEARCH("Done",Z3)))</formula>
    </cfRule>
  </conditionalFormatting>
  <conditionalFormatting sqref="AM44:AM52">
    <cfRule type="containsText" dxfId="10786" priority="3673" operator="containsText" text="Done">
      <formula>NOT(ISERROR(SEARCH("Done",Z3)))</formula>
    </cfRule>
  </conditionalFormatting>
  <conditionalFormatting sqref="AM41">
    <cfRule type="containsText" dxfId="10785" priority="3674" operator="containsText" text="Done">
      <formula>NOT(ISERROR(SEARCH("Done",Z3)))</formula>
    </cfRule>
  </conditionalFormatting>
  <conditionalFormatting sqref="AN40:AN52">
    <cfRule type="containsText" dxfId="10784" priority="3675" operator="containsText" text="Done">
      <formula>NOT(ISERROR(SEARCH("Done",Z3)))</formula>
    </cfRule>
  </conditionalFormatting>
  <conditionalFormatting sqref="AN44:AN52">
    <cfRule type="containsText" dxfId="10783" priority="3676" operator="containsText" text="Done">
      <formula>NOT(ISERROR(SEARCH("Done",Z3)))</formula>
    </cfRule>
  </conditionalFormatting>
  <conditionalFormatting sqref="AN41">
    <cfRule type="containsText" dxfId="10782" priority="3677" operator="containsText" text="Done">
      <formula>NOT(ISERROR(SEARCH("Done",Z3)))</formula>
    </cfRule>
  </conditionalFormatting>
  <conditionalFormatting sqref="AQ42:AQ52">
    <cfRule type="containsText" dxfId="10781" priority="3678" operator="containsText" text="Done">
      <formula>NOT(ISERROR(SEARCH("Done",Z3)))</formula>
    </cfRule>
  </conditionalFormatting>
  <conditionalFormatting sqref="AP41">
    <cfRule type="containsText" dxfId="10780" priority="3679" operator="containsText" text="Done">
      <formula>NOT(ISERROR(SEARCH("Done",Z3)))</formula>
    </cfRule>
  </conditionalFormatting>
  <conditionalFormatting sqref="AM53">
    <cfRule type="containsText" dxfId="10779" priority="3680" operator="containsText" text="Done">
      <formula>NOT(ISERROR(SEARCH("Done",Z3)))</formula>
    </cfRule>
  </conditionalFormatting>
  <conditionalFormatting sqref="AL54">
    <cfRule type="containsText" dxfId="10778" priority="3681" operator="containsText" text="Done">
      <formula>NOT(ISERROR(SEARCH("Done",Z3)))</formula>
    </cfRule>
  </conditionalFormatting>
  <conditionalFormatting sqref="AU54">
    <cfRule type="containsText" dxfId="10777" priority="3682" operator="containsText" text="Done">
      <formula>NOT(ISERROR(SEARCH("Done",Z3)))</formula>
    </cfRule>
  </conditionalFormatting>
  <conditionalFormatting sqref="AV53">
    <cfRule type="containsText" dxfId="10776" priority="3683" operator="containsText" text="Done">
      <formula>NOT(ISERROR(SEARCH("Done",Z3)))</formula>
    </cfRule>
  </conditionalFormatting>
  <conditionalFormatting sqref="AX53">
    <cfRule type="containsText" dxfId="10775" priority="3684" operator="containsText" text="Done">
      <formula>NOT(ISERROR(SEARCH("Done",Z3)))</formula>
    </cfRule>
  </conditionalFormatting>
  <conditionalFormatting sqref="AY53">
    <cfRule type="containsText" dxfId="10774" priority="3685" operator="containsText" text="Done">
      <formula>NOT(ISERROR(SEARCH("Done",Z3)))</formula>
    </cfRule>
  </conditionalFormatting>
  <conditionalFormatting sqref="AS53">
    <cfRule type="containsText" dxfId="10773" priority="3686" operator="containsText" text="Done">
      <formula>NOT(ISERROR(SEARCH("Done",Z3)))</formula>
    </cfRule>
  </conditionalFormatting>
  <conditionalFormatting sqref="AT53">
    <cfRule type="containsText" dxfId="10772" priority="3687" operator="containsText" text="Done">
      <formula>NOT(ISERROR(SEARCH("Done",Z3)))</formula>
    </cfRule>
  </conditionalFormatting>
  <conditionalFormatting sqref="AS55">
    <cfRule type="containsText" dxfId="10771" priority="3688" operator="containsText" text="Done">
      <formula>NOT(ISERROR(SEARCH("Done",Z3)))</formula>
    </cfRule>
  </conditionalFormatting>
  <conditionalFormatting sqref="AG25">
    <cfRule type="containsText" dxfId="10770" priority="3689" operator="containsText" text="Done">
      <formula>NOT(ISERROR(SEARCH("Done",Z3)))</formula>
    </cfRule>
  </conditionalFormatting>
  <conditionalFormatting sqref="AH25">
    <cfRule type="containsText" dxfId="10769" priority="3690" operator="containsText" text="Done">
      <formula>NOT(ISERROR(SEARCH("Done",Z3)))</formula>
    </cfRule>
  </conditionalFormatting>
  <conditionalFormatting sqref="AG28">
    <cfRule type="containsText" dxfId="10768" priority="3691" operator="containsText" text="Done">
      <formula>NOT(ISERROR(SEARCH("Done",Z3)))</formula>
    </cfRule>
  </conditionalFormatting>
  <conditionalFormatting sqref="AH28">
    <cfRule type="containsText" dxfId="10767" priority="3692" operator="containsText" text="Done">
      <formula>NOT(ISERROR(SEARCH("Done",Z3)))</formula>
    </cfRule>
  </conditionalFormatting>
  <conditionalFormatting sqref="AK23">
    <cfRule type="containsText" dxfId="10766" priority="3693" operator="containsText" text="Done">
      <formula>NOT(ISERROR(SEARCH("Done",Z3)))</formula>
    </cfRule>
  </conditionalFormatting>
  <conditionalFormatting sqref="AJ27 AK27">
    <cfRule type="containsText" dxfId="10765" priority="3694" operator="containsText" text="Done">
      <formula>NOT(ISERROR(SEARCH("Done",Z3)))</formula>
    </cfRule>
  </conditionalFormatting>
  <conditionalFormatting sqref="AK27">
    <cfRule type="containsText" dxfId="10764" priority="3695" operator="containsText" text="Done">
      <formula>NOT(ISERROR(SEARCH("Done",Z3)))</formula>
    </cfRule>
  </conditionalFormatting>
  <conditionalFormatting sqref="AK28">
    <cfRule type="containsText" dxfId="10763" priority="3696" operator="containsText" text="Done">
      <formula>NOT(ISERROR(SEARCH("Done",Z3)))</formula>
    </cfRule>
  </conditionalFormatting>
  <conditionalFormatting sqref="AK31">
    <cfRule type="containsText" dxfId="10762" priority="3697" operator="containsText" text="Done">
      <formula>NOT(ISERROR(SEARCH("Done",Z3)))</formula>
    </cfRule>
  </conditionalFormatting>
  <conditionalFormatting sqref="AN23:AN31">
    <cfRule type="containsText" dxfId="10761" priority="3698" operator="containsText" text="Done">
      <formula>NOT(ISERROR(SEARCH("Done",Z3)))</formula>
    </cfRule>
  </conditionalFormatting>
  <conditionalFormatting sqref="AO24">
    <cfRule type="containsText" dxfId="10760" priority="3699" operator="containsText" text="Done">
      <formula>NOT(ISERROR(SEARCH("Done",Z3)))</formula>
    </cfRule>
  </conditionalFormatting>
  <conditionalFormatting sqref="AP23:AP31">
    <cfRule type="containsText" dxfId="10759" priority="3700" operator="containsText" text="Done">
      <formula>NOT(ISERROR(SEARCH("Done",Z3)))</formula>
    </cfRule>
  </conditionalFormatting>
  <conditionalFormatting sqref="AP23:AP31">
    <cfRule type="containsText" dxfId="10758" priority="3701" operator="containsText" text="Done">
      <formula>NOT(ISERROR(SEARCH("Done",Z3)))</formula>
    </cfRule>
  </conditionalFormatting>
  <conditionalFormatting sqref="AQ23:AQ31">
    <cfRule type="containsText" dxfId="10757" priority="3702" operator="containsText" text="Done">
      <formula>NOT(ISERROR(SEARCH("Done",Z3)))</formula>
    </cfRule>
  </conditionalFormatting>
  <conditionalFormatting sqref="AQ23:AQ31">
    <cfRule type="containsText" dxfId="10756" priority="3703" operator="containsText" text="Done">
      <formula>NOT(ISERROR(SEARCH("Done",Z3)))</formula>
    </cfRule>
  </conditionalFormatting>
  <conditionalFormatting sqref="AR24">
    <cfRule type="containsText" dxfId="10755" priority="3704" operator="containsText" text="Done">
      <formula>NOT(ISERROR(SEARCH("Done",Z3)))</formula>
    </cfRule>
  </conditionalFormatting>
  <conditionalFormatting sqref="AR25">
    <cfRule type="containsText" dxfId="10754" priority="3705" operator="containsText" text="Done">
      <formula>NOT(ISERROR(SEARCH("Done",Z3)))</formula>
    </cfRule>
  </conditionalFormatting>
  <conditionalFormatting sqref="AR31">
    <cfRule type="containsText" dxfId="10753" priority="3706" operator="containsText" text="Done">
      <formula>NOT(ISERROR(SEARCH("Done",Z3)))</formula>
    </cfRule>
  </conditionalFormatting>
  <conditionalFormatting sqref="AR31">
    <cfRule type="containsText" dxfId="10752" priority="3707" operator="containsText" text="Done">
      <formula>NOT(ISERROR(SEARCH("Done",Z3)))</formula>
    </cfRule>
  </conditionalFormatting>
  <conditionalFormatting sqref="AR27">
    <cfRule type="containsText" dxfId="10751" priority="3708" operator="containsText" text="Done">
      <formula>NOT(ISERROR(SEARCH("Done",Z3)))</formula>
    </cfRule>
  </conditionalFormatting>
  <conditionalFormatting sqref="AS23:AS25">
    <cfRule type="containsText" dxfId="10750" priority="3709" operator="containsText" text="Done">
      <formula>NOT(ISERROR(SEARCH("Done",Z3)))</formula>
    </cfRule>
  </conditionalFormatting>
  <conditionalFormatting sqref="AS24">
    <cfRule type="containsText" dxfId="10749" priority="3710" operator="containsText" text="Done">
      <formula>NOT(ISERROR(SEARCH("Done",Z3)))</formula>
    </cfRule>
  </conditionalFormatting>
  <conditionalFormatting sqref="AS25">
    <cfRule type="containsText" dxfId="10748" priority="3711" operator="containsText" text="Done">
      <formula>NOT(ISERROR(SEARCH("Done",Z3)))</formula>
    </cfRule>
  </conditionalFormatting>
  <conditionalFormatting sqref="AS26:AS31">
    <cfRule type="containsText" dxfId="10747" priority="3712" operator="containsText" text="Done">
      <formula>NOT(ISERROR(SEARCH("Done",Z3)))</formula>
    </cfRule>
  </conditionalFormatting>
  <conditionalFormatting sqref="AS31">
    <cfRule type="containsText" dxfId="10746" priority="3713" operator="containsText" text="Done">
      <formula>NOT(ISERROR(SEARCH("Done",Z3)))</formula>
    </cfRule>
  </conditionalFormatting>
  <conditionalFormatting sqref="AS31">
    <cfRule type="containsText" dxfId="10745" priority="3714" operator="containsText" text="Done">
      <formula>NOT(ISERROR(SEARCH("Done",Z3)))</formula>
    </cfRule>
  </conditionalFormatting>
  <conditionalFormatting sqref="AS27">
    <cfRule type="containsText" dxfId="10744" priority="3715" operator="containsText" text="Done">
      <formula>NOT(ISERROR(SEARCH("Done",Z3)))</formula>
    </cfRule>
  </conditionalFormatting>
  <conditionalFormatting sqref="AT23:AT31">
    <cfRule type="containsText" dxfId="10743" priority="3716" operator="containsText" text="Done">
      <formula>NOT(ISERROR(SEARCH("Done",Z3)))</formula>
    </cfRule>
  </conditionalFormatting>
  <conditionalFormatting sqref="AT23:AT25">
    <cfRule type="containsText" dxfId="10742" priority="3717" operator="containsText" text="Done">
      <formula>NOT(ISERROR(SEARCH("Done",Z3)))</formula>
    </cfRule>
  </conditionalFormatting>
  <conditionalFormatting sqref="AT24">
    <cfRule type="containsText" dxfId="10741" priority="3718" operator="containsText" text="Done">
      <formula>NOT(ISERROR(SEARCH("Done",Z3)))</formula>
    </cfRule>
  </conditionalFormatting>
  <conditionalFormatting sqref="AT25">
    <cfRule type="containsText" dxfId="10740" priority="3719" operator="containsText" text="Done">
      <formula>NOT(ISERROR(SEARCH("Done",Z3)))</formula>
    </cfRule>
  </conditionalFormatting>
  <conditionalFormatting sqref="AT26:AT31">
    <cfRule type="containsText" dxfId="10739" priority="3720" operator="containsText" text="Done">
      <formula>NOT(ISERROR(SEARCH("Done",Z3)))</formula>
    </cfRule>
  </conditionalFormatting>
  <conditionalFormatting sqref="AT31">
    <cfRule type="containsText" dxfId="10738" priority="3721" operator="containsText" text="Done">
      <formula>NOT(ISERROR(SEARCH("Done",Z3)))</formula>
    </cfRule>
  </conditionalFormatting>
  <conditionalFormatting sqref="AT31">
    <cfRule type="containsText" dxfId="10737" priority="3722" operator="containsText" text="Done">
      <formula>NOT(ISERROR(SEARCH("Done",Z3)))</formula>
    </cfRule>
  </conditionalFormatting>
  <conditionalFormatting sqref="AT27">
    <cfRule type="containsText" dxfId="10736" priority="3723" operator="containsText" text="Done">
      <formula>NOT(ISERROR(SEARCH("Done",Z3)))</formula>
    </cfRule>
  </conditionalFormatting>
  <conditionalFormatting sqref="AU25 AV25">
    <cfRule type="containsText" dxfId="10735" priority="3724" operator="containsText" text="Done">
      <formula>NOT(ISERROR(SEARCH("Done",Z3)))</formula>
    </cfRule>
  </conditionalFormatting>
  <conditionalFormatting sqref="AU27 AV27">
    <cfRule type="containsText" dxfId="10734" priority="3725" operator="containsText" text="Done">
      <formula>NOT(ISERROR(SEARCH("Done",Z3)))</formula>
    </cfRule>
  </conditionalFormatting>
  <conditionalFormatting sqref="AU26">
    <cfRule type="containsText" dxfId="10733" priority="3726" operator="containsText" text="Done">
      <formula>NOT(ISERROR(SEARCH("Done",Z3)))</formula>
    </cfRule>
  </conditionalFormatting>
  <conditionalFormatting sqref="AU28 AV28">
    <cfRule type="containsText" dxfId="10732" priority="3727" operator="containsText" text="Done">
      <formula>NOT(ISERROR(SEARCH("Done",Z3)))</formula>
    </cfRule>
  </conditionalFormatting>
  <conditionalFormatting sqref="AU28">
    <cfRule type="containsText" dxfId="10731" priority="3728" operator="containsText" text="Done">
      <formula>NOT(ISERROR(SEARCH("Done",Z3)))</formula>
    </cfRule>
  </conditionalFormatting>
  <conditionalFormatting sqref="AX23">
    <cfRule type="containsText" dxfId="10730" priority="3729" operator="containsText" text="Done">
      <formula>NOT(ISERROR(SEARCH("Done",Z3)))</formula>
    </cfRule>
  </conditionalFormatting>
  <conditionalFormatting sqref="AY23">
    <cfRule type="containsText" dxfId="10729" priority="3730" operator="containsText" text="Done">
      <formula>NOT(ISERROR(SEARCH("Done",Z3)))</formula>
    </cfRule>
  </conditionalFormatting>
  <conditionalFormatting sqref="AZ23">
    <cfRule type="containsText" dxfId="10728" priority="3731" operator="containsText" text="Done">
      <formula>NOT(ISERROR(SEARCH("Done",Z3)))</formula>
    </cfRule>
  </conditionalFormatting>
  <conditionalFormatting sqref="AY26">
    <cfRule type="containsText" dxfId="10727" priority="3732" operator="containsText" text="Done">
      <formula>NOT(ISERROR(SEARCH("Done",Z3)))</formula>
    </cfRule>
  </conditionalFormatting>
  <conditionalFormatting sqref="AY28">
    <cfRule type="containsText" dxfId="10726" priority="3733" operator="containsText" text="Done">
      <formula>NOT(ISERROR(SEARCH("Done",Z3)))</formula>
    </cfRule>
  </conditionalFormatting>
  <conditionalFormatting sqref="AZ28">
    <cfRule type="containsText" dxfId="10725" priority="3734" operator="containsText" text="Done">
      <formula>NOT(ISERROR(SEARCH("Done",Z3)))</formula>
    </cfRule>
  </conditionalFormatting>
  <conditionalFormatting sqref="AS56">
    <cfRule type="containsText" dxfId="10724" priority="3735" operator="containsText" text="Done">
      <formula>NOT(ISERROR(SEARCH("Done",Z3)))</formula>
    </cfRule>
  </conditionalFormatting>
  <conditionalFormatting sqref="AS56">
    <cfRule type="containsText" dxfId="10723" priority="3736" operator="containsText" text="Done">
      <formula>NOT(ISERROR(SEARCH("Done",Z3)))</formula>
    </cfRule>
  </conditionalFormatting>
  <conditionalFormatting sqref="AT55">
    <cfRule type="containsText" dxfId="10722" priority="3737" operator="containsText" text="Done">
      <formula>NOT(ISERROR(SEARCH("Done",Z3)))</formula>
    </cfRule>
  </conditionalFormatting>
  <conditionalFormatting sqref="AT55">
    <cfRule type="containsText" dxfId="10721" priority="3738" operator="containsText" text="Done">
      <formula>NOT(ISERROR(SEARCH("Done",Z3)))</formula>
    </cfRule>
  </conditionalFormatting>
  <conditionalFormatting sqref="AT56">
    <cfRule type="containsText" dxfId="10720" priority="3739" operator="containsText" text="Done">
      <formula>NOT(ISERROR(SEARCH("Done",Z3)))</formula>
    </cfRule>
  </conditionalFormatting>
  <conditionalFormatting sqref="AT56">
    <cfRule type="containsText" dxfId="10719" priority="3740" operator="containsText" text="Done">
      <formula>NOT(ISERROR(SEARCH("Done",Z3)))</formula>
    </cfRule>
  </conditionalFormatting>
  <conditionalFormatting sqref="AO25">
    <cfRule type="containsText" dxfId="10718" priority="3741" operator="containsText" text="Done">
      <formula>NOT(ISERROR(SEARCH("Done",Z3)))</formula>
    </cfRule>
  </conditionalFormatting>
  <conditionalFormatting sqref="AO25">
    <cfRule type="containsText" dxfId="10717" priority="3742" operator="containsText" text="Done">
      <formula>NOT(ISERROR(SEARCH("Done",Z3)))</formula>
    </cfRule>
  </conditionalFormatting>
  <conditionalFormatting sqref="AF26">
    <cfRule type="containsText" dxfId="10716" priority="3743" operator="containsText" text="Done">
      <formula>NOT(ISERROR(SEARCH("Done",Z3)))</formula>
    </cfRule>
  </conditionalFormatting>
  <conditionalFormatting sqref="AI26">
    <cfRule type="containsText" dxfId="10715" priority="3744" operator="containsText" text="Done">
      <formula>NOT(ISERROR(SEARCH("Done",Z3)))</formula>
    </cfRule>
  </conditionalFormatting>
  <conditionalFormatting sqref="AW26">
    <cfRule type="containsText" dxfId="10714" priority="3745" operator="containsText" text="Done">
      <formula>NOT(ISERROR(SEARCH("Done",Z3)))</formula>
    </cfRule>
  </conditionalFormatting>
  <conditionalFormatting sqref="AY41:AY52">
    <cfRule type="containsText" dxfId="10713" priority="3746" operator="containsText" text="Done">
      <formula>NOT(ISERROR(SEARCH("Done",Z3)))</formula>
    </cfRule>
  </conditionalFormatting>
  <conditionalFormatting sqref="AZ41:AZ52">
    <cfRule type="containsText" dxfId="10712" priority="3747" operator="containsText" text="Done">
      <formula>NOT(ISERROR(SEARCH("Done",Z3)))</formula>
    </cfRule>
  </conditionalFormatting>
  <conditionalFormatting sqref="AG42 AH42">
    <cfRule type="containsText" dxfId="10711" priority="3748" operator="containsText" text="Done">
      <formula>NOT(ISERROR(SEARCH("Done",Z3)))</formula>
    </cfRule>
  </conditionalFormatting>
  <conditionalFormatting sqref="AH47">
    <cfRule type="containsText" dxfId="10710" priority="3749" operator="containsText" text="Done">
      <formula>NOT(ISERROR(SEARCH("Done",Z3)))</formula>
    </cfRule>
  </conditionalFormatting>
  <conditionalFormatting sqref="AH47">
    <cfRule type="containsText" dxfId="10709" priority="3750" operator="containsText" text="Done">
      <formula>NOT(ISERROR(SEARCH("Done",Z3)))</formula>
    </cfRule>
  </conditionalFormatting>
  <conditionalFormatting sqref="AH47">
    <cfRule type="containsText" dxfId="10708" priority="3751" operator="containsText" text="Done">
      <formula>NOT(ISERROR(SEARCH("Done",Z3)))</formula>
    </cfRule>
  </conditionalFormatting>
  <conditionalFormatting sqref="AH49">
    <cfRule type="containsText" dxfId="10707" priority="3752" operator="containsText" text="Done">
      <formula>NOT(ISERROR(SEARCH("Done",Z3)))</formula>
    </cfRule>
  </conditionalFormatting>
  <conditionalFormatting sqref="AH43">
    <cfRule type="containsText" dxfId="10706" priority="3753" operator="containsText" text="Done">
      <formula>NOT(ISERROR(SEARCH("Done",Z3)))</formula>
    </cfRule>
  </conditionalFormatting>
  <conditionalFormatting sqref="AH43">
    <cfRule type="containsText" dxfId="10705" priority="3754" operator="containsText" text="Done">
      <formula>NOT(ISERROR(SEARCH("Done",Z3)))</formula>
    </cfRule>
  </conditionalFormatting>
  <conditionalFormatting sqref="AU43">
    <cfRule type="containsText" dxfId="10704" priority="3755" operator="containsText" text="Done">
      <formula>NOT(ISERROR(SEARCH("Done",Z3)))</formula>
    </cfRule>
  </conditionalFormatting>
  <conditionalFormatting sqref="AU44">
    <cfRule type="containsText" dxfId="10703" priority="3756" operator="containsText" text="Done">
      <formula>NOT(ISERROR(SEARCH("Done",Z3)))</formula>
    </cfRule>
  </conditionalFormatting>
  <conditionalFormatting sqref="AU46">
    <cfRule type="containsText" dxfId="10702" priority="3757" operator="containsText" text="Done">
      <formula>NOT(ISERROR(SEARCH("Done",Z3)))</formula>
    </cfRule>
  </conditionalFormatting>
  <conditionalFormatting sqref="AU47">
    <cfRule type="containsText" dxfId="10701" priority="3758" operator="containsText" text="Done">
      <formula>NOT(ISERROR(SEARCH("Done",Z3)))</formula>
    </cfRule>
  </conditionalFormatting>
  <conditionalFormatting sqref="AU48">
    <cfRule type="containsText" dxfId="10700" priority="3759" operator="containsText" text="Done">
      <formula>NOT(ISERROR(SEARCH("Done",Z3)))</formula>
    </cfRule>
  </conditionalFormatting>
  <conditionalFormatting sqref="AU49">
    <cfRule type="containsText" dxfId="10699" priority="3760" operator="containsText" text="Done">
      <formula>NOT(ISERROR(SEARCH("Done",Z3)))</formula>
    </cfRule>
  </conditionalFormatting>
  <conditionalFormatting sqref="AU50">
    <cfRule type="containsText" dxfId="10698" priority="3761" operator="containsText" text="Done">
      <formula>NOT(ISERROR(SEARCH("Done",Z3)))</formula>
    </cfRule>
  </conditionalFormatting>
  <conditionalFormatting sqref="AU51">
    <cfRule type="containsText" dxfId="10697" priority="3762" operator="containsText" text="Done">
      <formula>NOT(ISERROR(SEARCH("Done",Z3)))</formula>
    </cfRule>
  </conditionalFormatting>
  <conditionalFormatting sqref="AU52">
    <cfRule type="containsText" dxfId="10696" priority="3763" operator="containsText" text="Done">
      <formula>NOT(ISERROR(SEARCH("Done",Z3)))</formula>
    </cfRule>
  </conditionalFormatting>
  <conditionalFormatting sqref="AV42:AV43">
    <cfRule type="containsText" dxfId="10695" priority="3764" operator="containsText" text="Done">
      <formula>NOT(ISERROR(SEARCH("Done",Z3)))</formula>
    </cfRule>
  </conditionalFormatting>
  <conditionalFormatting sqref="AV43">
    <cfRule type="containsText" dxfId="10694" priority="3765" operator="containsText" text="Done">
      <formula>NOT(ISERROR(SEARCH("Done",Z3)))</formula>
    </cfRule>
  </conditionalFormatting>
  <conditionalFormatting sqref="AV41">
    <cfRule type="containsText" dxfId="10693" priority="3766" operator="containsText" text="Done">
      <formula>NOT(ISERROR(SEARCH("Done",Z3)))</formula>
    </cfRule>
  </conditionalFormatting>
  <conditionalFormatting sqref="AV45:AV52">
    <cfRule type="containsText" dxfId="10692" priority="3767" operator="containsText" text="Done">
      <formula>NOT(ISERROR(SEARCH("Done",Z3)))</formula>
    </cfRule>
  </conditionalFormatting>
  <conditionalFormatting sqref="AV46">
    <cfRule type="containsText" dxfId="10691" priority="3768" operator="containsText" text="Done">
      <formula>NOT(ISERROR(SEARCH("Done",Z3)))</formula>
    </cfRule>
  </conditionalFormatting>
  <conditionalFormatting sqref="AV47">
    <cfRule type="containsText" dxfId="10690" priority="3769" operator="containsText" text="Done">
      <formula>NOT(ISERROR(SEARCH("Done",Z3)))</formula>
    </cfRule>
  </conditionalFormatting>
  <conditionalFormatting sqref="AV48">
    <cfRule type="containsText" dxfId="10689" priority="3770" operator="containsText" text="Done">
      <formula>NOT(ISERROR(SEARCH("Done",Z3)))</formula>
    </cfRule>
  </conditionalFormatting>
  <conditionalFormatting sqref="AV49">
    <cfRule type="containsText" dxfId="10688" priority="3771" operator="containsText" text="Done">
      <formula>NOT(ISERROR(SEARCH("Done",Z3)))</formula>
    </cfRule>
  </conditionalFormatting>
  <conditionalFormatting sqref="AV50">
    <cfRule type="containsText" dxfId="10687" priority="3772" operator="containsText" text="Done">
      <formula>NOT(ISERROR(SEARCH("Done",Z3)))</formula>
    </cfRule>
  </conditionalFormatting>
  <conditionalFormatting sqref="AV51">
    <cfRule type="containsText" dxfId="10686" priority="3773" operator="containsText" text="Done">
      <formula>NOT(ISERROR(SEARCH("Done",Z3)))</formula>
    </cfRule>
  </conditionalFormatting>
  <conditionalFormatting sqref="AV52">
    <cfRule type="containsText" dxfId="10685" priority="3774" operator="containsText" text="Done">
      <formula>NOT(ISERROR(SEARCH("Done",Z3)))</formula>
    </cfRule>
  </conditionalFormatting>
  <conditionalFormatting sqref="AW33:AW40">
    <cfRule type="containsText" dxfId="10684" priority="3775" operator="containsText" text="Done">
      <formula>NOT(ISERROR(SEARCH("Done",Z3)))</formula>
    </cfRule>
  </conditionalFormatting>
  <conditionalFormatting sqref="AY32:AY40">
    <cfRule type="containsText" dxfId="10683" priority="3776" operator="containsText" text="Done">
      <formula>NOT(ISERROR(SEARCH("Done",Z3)))</formula>
    </cfRule>
  </conditionalFormatting>
  <conditionalFormatting sqref="AZ32:AZ40">
    <cfRule type="containsText" dxfId="10682" priority="3777" operator="containsText" text="Done">
      <formula>NOT(ISERROR(SEARCH("Done",Z3)))</formula>
    </cfRule>
  </conditionalFormatting>
  <conditionalFormatting sqref="AJ33 AK33 AL33 AM33 AN33 AO33 AP33 AQ33 AR33 AS33 AT33">
    <cfRule type="containsText" dxfId="10681" priority="3778" operator="containsText" text="Done">
      <formula>NOT(ISERROR(SEARCH("Done",Z3)))</formula>
    </cfRule>
  </conditionalFormatting>
  <conditionalFormatting sqref="AS34">
    <cfRule type="containsText" dxfId="10680" priority="3779" operator="containsText" text="Done">
      <formula>NOT(ISERROR(SEARCH("Done",Z3)))</formula>
    </cfRule>
  </conditionalFormatting>
  <conditionalFormatting sqref="AP35:AP36 AQ35:AQ36">
    <cfRule type="containsText" dxfId="10679" priority="3780" operator="containsText" text="Done">
      <formula>NOT(ISERROR(SEARCH("Done",Z3)))</formula>
    </cfRule>
  </conditionalFormatting>
  <conditionalFormatting sqref="AL39">
    <cfRule type="containsText" dxfId="10678" priority="3781" operator="containsText" text="Done">
      <formula>NOT(ISERROR(SEARCH("Done",Z3)))</formula>
    </cfRule>
  </conditionalFormatting>
  <conditionalFormatting sqref="AX31">
    <cfRule type="containsText" dxfId="10677" priority="3782" operator="containsText" text="Done">
      <formula>NOT(ISERROR(SEARCH("Done",Z3)))</formula>
    </cfRule>
  </conditionalFormatting>
  <conditionalFormatting sqref="AX31">
    <cfRule type="containsText" dxfId="10676" priority="3783" operator="containsText" text="Done">
      <formula>NOT(ISERROR(SEARCH("Done",Z3)))</formula>
    </cfRule>
  </conditionalFormatting>
  <conditionalFormatting sqref="AY31">
    <cfRule type="containsText" dxfId="10675" priority="3784" operator="containsText" text="Done">
      <formula>NOT(ISERROR(SEARCH("Done",Z3)))</formula>
    </cfRule>
  </conditionalFormatting>
  <conditionalFormatting sqref="AY31">
    <cfRule type="containsText" dxfId="10674" priority="3785" operator="containsText" text="Done">
      <formula>NOT(ISERROR(SEARCH("Done",Z3)))</formula>
    </cfRule>
  </conditionalFormatting>
  <conditionalFormatting sqref="AZ31">
    <cfRule type="containsText" dxfId="10673" priority="3786" operator="containsText" text="Done">
      <formula>NOT(ISERROR(SEARCH("Done",Z3)))</formula>
    </cfRule>
  </conditionalFormatting>
  <conditionalFormatting sqref="AZ31">
    <cfRule type="containsText" dxfId="10672" priority="3787" operator="containsText" text="Done">
      <formula>NOT(ISERROR(SEARCH("Done",Z3)))</formula>
    </cfRule>
  </conditionalFormatting>
  <conditionalFormatting sqref="AV24:AV25">
    <cfRule type="containsText" dxfId="10671" priority="3788" operator="containsText" text="Done">
      <formula>NOT(ISERROR(SEARCH("Done",Z3)))</formula>
    </cfRule>
  </conditionalFormatting>
  <conditionalFormatting sqref="AV25">
    <cfRule type="containsText" dxfId="10670" priority="3789" operator="containsText" text="Done">
      <formula>NOT(ISERROR(SEARCH("Done",Z3)))</formula>
    </cfRule>
  </conditionalFormatting>
  <conditionalFormatting sqref="AW24:AW25">
    <cfRule type="containsText" dxfId="10669" priority="3790" operator="containsText" text="Done">
      <formula>NOT(ISERROR(SEARCH("Done",Z3)))</formula>
    </cfRule>
  </conditionalFormatting>
  <conditionalFormatting sqref="AW25">
    <cfRule type="containsText" dxfId="10668" priority="3791" operator="containsText" text="Done">
      <formula>NOT(ISERROR(SEARCH("Done",Z3)))</formula>
    </cfRule>
  </conditionalFormatting>
  <conditionalFormatting sqref="AX24:AX25">
    <cfRule type="containsText" dxfId="10667" priority="3792" operator="containsText" text="Done">
      <formula>NOT(ISERROR(SEARCH("Done",Z3)))</formula>
    </cfRule>
  </conditionalFormatting>
  <conditionalFormatting sqref="AX25">
    <cfRule type="containsText" dxfId="10666" priority="3793" operator="containsText" text="Done">
      <formula>NOT(ISERROR(SEARCH("Done",Z3)))</formula>
    </cfRule>
  </conditionalFormatting>
  <conditionalFormatting sqref="AY24:AY25">
    <cfRule type="containsText" dxfId="10665" priority="3794" operator="containsText" text="Done">
      <formula>NOT(ISERROR(SEARCH("Done",Z3)))</formula>
    </cfRule>
  </conditionalFormatting>
  <conditionalFormatting sqref="AY25">
    <cfRule type="containsText" dxfId="10664" priority="3795" operator="containsText" text="Done">
      <formula>NOT(ISERROR(SEARCH("Done",Z3)))</formula>
    </cfRule>
  </conditionalFormatting>
  <conditionalFormatting sqref="AZ24:AZ25">
    <cfRule type="containsText" dxfId="10663" priority="3796" operator="containsText" text="Done">
      <formula>NOT(ISERROR(SEARCH("Done",Z3)))</formula>
    </cfRule>
  </conditionalFormatting>
  <conditionalFormatting sqref="AZ25">
    <cfRule type="containsText" dxfId="10662" priority="3797" operator="containsText" text="Done">
      <formula>NOT(ISERROR(SEARCH("Done",Z3)))</formula>
    </cfRule>
  </conditionalFormatting>
  <conditionalFormatting sqref="AA4:AA16 AA18:AA37 AA39:AA40">
    <cfRule type="containsText" dxfId="10661" priority="5" operator="containsText" text="Pending">
      <formula>NOT(ISERROR(SEARCH("Pending",Z3)))</formula>
    </cfRule>
  </conditionalFormatting>
  <conditionalFormatting sqref="AB4:AB16 AB18:AB22 AB25 AB28 AB30:AB34 AB38:AB41 AB53:AB55">
    <cfRule type="containsText" dxfId="10660" priority="3798" operator="containsText" text="Pending">
      <formula>NOT(ISERROR(SEARCH("Pending",Z3)))</formula>
    </cfRule>
  </conditionalFormatting>
  <conditionalFormatting sqref="AB56">
    <cfRule type="containsText" dxfId="10659" priority="3799" operator="containsText" text="Pending">
      <formula>NOT(ISERROR(SEARCH("Pending",Z3)))</formula>
    </cfRule>
  </conditionalFormatting>
  <conditionalFormatting sqref="AC4:AC16 AC18:AC22 AC26:AC29 AC32 AC41 AC48:AC55">
    <cfRule type="containsText" dxfId="10658" priority="3800" operator="containsText" text="Pending">
      <formula>NOT(ISERROR(SEARCH("Pending",Z3)))</formula>
    </cfRule>
  </conditionalFormatting>
  <conditionalFormatting sqref="AC56">
    <cfRule type="containsText" dxfId="10657" priority="3801" operator="containsText" text="Pending">
      <formula>NOT(ISERROR(SEARCH("Pending",Z3)))</formula>
    </cfRule>
  </conditionalFormatting>
  <conditionalFormatting sqref="AE4:AE55 AF4:AF16 AF18:AF24 AF27:AF55 AG4:AG55 AH4:AH16 AH18:AH55 AI4:AI16 AI18:AI55 AJ4:AJ16 AJ18:AJ55 AK4:AK16 AK18:AK55 AL4:AL16 AL18:AL55 AM4:AM16 AM18:AM55 AN4:AN16 AN18:AN55 AO4:AO16 AO18:AO55 AP4:AP16 AP18:AP55 AQ4:AQ16 AQ18:AQ55 AR4:AR16 AR18:AR55 AS4:AS16 AS18:AS55 AT4:AT16 AT18:AT55 AU4:AU16 AU18:AU55 AV4:AV16 AV18:AV55 AW4:AW16 AW18:AW55 AX4:AX16 AX18:AX55 AY4:AY16 AY18:AY55 AZ4:AZ16 AZ18:AZ55 BA4:BA55">
    <cfRule type="containsText" dxfId="10656" priority="3802" operator="containsText" text="Pending">
      <formula>NOT(ISERROR(SEARCH("Pending",Z3)))</formula>
    </cfRule>
  </conditionalFormatting>
  <conditionalFormatting sqref="AE56 AF56 AH56 AI56 AO56 AP56 AQ56 BA56">
    <cfRule type="containsText" dxfId="10655" priority="3803" operator="containsText" text="Pending">
      <formula>NOT(ISERROR(SEARCH("Pending",Z3)))</formula>
    </cfRule>
  </conditionalFormatting>
  <conditionalFormatting sqref="AE50 AF50">
    <cfRule type="containsText" dxfId="10654" priority="3804" operator="containsText" text="Pending">
      <formula>NOT(ISERROR(SEARCH("Pending",Z3)))</formula>
    </cfRule>
  </conditionalFormatting>
  <conditionalFormatting sqref="AG5 AH5">
    <cfRule type="containsText" dxfId="10653" priority="3805" operator="containsText" text="Pending">
      <formula>NOT(ISERROR(SEARCH("Pending",Z3)))</formula>
    </cfRule>
  </conditionalFormatting>
  <conditionalFormatting sqref="AG6 AH6">
    <cfRule type="containsText" dxfId="10652" priority="3806" operator="containsText" text="Pending">
      <formula>NOT(ISERROR(SEARCH("Pending",Z3)))</formula>
    </cfRule>
  </conditionalFormatting>
  <conditionalFormatting sqref="AJ6 AK6">
    <cfRule type="containsText" dxfId="10651" priority="3807" operator="containsText" text="Pending">
      <formula>NOT(ISERROR(SEARCH("Pending",Z3)))</formula>
    </cfRule>
  </conditionalFormatting>
  <conditionalFormatting sqref="AA6">
    <cfRule type="containsText" dxfId="10650" priority="3808" operator="containsText" text="Pending">
      <formula>NOT(ISERROR(SEARCH("Pending",Z3)))</formula>
    </cfRule>
  </conditionalFormatting>
  <conditionalFormatting sqref="AA7">
    <cfRule type="containsText" dxfId="10649" priority="3809" operator="containsText" text="Pending">
      <formula>NOT(ISERROR(SEARCH("Pending",Z3)))</formula>
    </cfRule>
  </conditionalFormatting>
  <conditionalFormatting sqref="AA9">
    <cfRule type="containsText" dxfId="10648" priority="3810" operator="containsText" text="Pending">
      <formula>NOT(ISERROR(SEARCH("Pending",Z3)))</formula>
    </cfRule>
  </conditionalFormatting>
  <conditionalFormatting sqref="AA4">
    <cfRule type="containsText" dxfId="10647" priority="3811" operator="containsText" text="Pending">
      <formula>NOT(ISERROR(SEARCH("Pending",Z3)))</formula>
    </cfRule>
  </conditionalFormatting>
  <conditionalFormatting sqref="AA3">
    <cfRule type="containsText" dxfId="10646" priority="3812" operator="containsText" text="Pending">
      <formula>NOT(ISERROR(SEARCH("Pending",Z3)))</formula>
    </cfRule>
  </conditionalFormatting>
  <conditionalFormatting sqref="AF8">
    <cfRule type="containsText" dxfId="10645" priority="3813" operator="containsText" text="Pending">
      <formula>NOT(ISERROR(SEARCH("Pending",Z3)))</formula>
    </cfRule>
  </conditionalFormatting>
  <conditionalFormatting sqref="AE4 AF4 AG4 AH4 AI4 AJ4 AK4 AL4 AM4 AN4 AO4 AP4 AQ4 AR4 AS4 AT4 AU4 AV4 AW4 AX4 AY4 AZ4">
    <cfRule type="containsText" dxfId="10644" priority="3814" operator="containsText" text="Pending">
      <formula>NOT(ISERROR(SEARCH("Pending",Z3)))</formula>
    </cfRule>
  </conditionalFormatting>
  <conditionalFormatting sqref="AF4">
    <cfRule type="containsText" dxfId="10643" priority="3815" operator="containsText" text="Pending">
      <formula>NOT(ISERROR(SEARCH("Pending",Z3)))</formula>
    </cfRule>
  </conditionalFormatting>
  <conditionalFormatting sqref="AG3 AH3">
    <cfRule type="containsText" dxfId="10642" priority="3816" operator="containsText" text="Pending">
      <formula>NOT(ISERROR(SEARCH("Pending",Z3)))</formula>
    </cfRule>
  </conditionalFormatting>
  <conditionalFormatting sqref="AG3 AH3">
    <cfRule type="containsText" dxfId="10641" priority="3817" operator="containsText" text="Pending">
      <formula>NOT(ISERROR(SEARCH("Pending",Z3)))</formula>
    </cfRule>
  </conditionalFormatting>
  <conditionalFormatting sqref="AJ3 AK3 AL3 AM3 AN3 AO3 AP3 AQ3 AR3 AS3 AT3">
    <cfRule type="containsText" dxfId="10640" priority="3818" operator="containsText" text="Pending">
      <formula>NOT(ISERROR(SEARCH("Pending",Z3)))</formula>
    </cfRule>
  </conditionalFormatting>
  <conditionalFormatting sqref="AU3 AV3 AW3 AX3 AY3 AZ3">
    <cfRule type="containsText" dxfId="10639" priority="3819" operator="containsText" text="Pending">
      <formula>NOT(ISERROR(SEARCH("Pending",Z3)))</formula>
    </cfRule>
  </conditionalFormatting>
  <conditionalFormatting sqref="AG54">
    <cfRule type="containsText" dxfId="10638" priority="3820" operator="containsText" text="Pending">
      <formula>NOT(ISERROR(SEARCH("Pending",Z3)))</formula>
    </cfRule>
  </conditionalFormatting>
  <conditionalFormatting sqref="AF25">
    <cfRule type="containsText" dxfId="10637" priority="3821" operator="containsText" text="Pending">
      <formula>NOT(ISERROR(SEARCH("Pending",Z3)))</formula>
    </cfRule>
  </conditionalFormatting>
  <conditionalFormatting sqref="AF31">
    <cfRule type="containsText" dxfId="10636" priority="3822" operator="containsText" text="Pending">
      <formula>NOT(ISERROR(SEARCH("Pending",Z3)))</formula>
    </cfRule>
  </conditionalFormatting>
  <conditionalFormatting sqref="AF30">
    <cfRule type="containsText" dxfId="10635" priority="3823" operator="containsText" text="Pending">
      <formula>NOT(ISERROR(SEARCH("Pending",Z3)))</formula>
    </cfRule>
  </conditionalFormatting>
  <conditionalFormatting sqref="AE30">
    <cfRule type="containsText" dxfId="10634" priority="3824" operator="containsText" text="Pending">
      <formula>NOT(ISERROR(SEARCH("Pending",Z3)))</formula>
    </cfRule>
  </conditionalFormatting>
  <conditionalFormatting sqref="AE31">
    <cfRule type="containsText" dxfId="10633" priority="3825" operator="containsText" text="Pending">
      <formula>NOT(ISERROR(SEARCH("Pending",Z3)))</formula>
    </cfRule>
  </conditionalFormatting>
  <conditionalFormatting sqref="AE28">
    <cfRule type="containsText" dxfId="10632" priority="3826" operator="containsText" text="Pending">
      <formula>NOT(ISERROR(SEARCH("Pending",Z3)))</formula>
    </cfRule>
  </conditionalFormatting>
  <conditionalFormatting sqref="AE15:AE16">
    <cfRule type="containsText" dxfId="10631" priority="3827" operator="containsText" text="Pending">
      <formula>NOT(ISERROR(SEARCH("Pending",Z3)))</formula>
    </cfRule>
  </conditionalFormatting>
  <conditionalFormatting sqref="AF15:AF16">
    <cfRule type="containsText" dxfId="10630" priority="3828" operator="containsText" text="Pending">
      <formula>NOT(ISERROR(SEARCH("Pending",Z3)))</formula>
    </cfRule>
  </conditionalFormatting>
  <conditionalFormatting sqref="AB24">
    <cfRule type="containsText" dxfId="10629" priority="3829" operator="containsText" text="Pending">
      <formula>NOT(ISERROR(SEARCH("Pending",Z3)))</formula>
    </cfRule>
  </conditionalFormatting>
  <conditionalFormatting sqref="AB26">
    <cfRule type="containsText" dxfId="10628" priority="3830" operator="containsText" text="Pending">
      <formula>NOT(ISERROR(SEARCH("Pending",Z3)))</formula>
    </cfRule>
  </conditionalFormatting>
  <conditionalFormatting sqref="AB27">
    <cfRule type="containsText" dxfId="10627" priority="3831" operator="containsText" text="Pending">
      <formula>NOT(ISERROR(SEARCH("Pending",Z3)))</formula>
    </cfRule>
  </conditionalFormatting>
  <conditionalFormatting sqref="AB29">
    <cfRule type="containsText" dxfId="10626" priority="3832" operator="containsText" text="Pending">
      <formula>NOT(ISERROR(SEARCH("Pending",Z3)))</formula>
    </cfRule>
  </conditionalFormatting>
  <conditionalFormatting sqref="AC23">
    <cfRule type="containsText" dxfId="10625" priority="3833" operator="containsText" text="Pending">
      <formula>NOT(ISERROR(SEARCH("Pending",Z3)))</formula>
    </cfRule>
  </conditionalFormatting>
  <conditionalFormatting sqref="AC24">
    <cfRule type="containsText" dxfId="10624" priority="3834" operator="containsText" text="Pending">
      <formula>NOT(ISERROR(SEARCH("Pending",Z3)))</formula>
    </cfRule>
  </conditionalFormatting>
  <conditionalFormatting sqref="AC25">
    <cfRule type="containsText" dxfId="10623" priority="3835" operator="containsText" text="Pending">
      <formula>NOT(ISERROR(SEARCH("Pending",Z3)))</formula>
    </cfRule>
  </conditionalFormatting>
  <conditionalFormatting sqref="AC30">
    <cfRule type="containsText" dxfId="10622" priority="3836" operator="containsText" text="Pending">
      <formula>NOT(ISERROR(SEARCH("Pending",Z3)))</formula>
    </cfRule>
  </conditionalFormatting>
  <conditionalFormatting sqref="AC31">
    <cfRule type="containsText" dxfId="10621" priority="3837" operator="containsText" text="Pending">
      <formula>NOT(ISERROR(SEARCH("Pending",Z3)))</formula>
    </cfRule>
  </conditionalFormatting>
  <conditionalFormatting sqref="AB23">
    <cfRule type="containsText" dxfId="10620" priority="3838" operator="containsText" text="Pending">
      <formula>NOT(ISERROR(SEARCH("Pending",Z3)))</formula>
    </cfRule>
  </conditionalFormatting>
  <conditionalFormatting sqref="AL12">
    <cfRule type="containsText" dxfId="10619" priority="3839" operator="containsText" text="Pending">
      <formula>NOT(ISERROR(SEARCH("Pending",Z3)))</formula>
    </cfRule>
  </conditionalFormatting>
  <conditionalFormatting sqref="AG14 AH14">
    <cfRule type="containsText" dxfId="10618" priority="3840" operator="containsText" text="Pending">
      <formula>NOT(ISERROR(SEARCH("Pending",Z3)))</formula>
    </cfRule>
  </conditionalFormatting>
  <conditionalFormatting sqref="AJ14">
    <cfRule type="containsText" dxfId="10617" priority="3841" operator="containsText" text="Pending">
      <formula>NOT(ISERROR(SEARCH("Pending",Z3)))</formula>
    </cfRule>
  </conditionalFormatting>
  <conditionalFormatting sqref="AK14">
    <cfRule type="containsText" dxfId="10616" priority="3842" operator="containsText" text="Pending">
      <formula>NOT(ISERROR(SEARCH("Pending",Z3)))</formula>
    </cfRule>
  </conditionalFormatting>
  <conditionalFormatting sqref="AJ18">
    <cfRule type="containsText" dxfId="10615" priority="3843" operator="containsText" text="Pending">
      <formula>NOT(ISERROR(SEARCH("Pending",Z3)))</formula>
    </cfRule>
  </conditionalFormatting>
  <conditionalFormatting sqref="AG20 AH20 AI20">
    <cfRule type="containsText" dxfId="10614" priority="3844" operator="containsText" text="Pending">
      <formula>NOT(ISERROR(SEARCH("Pending",Z3)))</formula>
    </cfRule>
  </conditionalFormatting>
  <conditionalFormatting sqref="AO49">
    <cfRule type="containsText" dxfId="10613" priority="3845" operator="containsText" text="Pending">
      <formula>NOT(ISERROR(SEARCH("Pending",Z3)))</formula>
    </cfRule>
  </conditionalFormatting>
  <conditionalFormatting sqref="AO50">
    <cfRule type="containsText" dxfId="10612" priority="3846" operator="containsText" text="Pending">
      <formula>NOT(ISERROR(SEARCH("Pending",Z3)))</formula>
    </cfRule>
  </conditionalFormatting>
  <conditionalFormatting sqref="AO50">
    <cfRule type="containsText" dxfId="10611" priority="3847" operator="containsText" text="Pending">
      <formula>NOT(ISERROR(SEARCH("Pending",Z3)))</formula>
    </cfRule>
  </conditionalFormatting>
  <conditionalFormatting sqref="AO51">
    <cfRule type="containsText" dxfId="10610" priority="3848" operator="containsText" text="Pending">
      <formula>NOT(ISERROR(SEARCH("Pending",Z3)))</formula>
    </cfRule>
  </conditionalFormatting>
  <conditionalFormatting sqref="AO51">
    <cfRule type="containsText" dxfId="10609" priority="3849" operator="containsText" text="Pending">
      <formula>NOT(ISERROR(SEARCH("Pending",Z3)))</formula>
    </cfRule>
  </conditionalFormatting>
  <conditionalFormatting sqref="AO51">
    <cfRule type="containsText" dxfId="10608" priority="3850" operator="containsText" text="Pending">
      <formula>NOT(ISERROR(SEARCH("Pending",Z3)))</formula>
    </cfRule>
  </conditionalFormatting>
  <conditionalFormatting sqref="AC49:AC50">
    <cfRule type="containsText" dxfId="10607" priority="3851" operator="containsText" text="Pending">
      <formula>NOT(ISERROR(SEARCH("Pending",Z3)))</formula>
    </cfRule>
  </conditionalFormatting>
  <conditionalFormatting sqref="AB48">
    <cfRule type="containsText" dxfId="10606" priority="3852" operator="containsText" text="Pending">
      <formula>NOT(ISERROR(SEARCH("Pending",Z3)))</formula>
    </cfRule>
  </conditionalFormatting>
  <conditionalFormatting sqref="AB49:AB50">
    <cfRule type="containsText" dxfId="10605" priority="3853" operator="containsText" text="Pending">
      <formula>NOT(ISERROR(SEARCH("Pending",Z3)))</formula>
    </cfRule>
  </conditionalFormatting>
  <conditionalFormatting sqref="AB51:AB52">
    <cfRule type="containsText" dxfId="10604" priority="3854" operator="containsText" text="Pending">
      <formula>NOT(ISERROR(SEARCH("Pending",Z3)))</formula>
    </cfRule>
  </conditionalFormatting>
  <conditionalFormatting sqref="AV15">
    <cfRule type="containsText" dxfId="10603" priority="3855" operator="containsText" text="Pending">
      <formula>NOT(ISERROR(SEARCH("Pending",Z3)))</formula>
    </cfRule>
  </conditionalFormatting>
  <conditionalFormatting sqref="AW15">
    <cfRule type="containsText" dxfId="10602" priority="3856" operator="containsText" text="Pending">
      <formula>NOT(ISERROR(SEARCH("Pending",Z3)))</formula>
    </cfRule>
  </conditionalFormatting>
  <conditionalFormatting sqref="AX15">
    <cfRule type="containsText" dxfId="10601" priority="3857" operator="containsText" text="Pending">
      <formula>NOT(ISERROR(SEARCH("Pending",Z3)))</formula>
    </cfRule>
  </conditionalFormatting>
  <conditionalFormatting sqref="AY15">
    <cfRule type="containsText" dxfId="10600" priority="3858" operator="containsText" text="Pending">
      <formula>NOT(ISERROR(SEARCH("Pending",Z3)))</formula>
    </cfRule>
  </conditionalFormatting>
  <conditionalFormatting sqref="AZ15">
    <cfRule type="containsText" dxfId="10599" priority="3859" operator="containsText" text="Pending">
      <formula>NOT(ISERROR(SEARCH("Pending",Z3)))</formula>
    </cfRule>
  </conditionalFormatting>
  <conditionalFormatting sqref="AA11">
    <cfRule type="containsText" dxfId="10598" priority="3860" operator="containsText" text="Pending">
      <formula>NOT(ISERROR(SEARCH("Pending",Z3)))</formula>
    </cfRule>
  </conditionalFormatting>
  <conditionalFormatting sqref="AB11">
    <cfRule type="containsText" dxfId="10597" priority="3861" operator="containsText" text="Pending">
      <formula>NOT(ISERROR(SEARCH("Pending",Z3)))</formula>
    </cfRule>
  </conditionalFormatting>
  <conditionalFormatting sqref="AC11">
    <cfRule type="containsText" dxfId="10596" priority="3862" operator="containsText" text="Pending">
      <formula>NOT(ISERROR(SEARCH("Pending",Z3)))</formula>
    </cfRule>
  </conditionalFormatting>
  <conditionalFormatting sqref="AA13">
    <cfRule type="containsText" dxfId="10595" priority="3863" operator="containsText" text="Pending">
      <formula>NOT(ISERROR(SEARCH("Pending",Z3)))</formula>
    </cfRule>
  </conditionalFormatting>
  <conditionalFormatting sqref="AB13">
    <cfRule type="containsText" dxfId="10594" priority="3864" operator="containsText" text="Pending">
      <formula>NOT(ISERROR(SEARCH("Pending",Z3)))</formula>
    </cfRule>
  </conditionalFormatting>
  <conditionalFormatting sqref="AC13">
    <cfRule type="containsText" dxfId="10593" priority="3865" operator="containsText" text="Pending">
      <formula>NOT(ISERROR(SEARCH("Pending",Z3)))</formula>
    </cfRule>
  </conditionalFormatting>
  <conditionalFormatting sqref="AA19">
    <cfRule type="containsText" dxfId="10592" priority="3866" operator="containsText" text="Pending">
      <formula>NOT(ISERROR(SEARCH("Pending",Z3)))</formula>
    </cfRule>
  </conditionalFormatting>
  <conditionalFormatting sqref="AB19">
    <cfRule type="containsText" dxfId="10591" priority="3867" operator="containsText" text="Pending">
      <formula>NOT(ISERROR(SEARCH("Pending",Z3)))</formula>
    </cfRule>
  </conditionalFormatting>
  <conditionalFormatting sqref="AC19">
    <cfRule type="containsText" dxfId="10590" priority="3868" operator="containsText" text="Pending">
      <formula>NOT(ISERROR(SEARCH("Pending",Z3)))</formula>
    </cfRule>
  </conditionalFormatting>
  <conditionalFormatting sqref="AB20">
    <cfRule type="containsText" dxfId="10589" priority="3869" operator="containsText" text="Pending">
      <formula>NOT(ISERROR(SEARCH("Pending",Z3)))</formula>
    </cfRule>
  </conditionalFormatting>
  <conditionalFormatting sqref="AC20">
    <cfRule type="containsText" dxfId="10588" priority="3870" operator="containsText" text="Pending">
      <formula>NOT(ISERROR(SEARCH("Pending",Z3)))</formula>
    </cfRule>
  </conditionalFormatting>
  <conditionalFormatting sqref="AD20">
    <cfRule type="containsText" dxfId="10587" priority="3871" operator="containsText" text="Pending">
      <formula>NOT(ISERROR(SEARCH("Pending",Z3)))</formula>
    </cfRule>
  </conditionalFormatting>
  <conditionalFormatting sqref="AB21">
    <cfRule type="containsText" dxfId="10586" priority="3872" operator="containsText" text="Pending">
      <formula>NOT(ISERROR(SEARCH("Pending",Z3)))</formula>
    </cfRule>
  </conditionalFormatting>
  <conditionalFormatting sqref="AC21">
    <cfRule type="containsText" dxfId="10585" priority="3873" operator="containsText" text="Pending">
      <formula>NOT(ISERROR(SEARCH("Pending",Z3)))</formula>
    </cfRule>
  </conditionalFormatting>
  <conditionalFormatting sqref="AD21">
    <cfRule type="containsText" dxfId="10584" priority="3874" operator="containsText" text="Pending">
      <formula>NOT(ISERROR(SEARCH("Pending",Z3)))</formula>
    </cfRule>
  </conditionalFormatting>
  <conditionalFormatting sqref="AG43">
    <cfRule type="containsText" dxfId="10583" priority="3875" operator="containsText" text="Pending">
      <formula>NOT(ISERROR(SEARCH("Pending",Z3)))</formula>
    </cfRule>
  </conditionalFormatting>
  <conditionalFormatting sqref="AG44">
    <cfRule type="containsText" dxfId="10582" priority="3876" operator="containsText" text="Pending">
      <formula>NOT(ISERROR(SEARCH("Pending",Z3)))</formula>
    </cfRule>
  </conditionalFormatting>
  <conditionalFormatting sqref="AG45">
    <cfRule type="containsText" dxfId="10581" priority="3877" operator="containsText" text="Pending">
      <formula>NOT(ISERROR(SEARCH("Pending",Z3)))</formula>
    </cfRule>
  </conditionalFormatting>
  <conditionalFormatting sqref="AG47">
    <cfRule type="containsText" dxfId="10580" priority="3878" operator="containsText" text="Pending">
      <formula>NOT(ISERROR(SEARCH("Pending",Z3)))</formula>
    </cfRule>
  </conditionalFormatting>
  <conditionalFormatting sqref="AG47">
    <cfRule type="containsText" dxfId="10579" priority="3879" operator="containsText" text="Pending">
      <formula>NOT(ISERROR(SEARCH("Pending",Z3)))</formula>
    </cfRule>
  </conditionalFormatting>
  <conditionalFormatting sqref="AH44:AH46">
    <cfRule type="containsText" dxfId="10578" priority="3880" operator="containsText" text="Pending">
      <formula>NOT(ISERROR(SEARCH("Pending",Z3)))</formula>
    </cfRule>
  </conditionalFormatting>
  <conditionalFormatting sqref="AH44">
    <cfRule type="containsText" dxfId="10577" priority="3881" operator="containsText" text="Pending">
      <formula>NOT(ISERROR(SEARCH("Pending",Z3)))</formula>
    </cfRule>
  </conditionalFormatting>
  <conditionalFormatting sqref="AH45">
    <cfRule type="containsText" dxfId="10576" priority="3882" operator="containsText" text="Pending">
      <formula>NOT(ISERROR(SEARCH("Pending",Z3)))</formula>
    </cfRule>
  </conditionalFormatting>
  <conditionalFormatting sqref="AH48">
    <cfRule type="containsText" dxfId="10575" priority="3883" operator="containsText" text="Pending">
      <formula>NOT(ISERROR(SEARCH("Pending",Z3)))</formula>
    </cfRule>
  </conditionalFormatting>
  <conditionalFormatting sqref="AH48">
    <cfRule type="containsText" dxfId="10574" priority="3884" operator="containsText" text="Pending">
      <formula>NOT(ISERROR(SEARCH("Pending",Z3)))</formula>
    </cfRule>
  </conditionalFormatting>
  <conditionalFormatting sqref="AH48">
    <cfRule type="containsText" dxfId="10573" priority="3885" operator="containsText" text="Pending">
      <formula>NOT(ISERROR(SEARCH("Pending",Z3)))</formula>
    </cfRule>
  </conditionalFormatting>
  <conditionalFormatting sqref="AH48">
    <cfRule type="containsText" dxfId="10572" priority="3886" operator="containsText" text="Pending">
      <formula>NOT(ISERROR(SEARCH("Pending",Z3)))</formula>
    </cfRule>
  </conditionalFormatting>
  <conditionalFormatting sqref="AR10">
    <cfRule type="containsText" dxfId="10571" priority="3887" operator="containsText" text="Pending">
      <formula>NOT(ISERROR(SEARCH("Pending",Z3)))</formula>
    </cfRule>
  </conditionalFormatting>
  <conditionalFormatting sqref="AT10">
    <cfRule type="containsText" dxfId="10570" priority="3888" operator="containsText" text="Pending">
      <formula>NOT(ISERROR(SEARCH("Pending",Z3)))</formula>
    </cfRule>
  </conditionalFormatting>
  <conditionalFormatting sqref="AA29">
    <cfRule type="containsText" dxfId="10569" priority="3889" operator="containsText" text="Pending">
      <formula>NOT(ISERROR(SEARCH("Pending",Z3)))</formula>
    </cfRule>
  </conditionalFormatting>
  <conditionalFormatting sqref="AA30">
    <cfRule type="containsText" dxfId="10568" priority="3890" operator="containsText" text="Pending">
      <formula>NOT(ISERROR(SEARCH("Pending",Z3)))</formula>
    </cfRule>
  </conditionalFormatting>
  <conditionalFormatting sqref="AA31">
    <cfRule type="containsText" dxfId="10567" priority="3891" operator="containsText" text="Pending">
      <formula>NOT(ISERROR(SEARCH("Pending",Z3)))</formula>
    </cfRule>
  </conditionalFormatting>
  <conditionalFormatting sqref="AF13">
    <cfRule type="containsText" dxfId="10566" priority="3892" operator="containsText" text="Pending">
      <formula>NOT(ISERROR(SEARCH("Pending",Z3)))</formula>
    </cfRule>
  </conditionalFormatting>
  <conditionalFormatting sqref="AH13">
    <cfRule type="containsText" dxfId="10565" priority="3893" operator="containsText" text="Pending">
      <formula>NOT(ISERROR(SEARCH("Pending",Z3)))</formula>
    </cfRule>
  </conditionalFormatting>
  <conditionalFormatting sqref="AI13">
    <cfRule type="containsText" dxfId="10564" priority="3894" operator="containsText" text="Pending">
      <formula>NOT(ISERROR(SEARCH("Pending",Z3)))</formula>
    </cfRule>
  </conditionalFormatting>
  <conditionalFormatting sqref="AJ13">
    <cfRule type="containsText" dxfId="10563" priority="3895" operator="containsText" text="Pending">
      <formula>NOT(ISERROR(SEARCH("Pending",Z3)))</formula>
    </cfRule>
  </conditionalFormatting>
  <conditionalFormatting sqref="AK13">
    <cfRule type="containsText" dxfId="10562" priority="3896" operator="containsText" text="Pending">
      <formula>NOT(ISERROR(SEARCH("Pending",Z3)))</formula>
    </cfRule>
  </conditionalFormatting>
  <conditionalFormatting sqref="AL13">
    <cfRule type="containsText" dxfId="10561" priority="3897" operator="containsText" text="Pending">
      <formula>NOT(ISERROR(SEARCH("Pending",Z3)))</formula>
    </cfRule>
  </conditionalFormatting>
  <conditionalFormatting sqref="AM13">
    <cfRule type="containsText" dxfId="10560" priority="3898" operator="containsText" text="Pending">
      <formula>NOT(ISERROR(SEARCH("Pending",Z3)))</formula>
    </cfRule>
  </conditionalFormatting>
  <conditionalFormatting sqref="AN13">
    <cfRule type="containsText" dxfId="10559" priority="3899" operator="containsText" text="Pending">
      <formula>NOT(ISERROR(SEARCH("Pending",Z3)))</formula>
    </cfRule>
  </conditionalFormatting>
  <conditionalFormatting sqref="AO13">
    <cfRule type="containsText" dxfId="10558" priority="3900" operator="containsText" text="Pending">
      <formula>NOT(ISERROR(SEARCH("Pending",Z3)))</formula>
    </cfRule>
  </conditionalFormatting>
  <conditionalFormatting sqref="AP13">
    <cfRule type="containsText" dxfId="10557" priority="3901" operator="containsText" text="Pending">
      <formula>NOT(ISERROR(SEARCH("Pending",Z3)))</formula>
    </cfRule>
  </conditionalFormatting>
  <conditionalFormatting sqref="AQ13">
    <cfRule type="containsText" dxfId="10556" priority="3902" operator="containsText" text="Pending">
      <formula>NOT(ISERROR(SEARCH("Pending",Z3)))</formula>
    </cfRule>
  </conditionalFormatting>
  <conditionalFormatting sqref="AR13">
    <cfRule type="containsText" dxfId="10555" priority="3903" operator="containsText" text="Pending">
      <formula>NOT(ISERROR(SEARCH("Pending",Z3)))</formula>
    </cfRule>
  </conditionalFormatting>
  <conditionalFormatting sqref="AS13">
    <cfRule type="containsText" dxfId="10554" priority="3904" operator="containsText" text="Pending">
      <formula>NOT(ISERROR(SEARCH("Pending",Z3)))</formula>
    </cfRule>
  </conditionalFormatting>
  <conditionalFormatting sqref="AT13">
    <cfRule type="containsText" dxfId="10553" priority="3905" operator="containsText" text="Pending">
      <formula>NOT(ISERROR(SEARCH("Pending",Z3)))</formula>
    </cfRule>
  </conditionalFormatting>
  <conditionalFormatting sqref="AU13">
    <cfRule type="containsText" dxfId="10552" priority="3906" operator="containsText" text="Pending">
      <formula>NOT(ISERROR(SEARCH("Pending",Z3)))</formula>
    </cfRule>
  </conditionalFormatting>
  <conditionalFormatting sqref="AV13">
    <cfRule type="containsText" dxfId="10551" priority="3907" operator="containsText" text="Pending">
      <formula>NOT(ISERROR(SEARCH("Pending",Z3)))</formula>
    </cfRule>
  </conditionalFormatting>
  <conditionalFormatting sqref="AW13">
    <cfRule type="containsText" dxfId="10550" priority="3908" operator="containsText" text="Pending">
      <formula>NOT(ISERROR(SEARCH("Pending",Z3)))</formula>
    </cfRule>
  </conditionalFormatting>
  <conditionalFormatting sqref="AX13">
    <cfRule type="containsText" dxfId="10549" priority="3909" operator="containsText" text="Pending">
      <formula>NOT(ISERROR(SEARCH("Pending",Z3)))</formula>
    </cfRule>
  </conditionalFormatting>
  <conditionalFormatting sqref="AY13">
    <cfRule type="containsText" dxfId="10548" priority="3910" operator="containsText" text="Pending">
      <formula>NOT(ISERROR(SEARCH("Pending",Z3)))</formula>
    </cfRule>
  </conditionalFormatting>
  <conditionalFormatting sqref="AZ13">
    <cfRule type="containsText" dxfId="10547" priority="3911" operator="containsText" text="Pending">
      <formula>NOT(ISERROR(SEARCH("Pending",Z3)))</formula>
    </cfRule>
  </conditionalFormatting>
  <conditionalFormatting sqref="AJ20:AJ21">
    <cfRule type="containsText" dxfId="10546" priority="3912" operator="containsText" text="Pending">
      <formula>NOT(ISERROR(SEARCH("Pending",Z3)))</formula>
    </cfRule>
  </conditionalFormatting>
  <conditionalFormatting sqref="AJ20">
    <cfRule type="containsText" dxfId="10545" priority="3913" operator="containsText" text="Pending">
      <formula>NOT(ISERROR(SEARCH("Pending",Z3)))</formula>
    </cfRule>
  </conditionalFormatting>
  <conditionalFormatting sqref="AJ41">
    <cfRule type="containsText" dxfId="10544" priority="3914" operator="containsText" text="Pending">
      <formula>NOT(ISERROR(SEARCH("Pending",Z3)))</formula>
    </cfRule>
  </conditionalFormatting>
  <conditionalFormatting sqref="AJ42">
    <cfRule type="containsText" dxfId="10543" priority="3915" operator="containsText" text="Pending">
      <formula>NOT(ISERROR(SEARCH("Pending",Z3)))</formula>
    </cfRule>
  </conditionalFormatting>
  <conditionalFormatting sqref="AJ42">
    <cfRule type="containsText" dxfId="10542" priority="3916" operator="containsText" text="Pending">
      <formula>NOT(ISERROR(SEARCH("Pending",Z3)))</formula>
    </cfRule>
  </conditionalFormatting>
  <conditionalFormatting sqref="AK41:AK52">
    <cfRule type="containsText" dxfId="10541" priority="3917" operator="containsText" text="Pending">
      <formula>NOT(ISERROR(SEARCH("Pending",Z3)))</formula>
    </cfRule>
  </conditionalFormatting>
  <conditionalFormatting sqref="AK41">
    <cfRule type="containsText" dxfId="10540" priority="3918" operator="containsText" text="Pending">
      <formula>NOT(ISERROR(SEARCH("Pending",Z3)))</formula>
    </cfRule>
  </conditionalFormatting>
  <conditionalFormatting sqref="AK42">
    <cfRule type="containsText" dxfId="10539" priority="3919" operator="containsText" text="Pending">
      <formula>NOT(ISERROR(SEARCH("Pending",Z3)))</formula>
    </cfRule>
  </conditionalFormatting>
  <conditionalFormatting sqref="AK42">
    <cfRule type="containsText" dxfId="10538" priority="3920" operator="containsText" text="Pending">
      <formula>NOT(ISERROR(SEARCH("Pending",Z3)))</formula>
    </cfRule>
  </conditionalFormatting>
  <conditionalFormatting sqref="AJ54">
    <cfRule type="containsText" dxfId="10537" priority="3921" operator="containsText" text="Pending">
      <formula>NOT(ISERROR(SEARCH("Pending",Z3)))</formula>
    </cfRule>
  </conditionalFormatting>
  <conditionalFormatting sqref="AK53">
    <cfRule type="containsText" dxfId="10536" priority="3922" operator="containsText" text="Pending">
      <formula>NOT(ISERROR(SEARCH("Pending",Z3)))</formula>
    </cfRule>
  </conditionalFormatting>
  <conditionalFormatting sqref="AR54">
    <cfRule type="containsText" dxfId="10535" priority="3923" operator="containsText" text="Pending">
      <formula>NOT(ISERROR(SEARCH("Pending",Z3)))</formula>
    </cfRule>
  </conditionalFormatting>
  <conditionalFormatting sqref="AB42 AB44 AB45 AB46 AB47 AC42 AC43 AC44 AC45 AC46 AC47">
    <cfRule type="containsText" dxfId="10534" priority="3924" operator="containsText" text="Pending">
      <formula>NOT(ISERROR(SEARCH("Pending",Z3)))</formula>
    </cfRule>
  </conditionalFormatting>
  <conditionalFormatting sqref="AB43">
    <cfRule type="containsText" dxfId="10533" priority="3925" operator="containsText" text="Pending">
      <formula>NOT(ISERROR(SEARCH("Pending",Z3)))</formula>
    </cfRule>
  </conditionalFormatting>
  <conditionalFormatting sqref="AG40 AH40">
    <cfRule type="containsText" dxfId="10532" priority="3926" operator="containsText" text="Pending">
      <formula>NOT(ISERROR(SEARCH("Pending",Z3)))</formula>
    </cfRule>
  </conditionalFormatting>
  <conditionalFormatting sqref="AC34">
    <cfRule type="containsText" dxfId="10531" priority="3927" operator="containsText" text="Pending">
      <formula>NOT(ISERROR(SEARCH("Pending",Z3)))</formula>
    </cfRule>
  </conditionalFormatting>
  <conditionalFormatting sqref="AC33">
    <cfRule type="containsText" dxfId="10530" priority="3928" operator="containsText" text="Pending">
      <formula>NOT(ISERROR(SEARCH("Pending",Z3)))</formula>
    </cfRule>
  </conditionalFormatting>
  <conditionalFormatting sqref="AC35">
    <cfRule type="containsText" dxfId="10529" priority="3929" operator="containsText" text="Pending">
      <formula>NOT(ISERROR(SEARCH("Pending",Z3)))</formula>
    </cfRule>
  </conditionalFormatting>
  <conditionalFormatting sqref="AC36">
    <cfRule type="containsText" dxfId="10528" priority="3930" operator="containsText" text="Pending">
      <formula>NOT(ISERROR(SEARCH("Pending",Z3)))</formula>
    </cfRule>
  </conditionalFormatting>
  <conditionalFormatting sqref="AC37">
    <cfRule type="containsText" dxfId="10527" priority="3931" operator="containsText" text="Pending">
      <formula>NOT(ISERROR(SEARCH("Pending",Z3)))</formula>
    </cfRule>
  </conditionalFormatting>
  <conditionalFormatting sqref="AC38">
    <cfRule type="containsText" dxfId="10526" priority="3932" operator="containsText" text="Pending">
      <formula>NOT(ISERROR(SEARCH("Pending",Z3)))</formula>
    </cfRule>
  </conditionalFormatting>
  <conditionalFormatting sqref="AC39">
    <cfRule type="containsText" dxfId="10525" priority="3933" operator="containsText" text="Pending">
      <formula>NOT(ISERROR(SEARCH("Pending",Z3)))</formula>
    </cfRule>
  </conditionalFormatting>
  <conditionalFormatting sqref="AC40">
    <cfRule type="containsText" dxfId="10524" priority="3934" operator="containsText" text="Pending">
      <formula>NOT(ISERROR(SEARCH("Pending",Z3)))</formula>
    </cfRule>
  </conditionalFormatting>
  <conditionalFormatting sqref="AB35">
    <cfRule type="containsText" dxfId="10523" priority="3935" operator="containsText" text="Pending">
      <formula>NOT(ISERROR(SEARCH("Pending",Z3)))</formula>
    </cfRule>
  </conditionalFormatting>
  <conditionalFormatting sqref="AB36">
    <cfRule type="containsText" dxfId="10522" priority="3936" operator="containsText" text="Pending">
      <formula>NOT(ISERROR(SEARCH("Pending",Z3)))</formula>
    </cfRule>
  </conditionalFormatting>
  <conditionalFormatting sqref="AB37">
    <cfRule type="containsText" dxfId="10521" priority="3937" operator="containsText" text="Pending">
      <formula>NOT(ISERROR(SEARCH("Pending",Z3)))</formula>
    </cfRule>
  </conditionalFormatting>
  <conditionalFormatting sqref="AM44:AM52">
    <cfRule type="containsText" dxfId="10520" priority="3938" operator="containsText" text="Pending">
      <formula>NOT(ISERROR(SEARCH("Pending",Z3)))</formula>
    </cfRule>
  </conditionalFormatting>
  <conditionalFormatting sqref="AM41">
    <cfRule type="containsText" dxfId="10519" priority="3939" operator="containsText" text="Pending">
      <formula>NOT(ISERROR(SEARCH("Pending",Z3)))</formula>
    </cfRule>
  </conditionalFormatting>
  <conditionalFormatting sqref="AN40:AN52">
    <cfRule type="containsText" dxfId="10518" priority="3940" operator="containsText" text="Pending">
      <formula>NOT(ISERROR(SEARCH("Pending",Z3)))</formula>
    </cfRule>
  </conditionalFormatting>
  <conditionalFormatting sqref="AN44:AN52">
    <cfRule type="containsText" dxfId="10517" priority="3941" operator="containsText" text="Pending">
      <formula>NOT(ISERROR(SEARCH("Pending",Z3)))</formula>
    </cfRule>
  </conditionalFormatting>
  <conditionalFormatting sqref="AN41">
    <cfRule type="containsText" dxfId="10516" priority="3942" operator="containsText" text="Pending">
      <formula>NOT(ISERROR(SEARCH("Pending",Z3)))</formula>
    </cfRule>
  </conditionalFormatting>
  <conditionalFormatting sqref="AQ42:AQ52">
    <cfRule type="containsText" dxfId="10515" priority="3943" operator="containsText" text="Pending">
      <formula>NOT(ISERROR(SEARCH("Pending",Z3)))</formula>
    </cfRule>
  </conditionalFormatting>
  <conditionalFormatting sqref="AP41">
    <cfRule type="containsText" dxfId="10514" priority="3944" operator="containsText" text="Pending">
      <formula>NOT(ISERROR(SEARCH("Pending",Z3)))</formula>
    </cfRule>
  </conditionalFormatting>
  <conditionalFormatting sqref="AM53">
    <cfRule type="containsText" dxfId="10513" priority="3945" operator="containsText" text="Pending">
      <formula>NOT(ISERROR(SEARCH("Pending",Z3)))</formula>
    </cfRule>
  </conditionalFormatting>
  <conditionalFormatting sqref="AL54">
    <cfRule type="containsText" dxfId="10512" priority="3946" operator="containsText" text="Pending">
      <formula>NOT(ISERROR(SEARCH("Pending",Z3)))</formula>
    </cfRule>
  </conditionalFormatting>
  <conditionalFormatting sqref="AU54">
    <cfRule type="containsText" dxfId="10511" priority="3947" operator="containsText" text="Pending">
      <formula>NOT(ISERROR(SEARCH("Pending",Z3)))</formula>
    </cfRule>
  </conditionalFormatting>
  <conditionalFormatting sqref="AV53">
    <cfRule type="containsText" dxfId="10510" priority="3948" operator="containsText" text="Pending">
      <formula>NOT(ISERROR(SEARCH("Pending",Z3)))</formula>
    </cfRule>
  </conditionalFormatting>
  <conditionalFormatting sqref="AX53">
    <cfRule type="containsText" dxfId="10509" priority="3949" operator="containsText" text="Pending">
      <formula>NOT(ISERROR(SEARCH("Pending",Z3)))</formula>
    </cfRule>
  </conditionalFormatting>
  <conditionalFormatting sqref="AY53">
    <cfRule type="containsText" dxfId="10508" priority="3950" operator="containsText" text="Pending">
      <formula>NOT(ISERROR(SEARCH("Pending",Z3)))</formula>
    </cfRule>
  </conditionalFormatting>
  <conditionalFormatting sqref="AS53">
    <cfRule type="containsText" dxfId="10507" priority="3951" operator="containsText" text="Pending">
      <formula>NOT(ISERROR(SEARCH("Pending",Z3)))</formula>
    </cfRule>
  </conditionalFormatting>
  <conditionalFormatting sqref="AT53">
    <cfRule type="containsText" dxfId="10506" priority="3952" operator="containsText" text="Pending">
      <formula>NOT(ISERROR(SEARCH("Pending",Z3)))</formula>
    </cfRule>
  </conditionalFormatting>
  <conditionalFormatting sqref="AS55">
    <cfRule type="containsText" dxfId="10505" priority="3953" operator="containsText" text="Pending">
      <formula>NOT(ISERROR(SEARCH("Pending",Z3)))</formula>
    </cfRule>
  </conditionalFormatting>
  <conditionalFormatting sqref="AG25">
    <cfRule type="containsText" dxfId="10504" priority="3954" operator="containsText" text="Pending">
      <formula>NOT(ISERROR(SEARCH("Pending",Z3)))</formula>
    </cfRule>
  </conditionalFormatting>
  <conditionalFormatting sqref="AH25">
    <cfRule type="containsText" dxfId="10503" priority="3955" operator="containsText" text="Pending">
      <formula>NOT(ISERROR(SEARCH("Pending",Z3)))</formula>
    </cfRule>
  </conditionalFormatting>
  <conditionalFormatting sqref="AG28">
    <cfRule type="containsText" dxfId="10502" priority="3956" operator="containsText" text="Pending">
      <formula>NOT(ISERROR(SEARCH("Pending",Z3)))</formula>
    </cfRule>
  </conditionalFormatting>
  <conditionalFormatting sqref="AH28">
    <cfRule type="containsText" dxfId="10501" priority="3957" operator="containsText" text="Pending">
      <formula>NOT(ISERROR(SEARCH("Pending",Z3)))</formula>
    </cfRule>
  </conditionalFormatting>
  <conditionalFormatting sqref="AK23">
    <cfRule type="containsText" dxfId="10500" priority="3958" operator="containsText" text="Pending">
      <formula>NOT(ISERROR(SEARCH("Pending",Z3)))</formula>
    </cfRule>
  </conditionalFormatting>
  <conditionalFormatting sqref="AJ27 AK27">
    <cfRule type="containsText" dxfId="10499" priority="3959" operator="containsText" text="Pending">
      <formula>NOT(ISERROR(SEARCH("Pending",Z3)))</formula>
    </cfRule>
  </conditionalFormatting>
  <conditionalFormatting sqref="AK27">
    <cfRule type="containsText" dxfId="10498" priority="3960" operator="containsText" text="Pending">
      <formula>NOT(ISERROR(SEARCH("Pending",Z3)))</formula>
    </cfRule>
  </conditionalFormatting>
  <conditionalFormatting sqref="AK28">
    <cfRule type="containsText" dxfId="10497" priority="3961" operator="containsText" text="Pending">
      <formula>NOT(ISERROR(SEARCH("Pending",Z3)))</formula>
    </cfRule>
  </conditionalFormatting>
  <conditionalFormatting sqref="AK31">
    <cfRule type="containsText" dxfId="10496" priority="3962" operator="containsText" text="Pending">
      <formula>NOT(ISERROR(SEARCH("Pending",Z3)))</formula>
    </cfRule>
  </conditionalFormatting>
  <conditionalFormatting sqref="AN23:AN31">
    <cfRule type="containsText" dxfId="10495" priority="3963" operator="containsText" text="Pending">
      <formula>NOT(ISERROR(SEARCH("Pending",Z3)))</formula>
    </cfRule>
  </conditionalFormatting>
  <conditionalFormatting sqref="AO24">
    <cfRule type="containsText" dxfId="10494" priority="3964" operator="containsText" text="Pending">
      <formula>NOT(ISERROR(SEARCH("Pending",Z3)))</formula>
    </cfRule>
  </conditionalFormatting>
  <conditionalFormatting sqref="AP23:AP31">
    <cfRule type="containsText" dxfId="10493" priority="3965" operator="containsText" text="Pending">
      <formula>NOT(ISERROR(SEARCH("Pending",Z3)))</formula>
    </cfRule>
  </conditionalFormatting>
  <conditionalFormatting sqref="AP23:AP31">
    <cfRule type="containsText" dxfId="10492" priority="3966" operator="containsText" text="Pending">
      <formula>NOT(ISERROR(SEARCH("Pending",Z3)))</formula>
    </cfRule>
  </conditionalFormatting>
  <conditionalFormatting sqref="AQ23:AQ31">
    <cfRule type="containsText" dxfId="10491" priority="3967" operator="containsText" text="Pending">
      <formula>NOT(ISERROR(SEARCH("Pending",Z3)))</formula>
    </cfRule>
  </conditionalFormatting>
  <conditionalFormatting sqref="AQ23:AQ31">
    <cfRule type="containsText" dxfId="10490" priority="3968" operator="containsText" text="Pending">
      <formula>NOT(ISERROR(SEARCH("Pending",Z3)))</formula>
    </cfRule>
  </conditionalFormatting>
  <conditionalFormatting sqref="AR24">
    <cfRule type="containsText" dxfId="10489" priority="3969" operator="containsText" text="Pending">
      <formula>NOT(ISERROR(SEARCH("Pending",Z3)))</formula>
    </cfRule>
  </conditionalFormatting>
  <conditionalFormatting sqref="AR25">
    <cfRule type="containsText" dxfId="10488" priority="3970" operator="containsText" text="Pending">
      <formula>NOT(ISERROR(SEARCH("Pending",Z3)))</formula>
    </cfRule>
  </conditionalFormatting>
  <conditionalFormatting sqref="AR31">
    <cfRule type="containsText" dxfId="10487" priority="3971" operator="containsText" text="Pending">
      <formula>NOT(ISERROR(SEARCH("Pending",Z3)))</formula>
    </cfRule>
  </conditionalFormatting>
  <conditionalFormatting sqref="AR31">
    <cfRule type="containsText" dxfId="10486" priority="3972" operator="containsText" text="Pending">
      <formula>NOT(ISERROR(SEARCH("Pending",Z3)))</formula>
    </cfRule>
  </conditionalFormatting>
  <conditionalFormatting sqref="AR27">
    <cfRule type="containsText" dxfId="10485" priority="3973" operator="containsText" text="Pending">
      <formula>NOT(ISERROR(SEARCH("Pending",Z3)))</formula>
    </cfRule>
  </conditionalFormatting>
  <conditionalFormatting sqref="AS23:AS25">
    <cfRule type="containsText" dxfId="10484" priority="3974" operator="containsText" text="Pending">
      <formula>NOT(ISERROR(SEARCH("Pending",Z3)))</formula>
    </cfRule>
  </conditionalFormatting>
  <conditionalFormatting sqref="AS24">
    <cfRule type="containsText" dxfId="10483" priority="3975" operator="containsText" text="Pending">
      <formula>NOT(ISERROR(SEARCH("Pending",Z3)))</formula>
    </cfRule>
  </conditionalFormatting>
  <conditionalFormatting sqref="AS25">
    <cfRule type="containsText" dxfId="10482" priority="3976" operator="containsText" text="Pending">
      <formula>NOT(ISERROR(SEARCH("Pending",Z3)))</formula>
    </cfRule>
  </conditionalFormatting>
  <conditionalFormatting sqref="AS26:AS31">
    <cfRule type="containsText" dxfId="10481" priority="3977" operator="containsText" text="Pending">
      <formula>NOT(ISERROR(SEARCH("Pending",Z3)))</formula>
    </cfRule>
  </conditionalFormatting>
  <conditionalFormatting sqref="AS31">
    <cfRule type="containsText" dxfId="10480" priority="3978" operator="containsText" text="Pending">
      <formula>NOT(ISERROR(SEARCH("Pending",Z3)))</formula>
    </cfRule>
  </conditionalFormatting>
  <conditionalFormatting sqref="AS31">
    <cfRule type="containsText" dxfId="10479" priority="3979" operator="containsText" text="Pending">
      <formula>NOT(ISERROR(SEARCH("Pending",Z3)))</formula>
    </cfRule>
  </conditionalFormatting>
  <conditionalFormatting sqref="AS27">
    <cfRule type="containsText" dxfId="10478" priority="3980" operator="containsText" text="Pending">
      <formula>NOT(ISERROR(SEARCH("Pending",Z3)))</formula>
    </cfRule>
  </conditionalFormatting>
  <conditionalFormatting sqref="AT23:AT31">
    <cfRule type="containsText" dxfId="10477" priority="3981" operator="containsText" text="Pending">
      <formula>NOT(ISERROR(SEARCH("Pending",Z3)))</formula>
    </cfRule>
  </conditionalFormatting>
  <conditionalFormatting sqref="AT23:AT25">
    <cfRule type="containsText" dxfId="10476" priority="3982" operator="containsText" text="Pending">
      <formula>NOT(ISERROR(SEARCH("Pending",Z3)))</formula>
    </cfRule>
  </conditionalFormatting>
  <conditionalFormatting sqref="AT24">
    <cfRule type="containsText" dxfId="10475" priority="3983" operator="containsText" text="Pending">
      <formula>NOT(ISERROR(SEARCH("Pending",Z3)))</formula>
    </cfRule>
  </conditionalFormatting>
  <conditionalFormatting sqref="AT25">
    <cfRule type="containsText" dxfId="10474" priority="3984" operator="containsText" text="Pending">
      <formula>NOT(ISERROR(SEARCH("Pending",Z3)))</formula>
    </cfRule>
  </conditionalFormatting>
  <conditionalFormatting sqref="AT26:AT31">
    <cfRule type="containsText" dxfId="10473" priority="3985" operator="containsText" text="Pending">
      <formula>NOT(ISERROR(SEARCH("Pending",Z3)))</formula>
    </cfRule>
  </conditionalFormatting>
  <conditionalFormatting sqref="AT31">
    <cfRule type="containsText" dxfId="10472" priority="3986" operator="containsText" text="Pending">
      <formula>NOT(ISERROR(SEARCH("Pending",Z3)))</formula>
    </cfRule>
  </conditionalFormatting>
  <conditionalFormatting sqref="AT31">
    <cfRule type="containsText" dxfId="10471" priority="3987" operator="containsText" text="Pending">
      <formula>NOT(ISERROR(SEARCH("Pending",Z3)))</formula>
    </cfRule>
  </conditionalFormatting>
  <conditionalFormatting sqref="AT27">
    <cfRule type="containsText" dxfId="10470" priority="3988" operator="containsText" text="Pending">
      <formula>NOT(ISERROR(SEARCH("Pending",Z3)))</formula>
    </cfRule>
  </conditionalFormatting>
  <conditionalFormatting sqref="AU25 AV25">
    <cfRule type="containsText" dxfId="10469" priority="3989" operator="containsText" text="Pending">
      <formula>NOT(ISERROR(SEARCH("Pending",Z3)))</formula>
    </cfRule>
  </conditionalFormatting>
  <conditionalFormatting sqref="AU27 AV27">
    <cfRule type="containsText" dxfId="10468" priority="3990" operator="containsText" text="Pending">
      <formula>NOT(ISERROR(SEARCH("Pending",Z3)))</formula>
    </cfRule>
  </conditionalFormatting>
  <conditionalFormatting sqref="AU26">
    <cfRule type="containsText" dxfId="10467" priority="3991" operator="containsText" text="Pending">
      <formula>NOT(ISERROR(SEARCH("Pending",Z3)))</formula>
    </cfRule>
  </conditionalFormatting>
  <conditionalFormatting sqref="AU28 AV28">
    <cfRule type="containsText" dxfId="10466" priority="3992" operator="containsText" text="Pending">
      <formula>NOT(ISERROR(SEARCH("Pending",Z3)))</formula>
    </cfRule>
  </conditionalFormatting>
  <conditionalFormatting sqref="AU28">
    <cfRule type="containsText" dxfId="10465" priority="3993" operator="containsText" text="Pending">
      <formula>NOT(ISERROR(SEARCH("Pending",Z3)))</formula>
    </cfRule>
  </conditionalFormatting>
  <conditionalFormatting sqref="AX23">
    <cfRule type="containsText" dxfId="10464" priority="3994" operator="containsText" text="Pending">
      <formula>NOT(ISERROR(SEARCH("Pending",Z3)))</formula>
    </cfRule>
  </conditionalFormatting>
  <conditionalFormatting sqref="AY23">
    <cfRule type="containsText" dxfId="10463" priority="3995" operator="containsText" text="Pending">
      <formula>NOT(ISERROR(SEARCH("Pending",Z3)))</formula>
    </cfRule>
  </conditionalFormatting>
  <conditionalFormatting sqref="AZ23">
    <cfRule type="containsText" dxfId="10462" priority="3996" operator="containsText" text="Pending">
      <formula>NOT(ISERROR(SEARCH("Pending",Z3)))</formula>
    </cfRule>
  </conditionalFormatting>
  <conditionalFormatting sqref="AY26">
    <cfRule type="containsText" dxfId="10461" priority="3997" operator="containsText" text="Pending">
      <formula>NOT(ISERROR(SEARCH("Pending",Z3)))</formula>
    </cfRule>
  </conditionalFormatting>
  <conditionalFormatting sqref="AY28">
    <cfRule type="containsText" dxfId="10460" priority="3998" operator="containsText" text="Pending">
      <formula>NOT(ISERROR(SEARCH("Pending",Z3)))</formula>
    </cfRule>
  </conditionalFormatting>
  <conditionalFormatting sqref="AZ28">
    <cfRule type="containsText" dxfId="10459" priority="3999" operator="containsText" text="Pending">
      <formula>NOT(ISERROR(SEARCH("Pending",Z3)))</formula>
    </cfRule>
  </conditionalFormatting>
  <conditionalFormatting sqref="AS56">
    <cfRule type="containsText" dxfId="10458" priority="4000" operator="containsText" text="Pending">
      <formula>NOT(ISERROR(SEARCH("Pending",Z3)))</formula>
    </cfRule>
  </conditionalFormatting>
  <conditionalFormatting sqref="AS56">
    <cfRule type="containsText" dxfId="10457" priority="4001" operator="containsText" text="Pending">
      <formula>NOT(ISERROR(SEARCH("Pending",Z3)))</formula>
    </cfRule>
  </conditionalFormatting>
  <conditionalFormatting sqref="AT55">
    <cfRule type="containsText" dxfId="10456" priority="4002" operator="containsText" text="Pending">
      <formula>NOT(ISERROR(SEARCH("Pending",Z3)))</formula>
    </cfRule>
  </conditionalFormatting>
  <conditionalFormatting sqref="AT55">
    <cfRule type="containsText" dxfId="10455" priority="4003" operator="containsText" text="Pending">
      <formula>NOT(ISERROR(SEARCH("Pending",Z3)))</formula>
    </cfRule>
  </conditionalFormatting>
  <conditionalFormatting sqref="AT56">
    <cfRule type="containsText" dxfId="10454" priority="4004" operator="containsText" text="Pending">
      <formula>NOT(ISERROR(SEARCH("Pending",Z3)))</formula>
    </cfRule>
  </conditionalFormatting>
  <conditionalFormatting sqref="AT56">
    <cfRule type="containsText" dxfId="10453" priority="4005" operator="containsText" text="Pending">
      <formula>NOT(ISERROR(SEARCH("Pending",Z3)))</formula>
    </cfRule>
  </conditionalFormatting>
  <conditionalFormatting sqref="AO25">
    <cfRule type="containsText" dxfId="10452" priority="4006" operator="containsText" text="Pending">
      <formula>NOT(ISERROR(SEARCH("Pending",Z3)))</formula>
    </cfRule>
  </conditionalFormatting>
  <conditionalFormatting sqref="AO25">
    <cfRule type="containsText" dxfId="10451" priority="4007" operator="containsText" text="Pending">
      <formula>NOT(ISERROR(SEARCH("Pending",Z3)))</formula>
    </cfRule>
  </conditionalFormatting>
  <conditionalFormatting sqref="AF26">
    <cfRule type="containsText" dxfId="10450" priority="4008" operator="containsText" text="Pending">
      <formula>NOT(ISERROR(SEARCH("Pending",Z3)))</formula>
    </cfRule>
  </conditionalFormatting>
  <conditionalFormatting sqref="AI26">
    <cfRule type="containsText" dxfId="10449" priority="4009" operator="containsText" text="Pending">
      <formula>NOT(ISERROR(SEARCH("Pending",Z3)))</formula>
    </cfRule>
  </conditionalFormatting>
  <conditionalFormatting sqref="AW26">
    <cfRule type="containsText" dxfId="10448" priority="4010" operator="containsText" text="Pending">
      <formula>NOT(ISERROR(SEARCH("Pending",Z3)))</formula>
    </cfRule>
  </conditionalFormatting>
  <conditionalFormatting sqref="AY41:AY52">
    <cfRule type="containsText" dxfId="10447" priority="4011" operator="containsText" text="Pending">
      <formula>NOT(ISERROR(SEARCH("Pending",Z3)))</formula>
    </cfRule>
  </conditionalFormatting>
  <conditionalFormatting sqref="AZ41:AZ52">
    <cfRule type="containsText" dxfId="10446" priority="4012" operator="containsText" text="Pending">
      <formula>NOT(ISERROR(SEARCH("Pending",Z3)))</formula>
    </cfRule>
  </conditionalFormatting>
  <conditionalFormatting sqref="AG42 AH42">
    <cfRule type="containsText" dxfId="10445" priority="4013" operator="containsText" text="Pending">
      <formula>NOT(ISERROR(SEARCH("Pending",Z3)))</formula>
    </cfRule>
  </conditionalFormatting>
  <conditionalFormatting sqref="AH47">
    <cfRule type="containsText" dxfId="10444" priority="4014" operator="containsText" text="Pending">
      <formula>NOT(ISERROR(SEARCH("Pending",Z3)))</formula>
    </cfRule>
  </conditionalFormatting>
  <conditionalFormatting sqref="AH47">
    <cfRule type="containsText" dxfId="10443" priority="4015" operator="containsText" text="Pending">
      <formula>NOT(ISERROR(SEARCH("Pending",Z3)))</formula>
    </cfRule>
  </conditionalFormatting>
  <conditionalFormatting sqref="AH47">
    <cfRule type="containsText" dxfId="10442" priority="4016" operator="containsText" text="Pending">
      <formula>NOT(ISERROR(SEARCH("Pending",Z3)))</formula>
    </cfRule>
  </conditionalFormatting>
  <conditionalFormatting sqref="AH49">
    <cfRule type="containsText" dxfId="10441" priority="4017" operator="containsText" text="Pending">
      <formula>NOT(ISERROR(SEARCH("Pending",Z3)))</formula>
    </cfRule>
  </conditionalFormatting>
  <conditionalFormatting sqref="AH43">
    <cfRule type="containsText" dxfId="10440" priority="4018" operator="containsText" text="Pending">
      <formula>NOT(ISERROR(SEARCH("Pending",Z3)))</formula>
    </cfRule>
  </conditionalFormatting>
  <conditionalFormatting sqref="AH43">
    <cfRule type="containsText" dxfId="10439" priority="4019" operator="containsText" text="Pending">
      <formula>NOT(ISERROR(SEARCH("Pending",Z3)))</formula>
    </cfRule>
  </conditionalFormatting>
  <conditionalFormatting sqref="AU43">
    <cfRule type="containsText" dxfId="10438" priority="4020" operator="containsText" text="Pending">
      <formula>NOT(ISERROR(SEARCH("Pending",Z3)))</formula>
    </cfRule>
  </conditionalFormatting>
  <conditionalFormatting sqref="AU44">
    <cfRule type="containsText" dxfId="10437" priority="4021" operator="containsText" text="Pending">
      <formula>NOT(ISERROR(SEARCH("Pending",Z3)))</formula>
    </cfRule>
  </conditionalFormatting>
  <conditionalFormatting sqref="AU46">
    <cfRule type="containsText" dxfId="10436" priority="4022" operator="containsText" text="Pending">
      <formula>NOT(ISERROR(SEARCH("Pending",Z3)))</formula>
    </cfRule>
  </conditionalFormatting>
  <conditionalFormatting sqref="AU47">
    <cfRule type="containsText" dxfId="10435" priority="4023" operator="containsText" text="Pending">
      <formula>NOT(ISERROR(SEARCH("Pending",Z3)))</formula>
    </cfRule>
  </conditionalFormatting>
  <conditionalFormatting sqref="AU48">
    <cfRule type="containsText" dxfId="10434" priority="4024" operator="containsText" text="Pending">
      <formula>NOT(ISERROR(SEARCH("Pending",Z3)))</formula>
    </cfRule>
  </conditionalFormatting>
  <conditionalFormatting sqref="AU49">
    <cfRule type="containsText" dxfId="10433" priority="4025" operator="containsText" text="Pending">
      <formula>NOT(ISERROR(SEARCH("Pending",Z3)))</formula>
    </cfRule>
  </conditionalFormatting>
  <conditionalFormatting sqref="AU50">
    <cfRule type="containsText" dxfId="10432" priority="4026" operator="containsText" text="Pending">
      <formula>NOT(ISERROR(SEARCH("Pending",Z3)))</formula>
    </cfRule>
  </conditionalFormatting>
  <conditionalFormatting sqref="AU51">
    <cfRule type="containsText" dxfId="10431" priority="4027" operator="containsText" text="Pending">
      <formula>NOT(ISERROR(SEARCH("Pending",Z3)))</formula>
    </cfRule>
  </conditionalFormatting>
  <conditionalFormatting sqref="AU52">
    <cfRule type="containsText" dxfId="10430" priority="4028" operator="containsText" text="Pending">
      <formula>NOT(ISERROR(SEARCH("Pending",Z3)))</formula>
    </cfRule>
  </conditionalFormatting>
  <conditionalFormatting sqref="AV42:AV43">
    <cfRule type="containsText" dxfId="10429" priority="4029" operator="containsText" text="Pending">
      <formula>NOT(ISERROR(SEARCH("Pending",Z3)))</formula>
    </cfRule>
  </conditionalFormatting>
  <conditionalFormatting sqref="AV43">
    <cfRule type="containsText" dxfId="10428" priority="4030" operator="containsText" text="Pending">
      <formula>NOT(ISERROR(SEARCH("Pending",Z3)))</formula>
    </cfRule>
  </conditionalFormatting>
  <conditionalFormatting sqref="AV41">
    <cfRule type="containsText" dxfId="10427" priority="4031" operator="containsText" text="Pending">
      <formula>NOT(ISERROR(SEARCH("Pending",Z3)))</formula>
    </cfRule>
  </conditionalFormatting>
  <conditionalFormatting sqref="AV45:AV52">
    <cfRule type="containsText" dxfId="10426" priority="4032" operator="containsText" text="Pending">
      <formula>NOT(ISERROR(SEARCH("Pending",Z3)))</formula>
    </cfRule>
  </conditionalFormatting>
  <conditionalFormatting sqref="AV46">
    <cfRule type="containsText" dxfId="10425" priority="4033" operator="containsText" text="Pending">
      <formula>NOT(ISERROR(SEARCH("Pending",Z3)))</formula>
    </cfRule>
  </conditionalFormatting>
  <conditionalFormatting sqref="AV47">
    <cfRule type="containsText" dxfId="10424" priority="4034" operator="containsText" text="Pending">
      <formula>NOT(ISERROR(SEARCH("Pending",Z3)))</formula>
    </cfRule>
  </conditionalFormatting>
  <conditionalFormatting sqref="AV48">
    <cfRule type="containsText" dxfId="10423" priority="4035" operator="containsText" text="Pending">
      <formula>NOT(ISERROR(SEARCH("Pending",Z3)))</formula>
    </cfRule>
  </conditionalFormatting>
  <conditionalFormatting sqref="AV49">
    <cfRule type="containsText" dxfId="10422" priority="4036" operator="containsText" text="Pending">
      <formula>NOT(ISERROR(SEARCH("Pending",Z3)))</formula>
    </cfRule>
  </conditionalFormatting>
  <conditionalFormatting sqref="AV50">
    <cfRule type="containsText" dxfId="10421" priority="4037" operator="containsText" text="Pending">
      <formula>NOT(ISERROR(SEARCH("Pending",Z3)))</formula>
    </cfRule>
  </conditionalFormatting>
  <conditionalFormatting sqref="AV51">
    <cfRule type="containsText" dxfId="10420" priority="4038" operator="containsText" text="Pending">
      <formula>NOT(ISERROR(SEARCH("Pending",Z3)))</formula>
    </cfRule>
  </conditionalFormatting>
  <conditionalFormatting sqref="AV52">
    <cfRule type="containsText" dxfId="10419" priority="4039" operator="containsText" text="Pending">
      <formula>NOT(ISERROR(SEARCH("Pending",Z3)))</formula>
    </cfRule>
  </conditionalFormatting>
  <conditionalFormatting sqref="AW33:AW40">
    <cfRule type="containsText" dxfId="10418" priority="4040" operator="containsText" text="Pending">
      <formula>NOT(ISERROR(SEARCH("Pending",Z3)))</formula>
    </cfRule>
  </conditionalFormatting>
  <conditionalFormatting sqref="AY32:AY40">
    <cfRule type="containsText" dxfId="10417" priority="4041" operator="containsText" text="Pending">
      <formula>NOT(ISERROR(SEARCH("Pending",Z3)))</formula>
    </cfRule>
  </conditionalFormatting>
  <conditionalFormatting sqref="AZ32:AZ40">
    <cfRule type="containsText" dxfId="10416" priority="4042" operator="containsText" text="Pending">
      <formula>NOT(ISERROR(SEARCH("Pending",Z3)))</formula>
    </cfRule>
  </conditionalFormatting>
  <conditionalFormatting sqref="AJ33 AK33 AL33 AM33 AN33 AO33 AP33 AQ33 AR33 AS33 AT33">
    <cfRule type="containsText" dxfId="10415" priority="4043" operator="containsText" text="Pending">
      <formula>NOT(ISERROR(SEARCH("Pending",Z3)))</formula>
    </cfRule>
  </conditionalFormatting>
  <conditionalFormatting sqref="AS34">
    <cfRule type="containsText" dxfId="10414" priority="4044" operator="containsText" text="Pending">
      <formula>NOT(ISERROR(SEARCH("Pending",Z3)))</formula>
    </cfRule>
  </conditionalFormatting>
  <conditionalFormatting sqref="AP35:AP36 AQ35:AQ36">
    <cfRule type="containsText" dxfId="10413" priority="4045" operator="containsText" text="Pending">
      <formula>NOT(ISERROR(SEARCH("Pending",Z3)))</formula>
    </cfRule>
  </conditionalFormatting>
  <conditionalFormatting sqref="AL39">
    <cfRule type="containsText" dxfId="10412" priority="4046" operator="containsText" text="Pending">
      <formula>NOT(ISERROR(SEARCH("Pending",Z3)))</formula>
    </cfRule>
  </conditionalFormatting>
  <conditionalFormatting sqref="AX31">
    <cfRule type="containsText" dxfId="10411" priority="4047" operator="containsText" text="Pending">
      <formula>NOT(ISERROR(SEARCH("Pending",Z3)))</formula>
    </cfRule>
  </conditionalFormatting>
  <conditionalFormatting sqref="AX31">
    <cfRule type="containsText" dxfId="10410" priority="4048" operator="containsText" text="Pending">
      <formula>NOT(ISERROR(SEARCH("Pending",Z3)))</formula>
    </cfRule>
  </conditionalFormatting>
  <conditionalFormatting sqref="AY31">
    <cfRule type="containsText" dxfId="10409" priority="4049" operator="containsText" text="Pending">
      <formula>NOT(ISERROR(SEARCH("Pending",Z3)))</formula>
    </cfRule>
  </conditionalFormatting>
  <conditionalFormatting sqref="AY31">
    <cfRule type="containsText" dxfId="10408" priority="4050" operator="containsText" text="Pending">
      <formula>NOT(ISERROR(SEARCH("Pending",Z3)))</formula>
    </cfRule>
  </conditionalFormatting>
  <conditionalFormatting sqref="AZ31">
    <cfRule type="containsText" dxfId="10407" priority="4051" operator="containsText" text="Pending">
      <formula>NOT(ISERROR(SEARCH("Pending",Z3)))</formula>
    </cfRule>
  </conditionalFormatting>
  <conditionalFormatting sqref="AZ31">
    <cfRule type="containsText" dxfId="10406" priority="4052" operator="containsText" text="Pending">
      <formula>NOT(ISERROR(SEARCH("Pending",Z3)))</formula>
    </cfRule>
  </conditionalFormatting>
  <conditionalFormatting sqref="AV24:AV25">
    <cfRule type="containsText" dxfId="10405" priority="4053" operator="containsText" text="Pending">
      <formula>NOT(ISERROR(SEARCH("Pending",Z3)))</formula>
    </cfRule>
  </conditionalFormatting>
  <conditionalFormatting sqref="AV25">
    <cfRule type="containsText" dxfId="10404" priority="4054" operator="containsText" text="Pending">
      <formula>NOT(ISERROR(SEARCH("Pending",Z3)))</formula>
    </cfRule>
  </conditionalFormatting>
  <conditionalFormatting sqref="AW24:AW25">
    <cfRule type="containsText" dxfId="10403" priority="4055" operator="containsText" text="Pending">
      <formula>NOT(ISERROR(SEARCH("Pending",Z3)))</formula>
    </cfRule>
  </conditionalFormatting>
  <conditionalFormatting sqref="AW25">
    <cfRule type="containsText" dxfId="10402" priority="4056" operator="containsText" text="Pending">
      <formula>NOT(ISERROR(SEARCH("Pending",Z3)))</formula>
    </cfRule>
  </conditionalFormatting>
  <conditionalFormatting sqref="AX24:AX25">
    <cfRule type="containsText" dxfId="10401" priority="4057" operator="containsText" text="Pending">
      <formula>NOT(ISERROR(SEARCH("Pending",Z3)))</formula>
    </cfRule>
  </conditionalFormatting>
  <conditionalFormatting sqref="AX25">
    <cfRule type="containsText" dxfId="10400" priority="4058" operator="containsText" text="Pending">
      <formula>NOT(ISERROR(SEARCH("Pending",Z3)))</formula>
    </cfRule>
  </conditionalFormatting>
  <conditionalFormatting sqref="AY24:AY25">
    <cfRule type="containsText" dxfId="10399" priority="4059" operator="containsText" text="Pending">
      <formula>NOT(ISERROR(SEARCH("Pending",Z3)))</formula>
    </cfRule>
  </conditionalFormatting>
  <conditionalFormatting sqref="AY25">
    <cfRule type="containsText" dxfId="10398" priority="4060" operator="containsText" text="Pending">
      <formula>NOT(ISERROR(SEARCH("Pending",Z3)))</formula>
    </cfRule>
  </conditionalFormatting>
  <conditionalFormatting sqref="AZ24:AZ25">
    <cfRule type="containsText" dxfId="10397" priority="4061" operator="containsText" text="Pending">
      <formula>NOT(ISERROR(SEARCH("Pending",Z3)))</formula>
    </cfRule>
  </conditionalFormatting>
  <conditionalFormatting sqref="AZ25">
    <cfRule type="containsText" dxfId="10396" priority="4062" operator="containsText" text="Pending">
      <formula>NOT(ISERROR(SEARCH("Pending",Z3)))</formula>
    </cfRule>
  </conditionalFormatting>
  <conditionalFormatting sqref="AA4:AA16 AA18:AA37 AA39:AA40">
    <cfRule type="containsText" dxfId="10395" priority="4" operator="containsText" text="NA">
      <formula>NOT(ISERROR(SEARCH("NA",Z3)))</formula>
    </cfRule>
  </conditionalFormatting>
  <conditionalFormatting sqref="AB4:AB16 AB18:AB22 AB25 AB28 AB30:AB34 AB38:AB41 AB53:AB55">
    <cfRule type="containsText" dxfId="10394" priority="4063" operator="containsText" text="NA">
      <formula>NOT(ISERROR(SEARCH("NA",Z3)))</formula>
    </cfRule>
  </conditionalFormatting>
  <conditionalFormatting sqref="AB56">
    <cfRule type="containsText" dxfId="10393" priority="4064" operator="containsText" text="NA">
      <formula>NOT(ISERROR(SEARCH("NA",Z3)))</formula>
    </cfRule>
  </conditionalFormatting>
  <conditionalFormatting sqref="AC4:AC16 AC18:AC22 AC26:AC29 AC32 AC41 AC48:AC55">
    <cfRule type="containsText" dxfId="10392" priority="4065" operator="containsText" text="NA">
      <formula>NOT(ISERROR(SEARCH("NA",Z3)))</formula>
    </cfRule>
  </conditionalFormatting>
  <conditionalFormatting sqref="AC56">
    <cfRule type="containsText" dxfId="10391" priority="4066" operator="containsText" text="NA">
      <formula>NOT(ISERROR(SEARCH("NA",Z3)))</formula>
    </cfRule>
  </conditionalFormatting>
  <conditionalFormatting sqref="AE4:AE55 AF4:AF16 AF18:AF24 AF27:AF55 AG4:AG55 AH4:AH16 AH18:AH55 AI4:AI16 AI18:AI55 AJ4:AJ16 AJ18:AJ55 AK4:AK16 AK18:AK55 AL4:AL16 AL18:AL55 AM4:AM16 AM18:AM55 AN4:AN16 AN18:AN55 AO4:AO16 AO18:AO55 AP4:AP16 AP18:AP55 AQ4:AQ16 AQ18:AQ55 AR4:AR16 AR18:AR55 AS4:AS16 AS18:AS55 AT4:AT16 AT18:AT55 AU4:AU16 AU18:AU55 AV4:AV16 AV18:AV55 AW4:AW16 AW18:AW55 AX4:AX16 AX18:AX55 AY4:AY16 AY18:AY55 AZ4:AZ16 AZ18:AZ55 BA4:BA55">
    <cfRule type="containsText" dxfId="10390" priority="4067" operator="containsText" text="NA">
      <formula>NOT(ISERROR(SEARCH("NA",Z3)))</formula>
    </cfRule>
  </conditionalFormatting>
  <conditionalFormatting sqref="AE56 AF56 AH56 AI56 AO56 AP56 AQ56 BA56">
    <cfRule type="containsText" dxfId="10389" priority="4068" operator="containsText" text="NA">
      <formula>NOT(ISERROR(SEARCH("NA",Z3)))</formula>
    </cfRule>
  </conditionalFormatting>
  <conditionalFormatting sqref="AE50 AF50">
    <cfRule type="containsText" dxfId="10388" priority="4069" operator="containsText" text="NA">
      <formula>NOT(ISERROR(SEARCH("NA",Z3)))</formula>
    </cfRule>
  </conditionalFormatting>
  <conditionalFormatting sqref="AG5 AH5">
    <cfRule type="containsText" dxfId="10387" priority="4070" operator="containsText" text="NA">
      <formula>NOT(ISERROR(SEARCH("NA",Z3)))</formula>
    </cfRule>
  </conditionalFormatting>
  <conditionalFormatting sqref="AG6 AH6">
    <cfRule type="containsText" dxfId="10386" priority="4071" operator="containsText" text="NA">
      <formula>NOT(ISERROR(SEARCH("NA",Z3)))</formula>
    </cfRule>
  </conditionalFormatting>
  <conditionalFormatting sqref="AJ6 AK6">
    <cfRule type="containsText" dxfId="10385" priority="4072" operator="containsText" text="NA">
      <formula>NOT(ISERROR(SEARCH("NA",Z3)))</formula>
    </cfRule>
  </conditionalFormatting>
  <conditionalFormatting sqref="AA6">
    <cfRule type="containsText" dxfId="10384" priority="4073" operator="containsText" text="NA">
      <formula>NOT(ISERROR(SEARCH("NA",Z3)))</formula>
    </cfRule>
  </conditionalFormatting>
  <conditionalFormatting sqref="AA7">
    <cfRule type="containsText" dxfId="10383" priority="4074" operator="containsText" text="NA">
      <formula>NOT(ISERROR(SEARCH("NA",Z3)))</formula>
    </cfRule>
  </conditionalFormatting>
  <conditionalFormatting sqref="AA9">
    <cfRule type="containsText" dxfId="10382" priority="4075" operator="containsText" text="NA">
      <formula>NOT(ISERROR(SEARCH("NA",Z3)))</formula>
    </cfRule>
  </conditionalFormatting>
  <conditionalFormatting sqref="AA4">
    <cfRule type="containsText" dxfId="10381" priority="4076" operator="containsText" text="NA">
      <formula>NOT(ISERROR(SEARCH("NA",Z3)))</formula>
    </cfRule>
  </conditionalFormatting>
  <conditionalFormatting sqref="AA3">
    <cfRule type="containsText" dxfId="10380" priority="4077" operator="containsText" text="NA">
      <formula>NOT(ISERROR(SEARCH("NA",Z3)))</formula>
    </cfRule>
  </conditionalFormatting>
  <conditionalFormatting sqref="AF8">
    <cfRule type="containsText" dxfId="10379" priority="4078" operator="containsText" text="NA">
      <formula>NOT(ISERROR(SEARCH("NA",Z3)))</formula>
    </cfRule>
  </conditionalFormatting>
  <conditionalFormatting sqref="AE4 AF4 AG4 AH4 AI4 AJ4 AK4 AL4 AM4 AN4 AO4 AP4 AQ4 AR4 AS4 AT4 AU4 AV4 AW4 AX4 AY4 AZ4">
    <cfRule type="containsText" dxfId="10378" priority="4079" operator="containsText" text="NA">
      <formula>NOT(ISERROR(SEARCH("NA",Z3)))</formula>
    </cfRule>
  </conditionalFormatting>
  <conditionalFormatting sqref="AF4">
    <cfRule type="containsText" dxfId="10377" priority="4080" operator="containsText" text="NA">
      <formula>NOT(ISERROR(SEARCH("NA",Z3)))</formula>
    </cfRule>
  </conditionalFormatting>
  <conditionalFormatting sqref="AG3 AH3">
    <cfRule type="containsText" dxfId="10376" priority="4081" operator="containsText" text="NA">
      <formula>NOT(ISERROR(SEARCH("NA",Z3)))</formula>
    </cfRule>
  </conditionalFormatting>
  <conditionalFormatting sqref="AG3 AH3">
    <cfRule type="containsText" dxfId="10375" priority="4082" operator="containsText" text="NA">
      <formula>NOT(ISERROR(SEARCH("NA",Z3)))</formula>
    </cfRule>
  </conditionalFormatting>
  <conditionalFormatting sqref="AJ3 AK3 AL3 AM3 AN3 AO3 AP3 AQ3 AR3 AS3 AT3">
    <cfRule type="containsText" dxfId="10374" priority="4083" operator="containsText" text="NA">
      <formula>NOT(ISERROR(SEARCH("NA",Z3)))</formula>
    </cfRule>
  </conditionalFormatting>
  <conditionalFormatting sqref="AU3 AV3 AW3 AX3 AY3 AZ3">
    <cfRule type="containsText" dxfId="10373" priority="4084" operator="containsText" text="NA">
      <formula>NOT(ISERROR(SEARCH("NA",Z3)))</formula>
    </cfRule>
  </conditionalFormatting>
  <conditionalFormatting sqref="AG54">
    <cfRule type="containsText" dxfId="10372" priority="4085" operator="containsText" text="NA">
      <formula>NOT(ISERROR(SEARCH("NA",Z3)))</formula>
    </cfRule>
  </conditionalFormatting>
  <conditionalFormatting sqref="AF25">
    <cfRule type="containsText" dxfId="10371" priority="4086" operator="containsText" text="NA">
      <formula>NOT(ISERROR(SEARCH("NA",Z3)))</formula>
    </cfRule>
  </conditionalFormatting>
  <conditionalFormatting sqref="AF31">
    <cfRule type="containsText" dxfId="10370" priority="4087" operator="containsText" text="NA">
      <formula>NOT(ISERROR(SEARCH("NA",Z3)))</formula>
    </cfRule>
  </conditionalFormatting>
  <conditionalFormatting sqref="AF30">
    <cfRule type="containsText" dxfId="10369" priority="4088" operator="containsText" text="NA">
      <formula>NOT(ISERROR(SEARCH("NA",Z3)))</formula>
    </cfRule>
  </conditionalFormatting>
  <conditionalFormatting sqref="AE30">
    <cfRule type="containsText" dxfId="10368" priority="4089" operator="containsText" text="NA">
      <formula>NOT(ISERROR(SEARCH("NA",Z3)))</formula>
    </cfRule>
  </conditionalFormatting>
  <conditionalFormatting sqref="AE31">
    <cfRule type="containsText" dxfId="10367" priority="4090" operator="containsText" text="NA">
      <formula>NOT(ISERROR(SEARCH("NA",Z3)))</formula>
    </cfRule>
  </conditionalFormatting>
  <conditionalFormatting sqref="AE28">
    <cfRule type="containsText" dxfId="10366" priority="4091" operator="containsText" text="NA">
      <formula>NOT(ISERROR(SEARCH("NA",Z3)))</formula>
    </cfRule>
  </conditionalFormatting>
  <conditionalFormatting sqref="AE15:AE16">
    <cfRule type="containsText" dxfId="10365" priority="4092" operator="containsText" text="NA">
      <formula>NOT(ISERROR(SEARCH("NA",Z3)))</formula>
    </cfRule>
  </conditionalFormatting>
  <conditionalFormatting sqref="AF15:AF16">
    <cfRule type="containsText" dxfId="10364" priority="4093" operator="containsText" text="NA">
      <formula>NOT(ISERROR(SEARCH("NA",Z3)))</formula>
    </cfRule>
  </conditionalFormatting>
  <conditionalFormatting sqref="AB24">
    <cfRule type="containsText" dxfId="10363" priority="4094" operator="containsText" text="NA">
      <formula>NOT(ISERROR(SEARCH("NA",Z3)))</formula>
    </cfRule>
  </conditionalFormatting>
  <conditionalFormatting sqref="AB26">
    <cfRule type="containsText" dxfId="10362" priority="4095" operator="containsText" text="NA">
      <formula>NOT(ISERROR(SEARCH("NA",Z3)))</formula>
    </cfRule>
  </conditionalFormatting>
  <conditionalFormatting sqref="AB27">
    <cfRule type="containsText" dxfId="10361" priority="4096" operator="containsText" text="NA">
      <formula>NOT(ISERROR(SEARCH("NA",Z3)))</formula>
    </cfRule>
  </conditionalFormatting>
  <conditionalFormatting sqref="AB29">
    <cfRule type="containsText" dxfId="10360" priority="4097" operator="containsText" text="NA">
      <formula>NOT(ISERROR(SEARCH("NA",Z3)))</formula>
    </cfRule>
  </conditionalFormatting>
  <conditionalFormatting sqref="AC23">
    <cfRule type="containsText" dxfId="10359" priority="4098" operator="containsText" text="NA">
      <formula>NOT(ISERROR(SEARCH("NA",Z3)))</formula>
    </cfRule>
  </conditionalFormatting>
  <conditionalFormatting sqref="AC24">
    <cfRule type="containsText" dxfId="10358" priority="4099" operator="containsText" text="NA">
      <formula>NOT(ISERROR(SEARCH("NA",Z3)))</formula>
    </cfRule>
  </conditionalFormatting>
  <conditionalFormatting sqref="AC25">
    <cfRule type="containsText" dxfId="10357" priority="4100" operator="containsText" text="NA">
      <formula>NOT(ISERROR(SEARCH("NA",Z3)))</formula>
    </cfRule>
  </conditionalFormatting>
  <conditionalFormatting sqref="AC30">
    <cfRule type="containsText" dxfId="10356" priority="4101" operator="containsText" text="NA">
      <formula>NOT(ISERROR(SEARCH("NA",Z3)))</formula>
    </cfRule>
  </conditionalFormatting>
  <conditionalFormatting sqref="AC31">
    <cfRule type="containsText" dxfId="10355" priority="4102" operator="containsText" text="NA">
      <formula>NOT(ISERROR(SEARCH("NA",Z3)))</formula>
    </cfRule>
  </conditionalFormatting>
  <conditionalFormatting sqref="AB23">
    <cfRule type="containsText" dxfId="10354" priority="4103" operator="containsText" text="NA">
      <formula>NOT(ISERROR(SEARCH("NA",Z3)))</formula>
    </cfRule>
  </conditionalFormatting>
  <conditionalFormatting sqref="AL12">
    <cfRule type="containsText" dxfId="10353" priority="4104" operator="containsText" text="NA">
      <formula>NOT(ISERROR(SEARCH("NA",Z3)))</formula>
    </cfRule>
  </conditionalFormatting>
  <conditionalFormatting sqref="AG14 AH14">
    <cfRule type="containsText" dxfId="10352" priority="4105" operator="containsText" text="NA">
      <formula>NOT(ISERROR(SEARCH("NA",Z3)))</formula>
    </cfRule>
  </conditionalFormatting>
  <conditionalFormatting sqref="AJ14">
    <cfRule type="containsText" dxfId="10351" priority="4106" operator="containsText" text="NA">
      <formula>NOT(ISERROR(SEARCH("NA",Z3)))</formula>
    </cfRule>
  </conditionalFormatting>
  <conditionalFormatting sqref="AK14">
    <cfRule type="containsText" dxfId="10350" priority="4107" operator="containsText" text="NA">
      <formula>NOT(ISERROR(SEARCH("NA",Z3)))</formula>
    </cfRule>
  </conditionalFormatting>
  <conditionalFormatting sqref="AJ18">
    <cfRule type="containsText" dxfId="10349" priority="4108" operator="containsText" text="NA">
      <formula>NOT(ISERROR(SEARCH("NA",Z3)))</formula>
    </cfRule>
  </conditionalFormatting>
  <conditionalFormatting sqref="AG20 AH20 AI20">
    <cfRule type="containsText" dxfId="10348" priority="4109" operator="containsText" text="NA">
      <formula>NOT(ISERROR(SEARCH("NA",Z3)))</formula>
    </cfRule>
  </conditionalFormatting>
  <conditionalFormatting sqref="AO49">
    <cfRule type="containsText" dxfId="10347" priority="4110" operator="containsText" text="NA">
      <formula>NOT(ISERROR(SEARCH("NA",Z3)))</formula>
    </cfRule>
  </conditionalFormatting>
  <conditionalFormatting sqref="AO50">
    <cfRule type="containsText" dxfId="10346" priority="4111" operator="containsText" text="NA">
      <formula>NOT(ISERROR(SEARCH("NA",Z3)))</formula>
    </cfRule>
  </conditionalFormatting>
  <conditionalFormatting sqref="AO50">
    <cfRule type="containsText" dxfId="10345" priority="4112" operator="containsText" text="NA">
      <formula>NOT(ISERROR(SEARCH("NA",Z3)))</formula>
    </cfRule>
  </conditionalFormatting>
  <conditionalFormatting sqref="AO51">
    <cfRule type="containsText" dxfId="10344" priority="4113" operator="containsText" text="NA">
      <formula>NOT(ISERROR(SEARCH("NA",Z3)))</formula>
    </cfRule>
  </conditionalFormatting>
  <conditionalFormatting sqref="AO51">
    <cfRule type="containsText" dxfId="10343" priority="4114" operator="containsText" text="NA">
      <formula>NOT(ISERROR(SEARCH("NA",Z3)))</formula>
    </cfRule>
  </conditionalFormatting>
  <conditionalFormatting sqref="AO51">
    <cfRule type="containsText" dxfId="10342" priority="4115" operator="containsText" text="NA">
      <formula>NOT(ISERROR(SEARCH("NA",Z3)))</formula>
    </cfRule>
  </conditionalFormatting>
  <conditionalFormatting sqref="AC49:AC50">
    <cfRule type="containsText" dxfId="10341" priority="4116" operator="containsText" text="NA">
      <formula>NOT(ISERROR(SEARCH("NA",Z3)))</formula>
    </cfRule>
  </conditionalFormatting>
  <conditionalFormatting sqref="AB48">
    <cfRule type="containsText" dxfId="10340" priority="4117" operator="containsText" text="NA">
      <formula>NOT(ISERROR(SEARCH("NA",Z3)))</formula>
    </cfRule>
  </conditionalFormatting>
  <conditionalFormatting sqref="AB49:AB50">
    <cfRule type="containsText" dxfId="10339" priority="4118" operator="containsText" text="NA">
      <formula>NOT(ISERROR(SEARCH("NA",Z3)))</formula>
    </cfRule>
  </conditionalFormatting>
  <conditionalFormatting sqref="AB51:AB52">
    <cfRule type="containsText" dxfId="10338" priority="4119" operator="containsText" text="NA">
      <formula>NOT(ISERROR(SEARCH("NA",Z3)))</formula>
    </cfRule>
  </conditionalFormatting>
  <conditionalFormatting sqref="AV15">
    <cfRule type="containsText" dxfId="10337" priority="4120" operator="containsText" text="NA">
      <formula>NOT(ISERROR(SEARCH("NA",Z3)))</formula>
    </cfRule>
  </conditionalFormatting>
  <conditionalFormatting sqref="AW15">
    <cfRule type="containsText" dxfId="10336" priority="4121" operator="containsText" text="NA">
      <formula>NOT(ISERROR(SEARCH("NA",Z3)))</formula>
    </cfRule>
  </conditionalFormatting>
  <conditionalFormatting sqref="AX15">
    <cfRule type="containsText" dxfId="10335" priority="4122" operator="containsText" text="NA">
      <formula>NOT(ISERROR(SEARCH("NA",Z3)))</formula>
    </cfRule>
  </conditionalFormatting>
  <conditionalFormatting sqref="AY15">
    <cfRule type="containsText" dxfId="10334" priority="4123" operator="containsText" text="NA">
      <formula>NOT(ISERROR(SEARCH("NA",Z3)))</formula>
    </cfRule>
  </conditionalFormatting>
  <conditionalFormatting sqref="AZ15">
    <cfRule type="containsText" dxfId="10333" priority="4124" operator="containsText" text="NA">
      <formula>NOT(ISERROR(SEARCH("NA",Z3)))</formula>
    </cfRule>
  </conditionalFormatting>
  <conditionalFormatting sqref="AA11">
    <cfRule type="containsText" dxfId="10332" priority="4125" operator="containsText" text="NA">
      <formula>NOT(ISERROR(SEARCH("NA",Z3)))</formula>
    </cfRule>
  </conditionalFormatting>
  <conditionalFormatting sqref="AB11">
    <cfRule type="containsText" dxfId="10331" priority="4126" operator="containsText" text="NA">
      <formula>NOT(ISERROR(SEARCH("NA",Z3)))</formula>
    </cfRule>
  </conditionalFormatting>
  <conditionalFormatting sqref="AC11">
    <cfRule type="containsText" dxfId="10330" priority="4127" operator="containsText" text="NA">
      <formula>NOT(ISERROR(SEARCH("NA",Z3)))</formula>
    </cfRule>
  </conditionalFormatting>
  <conditionalFormatting sqref="AA13">
    <cfRule type="containsText" dxfId="10329" priority="4128" operator="containsText" text="NA">
      <formula>NOT(ISERROR(SEARCH("NA",Z3)))</formula>
    </cfRule>
  </conditionalFormatting>
  <conditionalFormatting sqref="AB13">
    <cfRule type="containsText" dxfId="10328" priority="4129" operator="containsText" text="NA">
      <formula>NOT(ISERROR(SEARCH("NA",Z3)))</formula>
    </cfRule>
  </conditionalFormatting>
  <conditionalFormatting sqref="AC13">
    <cfRule type="containsText" dxfId="10327" priority="4130" operator="containsText" text="NA">
      <formula>NOT(ISERROR(SEARCH("NA",Z3)))</formula>
    </cfRule>
  </conditionalFormatting>
  <conditionalFormatting sqref="AA19">
    <cfRule type="containsText" dxfId="10326" priority="4131" operator="containsText" text="NA">
      <formula>NOT(ISERROR(SEARCH("NA",Z3)))</formula>
    </cfRule>
  </conditionalFormatting>
  <conditionalFormatting sqref="AB19">
    <cfRule type="containsText" dxfId="10325" priority="4132" operator="containsText" text="NA">
      <formula>NOT(ISERROR(SEARCH("NA",Z3)))</formula>
    </cfRule>
  </conditionalFormatting>
  <conditionalFormatting sqref="AC19">
    <cfRule type="containsText" dxfId="10324" priority="4133" operator="containsText" text="NA">
      <formula>NOT(ISERROR(SEARCH("NA",Z3)))</formula>
    </cfRule>
  </conditionalFormatting>
  <conditionalFormatting sqref="AB20">
    <cfRule type="containsText" dxfId="10323" priority="4134" operator="containsText" text="NA">
      <formula>NOT(ISERROR(SEARCH("NA",Z3)))</formula>
    </cfRule>
  </conditionalFormatting>
  <conditionalFormatting sqref="AC20">
    <cfRule type="containsText" dxfId="10322" priority="4135" operator="containsText" text="NA">
      <formula>NOT(ISERROR(SEARCH("NA",Z3)))</formula>
    </cfRule>
  </conditionalFormatting>
  <conditionalFormatting sqref="AD20">
    <cfRule type="containsText" dxfId="10321" priority="4136" operator="containsText" text="NA">
      <formula>NOT(ISERROR(SEARCH("NA",Z3)))</formula>
    </cfRule>
  </conditionalFormatting>
  <conditionalFormatting sqref="AB21">
    <cfRule type="containsText" dxfId="10320" priority="4137" operator="containsText" text="NA">
      <formula>NOT(ISERROR(SEARCH("NA",Z3)))</formula>
    </cfRule>
  </conditionalFormatting>
  <conditionalFormatting sqref="AC21">
    <cfRule type="containsText" dxfId="10319" priority="4138" operator="containsText" text="NA">
      <formula>NOT(ISERROR(SEARCH("NA",Z3)))</formula>
    </cfRule>
  </conditionalFormatting>
  <conditionalFormatting sqref="AD21">
    <cfRule type="containsText" dxfId="10318" priority="4139" operator="containsText" text="NA">
      <formula>NOT(ISERROR(SEARCH("NA",Z3)))</formula>
    </cfRule>
  </conditionalFormatting>
  <conditionalFormatting sqref="AG43">
    <cfRule type="containsText" dxfId="10317" priority="4140" operator="containsText" text="NA">
      <formula>NOT(ISERROR(SEARCH("NA",Z3)))</formula>
    </cfRule>
  </conditionalFormatting>
  <conditionalFormatting sqref="AG44">
    <cfRule type="containsText" dxfId="10316" priority="4141" operator="containsText" text="NA">
      <formula>NOT(ISERROR(SEARCH("NA",Z3)))</formula>
    </cfRule>
  </conditionalFormatting>
  <conditionalFormatting sqref="AG45">
    <cfRule type="containsText" dxfId="10315" priority="4142" operator="containsText" text="NA">
      <formula>NOT(ISERROR(SEARCH("NA",Z3)))</formula>
    </cfRule>
  </conditionalFormatting>
  <conditionalFormatting sqref="AG47">
    <cfRule type="containsText" dxfId="10314" priority="4143" operator="containsText" text="NA">
      <formula>NOT(ISERROR(SEARCH("NA",Z3)))</formula>
    </cfRule>
  </conditionalFormatting>
  <conditionalFormatting sqref="AG47">
    <cfRule type="containsText" dxfId="10313" priority="4144" operator="containsText" text="NA">
      <formula>NOT(ISERROR(SEARCH("NA",Z3)))</formula>
    </cfRule>
  </conditionalFormatting>
  <conditionalFormatting sqref="AH44:AH46">
    <cfRule type="containsText" dxfId="10312" priority="4145" operator="containsText" text="NA">
      <formula>NOT(ISERROR(SEARCH("NA",Z3)))</formula>
    </cfRule>
  </conditionalFormatting>
  <conditionalFormatting sqref="AH44">
    <cfRule type="containsText" dxfId="10311" priority="4146" operator="containsText" text="NA">
      <formula>NOT(ISERROR(SEARCH("NA",Z3)))</formula>
    </cfRule>
  </conditionalFormatting>
  <conditionalFormatting sqref="AH45">
    <cfRule type="containsText" dxfId="10310" priority="4147" operator="containsText" text="NA">
      <formula>NOT(ISERROR(SEARCH("NA",Z3)))</formula>
    </cfRule>
  </conditionalFormatting>
  <conditionalFormatting sqref="AH48">
    <cfRule type="containsText" dxfId="10309" priority="4148" operator="containsText" text="NA">
      <formula>NOT(ISERROR(SEARCH("NA",Z3)))</formula>
    </cfRule>
  </conditionalFormatting>
  <conditionalFormatting sqref="AH48">
    <cfRule type="containsText" dxfId="10308" priority="4149" operator="containsText" text="NA">
      <formula>NOT(ISERROR(SEARCH("NA",Z3)))</formula>
    </cfRule>
  </conditionalFormatting>
  <conditionalFormatting sqref="AH48">
    <cfRule type="containsText" dxfId="10307" priority="4150" operator="containsText" text="NA">
      <formula>NOT(ISERROR(SEARCH("NA",Z3)))</formula>
    </cfRule>
  </conditionalFormatting>
  <conditionalFormatting sqref="AH48">
    <cfRule type="containsText" dxfId="10306" priority="4151" operator="containsText" text="NA">
      <formula>NOT(ISERROR(SEARCH("NA",Z3)))</formula>
    </cfRule>
  </conditionalFormatting>
  <conditionalFormatting sqref="AR10">
    <cfRule type="containsText" dxfId="10305" priority="4152" operator="containsText" text="NA">
      <formula>NOT(ISERROR(SEARCH("NA",Z3)))</formula>
    </cfRule>
  </conditionalFormatting>
  <conditionalFormatting sqref="AT10">
    <cfRule type="containsText" dxfId="10304" priority="4153" operator="containsText" text="NA">
      <formula>NOT(ISERROR(SEARCH("NA",Z3)))</formula>
    </cfRule>
  </conditionalFormatting>
  <conditionalFormatting sqref="AA29">
    <cfRule type="containsText" dxfId="10303" priority="4154" operator="containsText" text="NA">
      <formula>NOT(ISERROR(SEARCH("NA",Z3)))</formula>
    </cfRule>
  </conditionalFormatting>
  <conditionalFormatting sqref="AA30">
    <cfRule type="containsText" dxfId="10302" priority="4155" operator="containsText" text="NA">
      <formula>NOT(ISERROR(SEARCH("NA",Z3)))</formula>
    </cfRule>
  </conditionalFormatting>
  <conditionalFormatting sqref="AA31">
    <cfRule type="containsText" dxfId="10301" priority="4156" operator="containsText" text="NA">
      <formula>NOT(ISERROR(SEARCH("NA",Z3)))</formula>
    </cfRule>
  </conditionalFormatting>
  <conditionalFormatting sqref="AF13">
    <cfRule type="containsText" dxfId="10300" priority="4157" operator="containsText" text="NA">
      <formula>NOT(ISERROR(SEARCH("NA",Z3)))</formula>
    </cfRule>
  </conditionalFormatting>
  <conditionalFormatting sqref="AH13">
    <cfRule type="containsText" dxfId="10299" priority="4158" operator="containsText" text="NA">
      <formula>NOT(ISERROR(SEARCH("NA",Z3)))</formula>
    </cfRule>
  </conditionalFormatting>
  <conditionalFormatting sqref="AI13">
    <cfRule type="containsText" dxfId="10298" priority="4159" operator="containsText" text="NA">
      <formula>NOT(ISERROR(SEARCH("NA",Z3)))</formula>
    </cfRule>
  </conditionalFormatting>
  <conditionalFormatting sqref="AJ13">
    <cfRule type="containsText" dxfId="10297" priority="4160" operator="containsText" text="NA">
      <formula>NOT(ISERROR(SEARCH("NA",Z3)))</formula>
    </cfRule>
  </conditionalFormatting>
  <conditionalFormatting sqref="AK13">
    <cfRule type="containsText" dxfId="10296" priority="4161" operator="containsText" text="NA">
      <formula>NOT(ISERROR(SEARCH("NA",Z3)))</formula>
    </cfRule>
  </conditionalFormatting>
  <conditionalFormatting sqref="AL13">
    <cfRule type="containsText" dxfId="10295" priority="4162" operator="containsText" text="NA">
      <formula>NOT(ISERROR(SEARCH("NA",Z3)))</formula>
    </cfRule>
  </conditionalFormatting>
  <conditionalFormatting sqref="AM13">
    <cfRule type="containsText" dxfId="10294" priority="4163" operator="containsText" text="NA">
      <formula>NOT(ISERROR(SEARCH("NA",Z3)))</formula>
    </cfRule>
  </conditionalFormatting>
  <conditionalFormatting sqref="AN13">
    <cfRule type="containsText" dxfId="10293" priority="4164" operator="containsText" text="NA">
      <formula>NOT(ISERROR(SEARCH("NA",Z3)))</formula>
    </cfRule>
  </conditionalFormatting>
  <conditionalFormatting sqref="AO13">
    <cfRule type="containsText" dxfId="10292" priority="4165" operator="containsText" text="NA">
      <formula>NOT(ISERROR(SEARCH("NA",Z3)))</formula>
    </cfRule>
  </conditionalFormatting>
  <conditionalFormatting sqref="AP13">
    <cfRule type="containsText" dxfId="10291" priority="4166" operator="containsText" text="NA">
      <formula>NOT(ISERROR(SEARCH("NA",Z3)))</formula>
    </cfRule>
  </conditionalFormatting>
  <conditionalFormatting sqref="AQ13">
    <cfRule type="containsText" dxfId="10290" priority="4167" operator="containsText" text="NA">
      <formula>NOT(ISERROR(SEARCH("NA",Z3)))</formula>
    </cfRule>
  </conditionalFormatting>
  <conditionalFormatting sqref="AR13">
    <cfRule type="containsText" dxfId="10289" priority="4168" operator="containsText" text="NA">
      <formula>NOT(ISERROR(SEARCH("NA",Z3)))</formula>
    </cfRule>
  </conditionalFormatting>
  <conditionalFormatting sqref="AS13">
    <cfRule type="containsText" dxfId="10288" priority="4169" operator="containsText" text="NA">
      <formula>NOT(ISERROR(SEARCH("NA",Z3)))</formula>
    </cfRule>
  </conditionalFormatting>
  <conditionalFormatting sqref="AT13">
    <cfRule type="containsText" dxfId="10287" priority="4170" operator="containsText" text="NA">
      <formula>NOT(ISERROR(SEARCH("NA",Z3)))</formula>
    </cfRule>
  </conditionalFormatting>
  <conditionalFormatting sqref="AU13">
    <cfRule type="containsText" dxfId="10286" priority="4171" operator="containsText" text="NA">
      <formula>NOT(ISERROR(SEARCH("NA",Z3)))</formula>
    </cfRule>
  </conditionalFormatting>
  <conditionalFormatting sqref="AV13">
    <cfRule type="containsText" dxfId="10285" priority="4172" operator="containsText" text="NA">
      <formula>NOT(ISERROR(SEARCH("NA",Z3)))</formula>
    </cfRule>
  </conditionalFormatting>
  <conditionalFormatting sqref="AW13">
    <cfRule type="containsText" dxfId="10284" priority="4173" operator="containsText" text="NA">
      <formula>NOT(ISERROR(SEARCH("NA",Z3)))</formula>
    </cfRule>
  </conditionalFormatting>
  <conditionalFormatting sqref="AX13">
    <cfRule type="containsText" dxfId="10283" priority="4174" operator="containsText" text="NA">
      <formula>NOT(ISERROR(SEARCH("NA",Z3)))</formula>
    </cfRule>
  </conditionalFormatting>
  <conditionalFormatting sqref="AY13">
    <cfRule type="containsText" dxfId="10282" priority="4175" operator="containsText" text="NA">
      <formula>NOT(ISERROR(SEARCH("NA",Z3)))</formula>
    </cfRule>
  </conditionalFormatting>
  <conditionalFormatting sqref="AZ13">
    <cfRule type="containsText" dxfId="10281" priority="4176" operator="containsText" text="NA">
      <formula>NOT(ISERROR(SEARCH("NA",Z3)))</formula>
    </cfRule>
  </conditionalFormatting>
  <conditionalFormatting sqref="AJ20:AJ21">
    <cfRule type="containsText" dxfId="10280" priority="4177" operator="containsText" text="NA">
      <formula>NOT(ISERROR(SEARCH("NA",Z3)))</formula>
    </cfRule>
  </conditionalFormatting>
  <conditionalFormatting sqref="AJ20">
    <cfRule type="containsText" dxfId="10279" priority="4178" operator="containsText" text="NA">
      <formula>NOT(ISERROR(SEARCH("NA",Z3)))</formula>
    </cfRule>
  </conditionalFormatting>
  <conditionalFormatting sqref="AJ41">
    <cfRule type="containsText" dxfId="10278" priority="4179" operator="containsText" text="NA">
      <formula>NOT(ISERROR(SEARCH("NA",Z3)))</formula>
    </cfRule>
  </conditionalFormatting>
  <conditionalFormatting sqref="AJ42">
    <cfRule type="containsText" dxfId="10277" priority="4180" operator="containsText" text="NA">
      <formula>NOT(ISERROR(SEARCH("NA",Z3)))</formula>
    </cfRule>
  </conditionalFormatting>
  <conditionalFormatting sqref="AJ42">
    <cfRule type="containsText" dxfId="10276" priority="4181" operator="containsText" text="NA">
      <formula>NOT(ISERROR(SEARCH("NA",Z3)))</formula>
    </cfRule>
  </conditionalFormatting>
  <conditionalFormatting sqref="AK41:AK52">
    <cfRule type="containsText" dxfId="10275" priority="4182" operator="containsText" text="NA">
      <formula>NOT(ISERROR(SEARCH("NA",Z3)))</formula>
    </cfRule>
  </conditionalFormatting>
  <conditionalFormatting sqref="AK41">
    <cfRule type="containsText" dxfId="10274" priority="4183" operator="containsText" text="NA">
      <formula>NOT(ISERROR(SEARCH("NA",Z3)))</formula>
    </cfRule>
  </conditionalFormatting>
  <conditionalFormatting sqref="AK42">
    <cfRule type="containsText" dxfId="10273" priority="4184" operator="containsText" text="NA">
      <formula>NOT(ISERROR(SEARCH("NA",Z3)))</formula>
    </cfRule>
  </conditionalFormatting>
  <conditionalFormatting sqref="AK42">
    <cfRule type="containsText" dxfId="10272" priority="4185" operator="containsText" text="NA">
      <formula>NOT(ISERROR(SEARCH("NA",Z3)))</formula>
    </cfRule>
  </conditionalFormatting>
  <conditionalFormatting sqref="AJ54">
    <cfRule type="containsText" dxfId="10271" priority="4186" operator="containsText" text="NA">
      <formula>NOT(ISERROR(SEARCH("NA",Z3)))</formula>
    </cfRule>
  </conditionalFormatting>
  <conditionalFormatting sqref="AK53">
    <cfRule type="containsText" dxfId="10270" priority="4187" operator="containsText" text="NA">
      <formula>NOT(ISERROR(SEARCH("NA",Z3)))</formula>
    </cfRule>
  </conditionalFormatting>
  <conditionalFormatting sqref="AR54">
    <cfRule type="containsText" dxfId="10269" priority="4188" operator="containsText" text="NA">
      <formula>NOT(ISERROR(SEARCH("NA",Z3)))</formula>
    </cfRule>
  </conditionalFormatting>
  <conditionalFormatting sqref="AB42 AB44 AB45 AB46 AB47 AC42 AC43 AC44 AC45 AC46 AC47">
    <cfRule type="containsText" dxfId="10268" priority="4189" operator="containsText" text="NA">
      <formula>NOT(ISERROR(SEARCH("NA",Z3)))</formula>
    </cfRule>
  </conditionalFormatting>
  <conditionalFormatting sqref="AB43">
    <cfRule type="containsText" dxfId="10267" priority="4190" operator="containsText" text="NA">
      <formula>NOT(ISERROR(SEARCH("NA",Z3)))</formula>
    </cfRule>
  </conditionalFormatting>
  <conditionalFormatting sqref="AG40 AH40">
    <cfRule type="containsText" dxfId="10266" priority="4191" operator="containsText" text="NA">
      <formula>NOT(ISERROR(SEARCH("NA",Z3)))</formula>
    </cfRule>
  </conditionalFormatting>
  <conditionalFormatting sqref="AC34">
    <cfRule type="containsText" dxfId="10265" priority="4192" operator="containsText" text="NA">
      <formula>NOT(ISERROR(SEARCH("NA",Z3)))</formula>
    </cfRule>
  </conditionalFormatting>
  <conditionalFormatting sqref="AC33">
    <cfRule type="containsText" dxfId="10264" priority="4193" operator="containsText" text="NA">
      <formula>NOT(ISERROR(SEARCH("NA",Z3)))</formula>
    </cfRule>
  </conditionalFormatting>
  <conditionalFormatting sqref="AC35">
    <cfRule type="containsText" dxfId="10263" priority="4194" operator="containsText" text="NA">
      <formula>NOT(ISERROR(SEARCH("NA",Z3)))</formula>
    </cfRule>
  </conditionalFormatting>
  <conditionalFormatting sqref="AC36">
    <cfRule type="containsText" dxfId="10262" priority="4195" operator="containsText" text="NA">
      <formula>NOT(ISERROR(SEARCH("NA",Z3)))</formula>
    </cfRule>
  </conditionalFormatting>
  <conditionalFormatting sqref="AC37">
    <cfRule type="containsText" dxfId="10261" priority="4196" operator="containsText" text="NA">
      <formula>NOT(ISERROR(SEARCH("NA",Z3)))</formula>
    </cfRule>
  </conditionalFormatting>
  <conditionalFormatting sqref="AC38">
    <cfRule type="containsText" dxfId="10260" priority="4197" operator="containsText" text="NA">
      <formula>NOT(ISERROR(SEARCH("NA",Z3)))</formula>
    </cfRule>
  </conditionalFormatting>
  <conditionalFormatting sqref="AC39">
    <cfRule type="containsText" dxfId="10259" priority="4198" operator="containsText" text="NA">
      <formula>NOT(ISERROR(SEARCH("NA",Z3)))</formula>
    </cfRule>
  </conditionalFormatting>
  <conditionalFormatting sqref="AC40">
    <cfRule type="containsText" dxfId="10258" priority="4199" operator="containsText" text="NA">
      <formula>NOT(ISERROR(SEARCH("NA",Z3)))</formula>
    </cfRule>
  </conditionalFormatting>
  <conditionalFormatting sqref="AB35">
    <cfRule type="containsText" dxfId="10257" priority="4200" operator="containsText" text="NA">
      <formula>NOT(ISERROR(SEARCH("NA",Z3)))</formula>
    </cfRule>
  </conditionalFormatting>
  <conditionalFormatting sqref="AB36">
    <cfRule type="containsText" dxfId="10256" priority="4201" operator="containsText" text="NA">
      <formula>NOT(ISERROR(SEARCH("NA",Z3)))</formula>
    </cfRule>
  </conditionalFormatting>
  <conditionalFormatting sqref="AB37">
    <cfRule type="containsText" dxfId="10255" priority="4202" operator="containsText" text="NA">
      <formula>NOT(ISERROR(SEARCH("NA",Z3)))</formula>
    </cfRule>
  </conditionalFormatting>
  <conditionalFormatting sqref="AM44:AM52">
    <cfRule type="containsText" dxfId="10254" priority="4203" operator="containsText" text="NA">
      <formula>NOT(ISERROR(SEARCH("NA",Z3)))</formula>
    </cfRule>
  </conditionalFormatting>
  <conditionalFormatting sqref="AM41">
    <cfRule type="containsText" dxfId="10253" priority="4204" operator="containsText" text="NA">
      <formula>NOT(ISERROR(SEARCH("NA",Z3)))</formula>
    </cfRule>
  </conditionalFormatting>
  <conditionalFormatting sqref="AN40:AN52">
    <cfRule type="containsText" dxfId="10252" priority="4205" operator="containsText" text="NA">
      <formula>NOT(ISERROR(SEARCH("NA",Z3)))</formula>
    </cfRule>
  </conditionalFormatting>
  <conditionalFormatting sqref="AN44:AN52">
    <cfRule type="containsText" dxfId="10251" priority="4206" operator="containsText" text="NA">
      <formula>NOT(ISERROR(SEARCH("NA",Z3)))</formula>
    </cfRule>
  </conditionalFormatting>
  <conditionalFormatting sqref="AN41">
    <cfRule type="containsText" dxfId="10250" priority="4207" operator="containsText" text="NA">
      <formula>NOT(ISERROR(SEARCH("NA",Z3)))</formula>
    </cfRule>
  </conditionalFormatting>
  <conditionalFormatting sqref="AQ42:AQ52">
    <cfRule type="containsText" dxfId="10249" priority="4208" operator="containsText" text="NA">
      <formula>NOT(ISERROR(SEARCH("NA",Z3)))</formula>
    </cfRule>
  </conditionalFormatting>
  <conditionalFormatting sqref="AP41">
    <cfRule type="containsText" dxfId="10248" priority="4209" operator="containsText" text="NA">
      <formula>NOT(ISERROR(SEARCH("NA",Z3)))</formula>
    </cfRule>
  </conditionalFormatting>
  <conditionalFormatting sqref="AM53">
    <cfRule type="containsText" dxfId="10247" priority="4210" operator="containsText" text="NA">
      <formula>NOT(ISERROR(SEARCH("NA",Z3)))</formula>
    </cfRule>
  </conditionalFormatting>
  <conditionalFormatting sqref="AL54">
    <cfRule type="containsText" dxfId="10246" priority="4211" operator="containsText" text="NA">
      <formula>NOT(ISERROR(SEARCH("NA",Z3)))</formula>
    </cfRule>
  </conditionalFormatting>
  <conditionalFormatting sqref="AU54">
    <cfRule type="containsText" dxfId="10245" priority="4212" operator="containsText" text="NA">
      <formula>NOT(ISERROR(SEARCH("NA",Z3)))</formula>
    </cfRule>
  </conditionalFormatting>
  <conditionalFormatting sqref="AV53">
    <cfRule type="containsText" dxfId="10244" priority="4213" operator="containsText" text="NA">
      <formula>NOT(ISERROR(SEARCH("NA",Z3)))</formula>
    </cfRule>
  </conditionalFormatting>
  <conditionalFormatting sqref="AX53">
    <cfRule type="containsText" dxfId="10243" priority="4214" operator="containsText" text="NA">
      <formula>NOT(ISERROR(SEARCH("NA",Z3)))</formula>
    </cfRule>
  </conditionalFormatting>
  <conditionalFormatting sqref="AY53">
    <cfRule type="containsText" dxfId="10242" priority="4215" operator="containsText" text="NA">
      <formula>NOT(ISERROR(SEARCH("NA",Z3)))</formula>
    </cfRule>
  </conditionalFormatting>
  <conditionalFormatting sqref="AS53">
    <cfRule type="containsText" dxfId="10241" priority="4216" operator="containsText" text="NA">
      <formula>NOT(ISERROR(SEARCH("NA",Z3)))</formula>
    </cfRule>
  </conditionalFormatting>
  <conditionalFormatting sqref="AT53">
    <cfRule type="containsText" dxfId="10240" priority="4217" operator="containsText" text="NA">
      <formula>NOT(ISERROR(SEARCH("NA",Z3)))</formula>
    </cfRule>
  </conditionalFormatting>
  <conditionalFormatting sqref="AS55">
    <cfRule type="containsText" dxfId="10239" priority="4218" operator="containsText" text="NA">
      <formula>NOT(ISERROR(SEARCH("NA",Z3)))</formula>
    </cfRule>
  </conditionalFormatting>
  <conditionalFormatting sqref="AG25">
    <cfRule type="containsText" dxfId="10238" priority="4219" operator="containsText" text="NA">
      <formula>NOT(ISERROR(SEARCH("NA",Z3)))</formula>
    </cfRule>
  </conditionalFormatting>
  <conditionalFormatting sqref="AH25">
    <cfRule type="containsText" dxfId="10237" priority="4220" operator="containsText" text="NA">
      <formula>NOT(ISERROR(SEARCH("NA",Z3)))</formula>
    </cfRule>
  </conditionalFormatting>
  <conditionalFormatting sqref="AG28">
    <cfRule type="containsText" dxfId="10236" priority="4221" operator="containsText" text="NA">
      <formula>NOT(ISERROR(SEARCH("NA",Z3)))</formula>
    </cfRule>
  </conditionalFormatting>
  <conditionalFormatting sqref="AH28">
    <cfRule type="containsText" dxfId="10235" priority="4222" operator="containsText" text="NA">
      <formula>NOT(ISERROR(SEARCH("NA",Z3)))</formula>
    </cfRule>
  </conditionalFormatting>
  <conditionalFormatting sqref="AK23">
    <cfRule type="containsText" dxfId="10234" priority="4223" operator="containsText" text="NA">
      <formula>NOT(ISERROR(SEARCH("NA",Z3)))</formula>
    </cfRule>
  </conditionalFormatting>
  <conditionalFormatting sqref="AJ27 AK27">
    <cfRule type="containsText" dxfId="10233" priority="4224" operator="containsText" text="NA">
      <formula>NOT(ISERROR(SEARCH("NA",Z3)))</formula>
    </cfRule>
  </conditionalFormatting>
  <conditionalFormatting sqref="AK27">
    <cfRule type="containsText" dxfId="10232" priority="4225" operator="containsText" text="NA">
      <formula>NOT(ISERROR(SEARCH("NA",Z3)))</formula>
    </cfRule>
  </conditionalFormatting>
  <conditionalFormatting sqref="AK28">
    <cfRule type="containsText" dxfId="10231" priority="4226" operator="containsText" text="NA">
      <formula>NOT(ISERROR(SEARCH("NA",Z3)))</formula>
    </cfRule>
  </conditionalFormatting>
  <conditionalFormatting sqref="AK31">
    <cfRule type="containsText" dxfId="10230" priority="4227" operator="containsText" text="NA">
      <formula>NOT(ISERROR(SEARCH("NA",Z3)))</formula>
    </cfRule>
  </conditionalFormatting>
  <conditionalFormatting sqref="AN23:AN31">
    <cfRule type="containsText" dxfId="10229" priority="4228" operator="containsText" text="NA">
      <formula>NOT(ISERROR(SEARCH("NA",Z3)))</formula>
    </cfRule>
  </conditionalFormatting>
  <conditionalFormatting sqref="AO24">
    <cfRule type="containsText" dxfId="10228" priority="4229" operator="containsText" text="NA">
      <formula>NOT(ISERROR(SEARCH("NA",Z3)))</formula>
    </cfRule>
  </conditionalFormatting>
  <conditionalFormatting sqref="AP23:AP31">
    <cfRule type="containsText" dxfId="10227" priority="4230" operator="containsText" text="NA">
      <formula>NOT(ISERROR(SEARCH("NA",Z3)))</formula>
    </cfRule>
  </conditionalFormatting>
  <conditionalFormatting sqref="AP23:AP31">
    <cfRule type="containsText" dxfId="10226" priority="4231" operator="containsText" text="NA">
      <formula>NOT(ISERROR(SEARCH("NA",Z3)))</formula>
    </cfRule>
  </conditionalFormatting>
  <conditionalFormatting sqref="AQ23:AQ31">
    <cfRule type="containsText" dxfId="10225" priority="4232" operator="containsText" text="NA">
      <formula>NOT(ISERROR(SEARCH("NA",Z3)))</formula>
    </cfRule>
  </conditionalFormatting>
  <conditionalFormatting sqref="AQ23:AQ31">
    <cfRule type="containsText" dxfId="10224" priority="4233" operator="containsText" text="NA">
      <formula>NOT(ISERROR(SEARCH("NA",Z3)))</formula>
    </cfRule>
  </conditionalFormatting>
  <conditionalFormatting sqref="AR24">
    <cfRule type="containsText" dxfId="10223" priority="4234" operator="containsText" text="NA">
      <formula>NOT(ISERROR(SEARCH("NA",Z3)))</formula>
    </cfRule>
  </conditionalFormatting>
  <conditionalFormatting sqref="AR25">
    <cfRule type="containsText" dxfId="10222" priority="4235" operator="containsText" text="NA">
      <formula>NOT(ISERROR(SEARCH("NA",Z3)))</formula>
    </cfRule>
  </conditionalFormatting>
  <conditionalFormatting sqref="AR31">
    <cfRule type="containsText" dxfId="10221" priority="4236" operator="containsText" text="NA">
      <formula>NOT(ISERROR(SEARCH("NA",Z3)))</formula>
    </cfRule>
  </conditionalFormatting>
  <conditionalFormatting sqref="AR31">
    <cfRule type="containsText" dxfId="10220" priority="4237" operator="containsText" text="NA">
      <formula>NOT(ISERROR(SEARCH("NA",Z3)))</formula>
    </cfRule>
  </conditionalFormatting>
  <conditionalFormatting sqref="AR27">
    <cfRule type="containsText" dxfId="10219" priority="4238" operator="containsText" text="NA">
      <formula>NOT(ISERROR(SEARCH("NA",Z3)))</formula>
    </cfRule>
  </conditionalFormatting>
  <conditionalFormatting sqref="AS23:AS25">
    <cfRule type="containsText" dxfId="10218" priority="4239" operator="containsText" text="NA">
      <formula>NOT(ISERROR(SEARCH("NA",Z3)))</formula>
    </cfRule>
  </conditionalFormatting>
  <conditionalFormatting sqref="AS24">
    <cfRule type="containsText" dxfId="10217" priority="4240" operator="containsText" text="NA">
      <formula>NOT(ISERROR(SEARCH("NA",Z3)))</formula>
    </cfRule>
  </conditionalFormatting>
  <conditionalFormatting sqref="AS25">
    <cfRule type="containsText" dxfId="10216" priority="4241" operator="containsText" text="NA">
      <formula>NOT(ISERROR(SEARCH("NA",Z3)))</formula>
    </cfRule>
  </conditionalFormatting>
  <conditionalFormatting sqref="AS26:AS31">
    <cfRule type="containsText" dxfId="10215" priority="4242" operator="containsText" text="NA">
      <formula>NOT(ISERROR(SEARCH("NA",Z3)))</formula>
    </cfRule>
  </conditionalFormatting>
  <conditionalFormatting sqref="AS31">
    <cfRule type="containsText" dxfId="10214" priority="4243" operator="containsText" text="NA">
      <formula>NOT(ISERROR(SEARCH("NA",Z3)))</formula>
    </cfRule>
  </conditionalFormatting>
  <conditionalFormatting sqref="AS31">
    <cfRule type="containsText" dxfId="10213" priority="4244" operator="containsText" text="NA">
      <formula>NOT(ISERROR(SEARCH("NA",Z3)))</formula>
    </cfRule>
  </conditionalFormatting>
  <conditionalFormatting sqref="AS27">
    <cfRule type="containsText" dxfId="10212" priority="4245" operator="containsText" text="NA">
      <formula>NOT(ISERROR(SEARCH("NA",Z3)))</formula>
    </cfRule>
  </conditionalFormatting>
  <conditionalFormatting sqref="AT23:AT31">
    <cfRule type="containsText" dxfId="10211" priority="4246" operator="containsText" text="NA">
      <formula>NOT(ISERROR(SEARCH("NA",Z3)))</formula>
    </cfRule>
  </conditionalFormatting>
  <conditionalFormatting sqref="AT23:AT25">
    <cfRule type="containsText" dxfId="10210" priority="4247" operator="containsText" text="NA">
      <formula>NOT(ISERROR(SEARCH("NA",Z3)))</formula>
    </cfRule>
  </conditionalFormatting>
  <conditionalFormatting sqref="AT24">
    <cfRule type="containsText" dxfId="10209" priority="4248" operator="containsText" text="NA">
      <formula>NOT(ISERROR(SEARCH("NA",Z3)))</formula>
    </cfRule>
  </conditionalFormatting>
  <conditionalFormatting sqref="AT25">
    <cfRule type="containsText" dxfId="10208" priority="4249" operator="containsText" text="NA">
      <formula>NOT(ISERROR(SEARCH("NA",Z3)))</formula>
    </cfRule>
  </conditionalFormatting>
  <conditionalFormatting sqref="AT26:AT31">
    <cfRule type="containsText" dxfId="10207" priority="4250" operator="containsText" text="NA">
      <formula>NOT(ISERROR(SEARCH("NA",Z3)))</formula>
    </cfRule>
  </conditionalFormatting>
  <conditionalFormatting sqref="AT31">
    <cfRule type="containsText" dxfId="10206" priority="4251" operator="containsText" text="NA">
      <formula>NOT(ISERROR(SEARCH("NA",Z3)))</formula>
    </cfRule>
  </conditionalFormatting>
  <conditionalFormatting sqref="AT31">
    <cfRule type="containsText" dxfId="10205" priority="4252" operator="containsText" text="NA">
      <formula>NOT(ISERROR(SEARCH("NA",Z3)))</formula>
    </cfRule>
  </conditionalFormatting>
  <conditionalFormatting sqref="AT27">
    <cfRule type="containsText" dxfId="10204" priority="4253" operator="containsText" text="NA">
      <formula>NOT(ISERROR(SEARCH("NA",Z3)))</formula>
    </cfRule>
  </conditionalFormatting>
  <conditionalFormatting sqref="AU25 AV25">
    <cfRule type="containsText" dxfId="10203" priority="4254" operator="containsText" text="NA">
      <formula>NOT(ISERROR(SEARCH("NA",Z3)))</formula>
    </cfRule>
  </conditionalFormatting>
  <conditionalFormatting sqref="AU27 AV27">
    <cfRule type="containsText" dxfId="10202" priority="4255" operator="containsText" text="NA">
      <formula>NOT(ISERROR(SEARCH("NA",Z3)))</formula>
    </cfRule>
  </conditionalFormatting>
  <conditionalFormatting sqref="AU26">
    <cfRule type="containsText" dxfId="10201" priority="4256" operator="containsText" text="NA">
      <formula>NOT(ISERROR(SEARCH("NA",Z3)))</formula>
    </cfRule>
  </conditionalFormatting>
  <conditionalFormatting sqref="AU28 AV28">
    <cfRule type="containsText" dxfId="10200" priority="4257" operator="containsText" text="NA">
      <formula>NOT(ISERROR(SEARCH("NA",Z3)))</formula>
    </cfRule>
  </conditionalFormatting>
  <conditionalFormatting sqref="AU28">
    <cfRule type="containsText" dxfId="10199" priority="4258" operator="containsText" text="NA">
      <formula>NOT(ISERROR(SEARCH("NA",Z3)))</formula>
    </cfRule>
  </conditionalFormatting>
  <conditionalFormatting sqref="AX23">
    <cfRule type="containsText" dxfId="10198" priority="4259" operator="containsText" text="NA">
      <formula>NOT(ISERROR(SEARCH("NA",Z3)))</formula>
    </cfRule>
  </conditionalFormatting>
  <conditionalFormatting sqref="AY23">
    <cfRule type="containsText" dxfId="10197" priority="4260" operator="containsText" text="NA">
      <formula>NOT(ISERROR(SEARCH("NA",Z3)))</formula>
    </cfRule>
  </conditionalFormatting>
  <conditionalFormatting sqref="AZ23">
    <cfRule type="containsText" dxfId="10196" priority="4261" operator="containsText" text="NA">
      <formula>NOT(ISERROR(SEARCH("NA",Z3)))</formula>
    </cfRule>
  </conditionalFormatting>
  <conditionalFormatting sqref="AY26">
    <cfRule type="containsText" dxfId="10195" priority="4262" operator="containsText" text="NA">
      <formula>NOT(ISERROR(SEARCH("NA",Z3)))</formula>
    </cfRule>
  </conditionalFormatting>
  <conditionalFormatting sqref="AY28">
    <cfRule type="containsText" dxfId="10194" priority="4263" operator="containsText" text="NA">
      <formula>NOT(ISERROR(SEARCH("NA",Z3)))</formula>
    </cfRule>
  </conditionalFormatting>
  <conditionalFormatting sqref="AZ28">
    <cfRule type="containsText" dxfId="10193" priority="4264" operator="containsText" text="NA">
      <formula>NOT(ISERROR(SEARCH("NA",Z3)))</formula>
    </cfRule>
  </conditionalFormatting>
  <conditionalFormatting sqref="AS56">
    <cfRule type="containsText" dxfId="10192" priority="4265" operator="containsText" text="NA">
      <formula>NOT(ISERROR(SEARCH("NA",Z3)))</formula>
    </cfRule>
  </conditionalFormatting>
  <conditionalFormatting sqref="AS56">
    <cfRule type="containsText" dxfId="10191" priority="4266" operator="containsText" text="NA">
      <formula>NOT(ISERROR(SEARCH("NA",Z3)))</formula>
    </cfRule>
  </conditionalFormatting>
  <conditionalFormatting sqref="AT55">
    <cfRule type="containsText" dxfId="10190" priority="4267" operator="containsText" text="NA">
      <formula>NOT(ISERROR(SEARCH("NA",Z3)))</formula>
    </cfRule>
  </conditionalFormatting>
  <conditionalFormatting sqref="AT55">
    <cfRule type="containsText" dxfId="10189" priority="4268" operator="containsText" text="NA">
      <formula>NOT(ISERROR(SEARCH("NA",Z3)))</formula>
    </cfRule>
  </conditionalFormatting>
  <conditionalFormatting sqref="AT56">
    <cfRule type="containsText" dxfId="10188" priority="4269" operator="containsText" text="NA">
      <formula>NOT(ISERROR(SEARCH("NA",Z3)))</formula>
    </cfRule>
  </conditionalFormatting>
  <conditionalFormatting sqref="AT56">
    <cfRule type="containsText" dxfId="10187" priority="4270" operator="containsText" text="NA">
      <formula>NOT(ISERROR(SEARCH("NA",Z3)))</formula>
    </cfRule>
  </conditionalFormatting>
  <conditionalFormatting sqref="AO25">
    <cfRule type="containsText" dxfId="10186" priority="4271" operator="containsText" text="NA">
      <formula>NOT(ISERROR(SEARCH("NA",Z3)))</formula>
    </cfRule>
  </conditionalFormatting>
  <conditionalFormatting sqref="AO25">
    <cfRule type="containsText" dxfId="10185" priority="4272" operator="containsText" text="NA">
      <formula>NOT(ISERROR(SEARCH("NA",Z3)))</formula>
    </cfRule>
  </conditionalFormatting>
  <conditionalFormatting sqref="AF26">
    <cfRule type="containsText" dxfId="10184" priority="4273" operator="containsText" text="NA">
      <formula>NOT(ISERROR(SEARCH("NA",Z3)))</formula>
    </cfRule>
  </conditionalFormatting>
  <conditionalFormatting sqref="AI26">
    <cfRule type="containsText" dxfId="10183" priority="4274" operator="containsText" text="NA">
      <formula>NOT(ISERROR(SEARCH("NA",Z3)))</formula>
    </cfRule>
  </conditionalFormatting>
  <conditionalFormatting sqref="AW26">
    <cfRule type="containsText" dxfId="10182" priority="4275" operator="containsText" text="NA">
      <formula>NOT(ISERROR(SEARCH("NA",Z3)))</formula>
    </cfRule>
  </conditionalFormatting>
  <conditionalFormatting sqref="AY41:AY52">
    <cfRule type="containsText" dxfId="10181" priority="4276" operator="containsText" text="NA">
      <formula>NOT(ISERROR(SEARCH("NA",Z3)))</formula>
    </cfRule>
  </conditionalFormatting>
  <conditionalFormatting sqref="AZ41:AZ52">
    <cfRule type="containsText" dxfId="10180" priority="4277" operator="containsText" text="NA">
      <formula>NOT(ISERROR(SEARCH("NA",Z3)))</formula>
    </cfRule>
  </conditionalFormatting>
  <conditionalFormatting sqref="AG42 AH42">
    <cfRule type="containsText" dxfId="10179" priority="4278" operator="containsText" text="NA">
      <formula>NOT(ISERROR(SEARCH("NA",Z3)))</formula>
    </cfRule>
  </conditionalFormatting>
  <conditionalFormatting sqref="AH47">
    <cfRule type="containsText" dxfId="10178" priority="4279" operator="containsText" text="NA">
      <formula>NOT(ISERROR(SEARCH("NA",Z3)))</formula>
    </cfRule>
  </conditionalFormatting>
  <conditionalFormatting sqref="AH47">
    <cfRule type="containsText" dxfId="10177" priority="4280" operator="containsText" text="NA">
      <formula>NOT(ISERROR(SEARCH("NA",Z3)))</formula>
    </cfRule>
  </conditionalFormatting>
  <conditionalFormatting sqref="AH47">
    <cfRule type="containsText" dxfId="10176" priority="4281" operator="containsText" text="NA">
      <formula>NOT(ISERROR(SEARCH("NA",Z3)))</formula>
    </cfRule>
  </conditionalFormatting>
  <conditionalFormatting sqref="AH49">
    <cfRule type="containsText" dxfId="10175" priority="4282" operator="containsText" text="NA">
      <formula>NOT(ISERROR(SEARCH("NA",Z3)))</formula>
    </cfRule>
  </conditionalFormatting>
  <conditionalFormatting sqref="AH43">
    <cfRule type="containsText" dxfId="10174" priority="4283" operator="containsText" text="NA">
      <formula>NOT(ISERROR(SEARCH("NA",Z3)))</formula>
    </cfRule>
  </conditionalFormatting>
  <conditionalFormatting sqref="AH43">
    <cfRule type="containsText" dxfId="10173" priority="4284" operator="containsText" text="NA">
      <formula>NOT(ISERROR(SEARCH("NA",Z3)))</formula>
    </cfRule>
  </conditionalFormatting>
  <conditionalFormatting sqref="AU43">
    <cfRule type="containsText" dxfId="10172" priority="4285" operator="containsText" text="NA">
      <formula>NOT(ISERROR(SEARCH("NA",Z3)))</formula>
    </cfRule>
  </conditionalFormatting>
  <conditionalFormatting sqref="AU44">
    <cfRule type="containsText" dxfId="10171" priority="4286" operator="containsText" text="NA">
      <formula>NOT(ISERROR(SEARCH("NA",Z3)))</formula>
    </cfRule>
  </conditionalFormatting>
  <conditionalFormatting sqref="AU46">
    <cfRule type="containsText" dxfId="10170" priority="4287" operator="containsText" text="NA">
      <formula>NOT(ISERROR(SEARCH("NA",Z3)))</formula>
    </cfRule>
  </conditionalFormatting>
  <conditionalFormatting sqref="AU47">
    <cfRule type="containsText" dxfId="10169" priority="4288" operator="containsText" text="NA">
      <formula>NOT(ISERROR(SEARCH("NA",Z3)))</formula>
    </cfRule>
  </conditionalFormatting>
  <conditionalFormatting sqref="AU48">
    <cfRule type="containsText" dxfId="10168" priority="4289" operator="containsText" text="NA">
      <formula>NOT(ISERROR(SEARCH("NA",Z3)))</formula>
    </cfRule>
  </conditionalFormatting>
  <conditionalFormatting sqref="AU49">
    <cfRule type="containsText" dxfId="10167" priority="4290" operator="containsText" text="NA">
      <formula>NOT(ISERROR(SEARCH("NA",Z3)))</formula>
    </cfRule>
  </conditionalFormatting>
  <conditionalFormatting sqref="AU50">
    <cfRule type="containsText" dxfId="10166" priority="4291" operator="containsText" text="NA">
      <formula>NOT(ISERROR(SEARCH("NA",Z3)))</formula>
    </cfRule>
  </conditionalFormatting>
  <conditionalFormatting sqref="AU51">
    <cfRule type="containsText" dxfId="10165" priority="4292" operator="containsText" text="NA">
      <formula>NOT(ISERROR(SEARCH("NA",Z3)))</formula>
    </cfRule>
  </conditionalFormatting>
  <conditionalFormatting sqref="AU52">
    <cfRule type="containsText" dxfId="10164" priority="4293" operator="containsText" text="NA">
      <formula>NOT(ISERROR(SEARCH("NA",Z3)))</formula>
    </cfRule>
  </conditionalFormatting>
  <conditionalFormatting sqref="AV42:AV43">
    <cfRule type="containsText" dxfId="10163" priority="4294" operator="containsText" text="NA">
      <formula>NOT(ISERROR(SEARCH("NA",Z3)))</formula>
    </cfRule>
  </conditionalFormatting>
  <conditionalFormatting sqref="AV43">
    <cfRule type="containsText" dxfId="10162" priority="4295" operator="containsText" text="NA">
      <formula>NOT(ISERROR(SEARCH("NA",Z3)))</formula>
    </cfRule>
  </conditionalFormatting>
  <conditionalFormatting sqref="AV41">
    <cfRule type="containsText" dxfId="10161" priority="4296" operator="containsText" text="NA">
      <formula>NOT(ISERROR(SEARCH("NA",Z3)))</formula>
    </cfRule>
  </conditionalFormatting>
  <conditionalFormatting sqref="AV45:AV52">
    <cfRule type="containsText" dxfId="10160" priority="4297" operator="containsText" text="NA">
      <formula>NOT(ISERROR(SEARCH("NA",Z3)))</formula>
    </cfRule>
  </conditionalFormatting>
  <conditionalFormatting sqref="AV46">
    <cfRule type="containsText" dxfId="10159" priority="4298" operator="containsText" text="NA">
      <formula>NOT(ISERROR(SEARCH("NA",Z3)))</formula>
    </cfRule>
  </conditionalFormatting>
  <conditionalFormatting sqref="AV47">
    <cfRule type="containsText" dxfId="10158" priority="4299" operator="containsText" text="NA">
      <formula>NOT(ISERROR(SEARCH("NA",Z3)))</formula>
    </cfRule>
  </conditionalFormatting>
  <conditionalFormatting sqref="AV48">
    <cfRule type="containsText" dxfId="10157" priority="4300" operator="containsText" text="NA">
      <formula>NOT(ISERROR(SEARCH("NA",Z3)))</formula>
    </cfRule>
  </conditionalFormatting>
  <conditionalFormatting sqref="AV49">
    <cfRule type="containsText" dxfId="10156" priority="4301" operator="containsText" text="NA">
      <formula>NOT(ISERROR(SEARCH("NA",Z3)))</formula>
    </cfRule>
  </conditionalFormatting>
  <conditionalFormatting sqref="AV50">
    <cfRule type="containsText" dxfId="10155" priority="4302" operator="containsText" text="NA">
      <formula>NOT(ISERROR(SEARCH("NA",Z3)))</formula>
    </cfRule>
  </conditionalFormatting>
  <conditionalFormatting sqref="AV51">
    <cfRule type="containsText" dxfId="10154" priority="4303" operator="containsText" text="NA">
      <formula>NOT(ISERROR(SEARCH("NA",Z3)))</formula>
    </cfRule>
  </conditionalFormatting>
  <conditionalFormatting sqref="AV52">
    <cfRule type="containsText" dxfId="10153" priority="4304" operator="containsText" text="NA">
      <formula>NOT(ISERROR(SEARCH("NA",Z3)))</formula>
    </cfRule>
  </conditionalFormatting>
  <conditionalFormatting sqref="AW33:AW40">
    <cfRule type="containsText" dxfId="10152" priority="4305" operator="containsText" text="NA">
      <formula>NOT(ISERROR(SEARCH("NA",Z3)))</formula>
    </cfRule>
  </conditionalFormatting>
  <conditionalFormatting sqref="AY32:AY40">
    <cfRule type="containsText" dxfId="10151" priority="4306" operator="containsText" text="NA">
      <formula>NOT(ISERROR(SEARCH("NA",Z3)))</formula>
    </cfRule>
  </conditionalFormatting>
  <conditionalFormatting sqref="AZ32:AZ40">
    <cfRule type="containsText" dxfId="10150" priority="4307" operator="containsText" text="NA">
      <formula>NOT(ISERROR(SEARCH("NA",Z3)))</formula>
    </cfRule>
  </conditionalFormatting>
  <conditionalFormatting sqref="AJ33 AK33 AL33 AM33 AN33 AO33 AP33 AQ33 AR33 AS33 AT33">
    <cfRule type="containsText" dxfId="10149" priority="4308" operator="containsText" text="NA">
      <formula>NOT(ISERROR(SEARCH("NA",Z3)))</formula>
    </cfRule>
  </conditionalFormatting>
  <conditionalFormatting sqref="AS34">
    <cfRule type="containsText" dxfId="10148" priority="4309" operator="containsText" text="NA">
      <formula>NOT(ISERROR(SEARCH("NA",Z3)))</formula>
    </cfRule>
  </conditionalFormatting>
  <conditionalFormatting sqref="AP35:AP36 AQ35:AQ36">
    <cfRule type="containsText" dxfId="10147" priority="4310" operator="containsText" text="NA">
      <formula>NOT(ISERROR(SEARCH("NA",Z3)))</formula>
    </cfRule>
  </conditionalFormatting>
  <conditionalFormatting sqref="AL39">
    <cfRule type="containsText" dxfId="10146" priority="4311" operator="containsText" text="NA">
      <formula>NOT(ISERROR(SEARCH("NA",Z3)))</formula>
    </cfRule>
  </conditionalFormatting>
  <conditionalFormatting sqref="AX31">
    <cfRule type="containsText" dxfId="10145" priority="4312" operator="containsText" text="NA">
      <formula>NOT(ISERROR(SEARCH("NA",Z3)))</formula>
    </cfRule>
  </conditionalFormatting>
  <conditionalFormatting sqref="AX31">
    <cfRule type="containsText" dxfId="10144" priority="4313" operator="containsText" text="NA">
      <formula>NOT(ISERROR(SEARCH("NA",Z3)))</formula>
    </cfRule>
  </conditionalFormatting>
  <conditionalFormatting sqref="AY31">
    <cfRule type="containsText" dxfId="10143" priority="4314" operator="containsText" text="NA">
      <formula>NOT(ISERROR(SEARCH("NA",Z3)))</formula>
    </cfRule>
  </conditionalFormatting>
  <conditionalFormatting sqref="AY31">
    <cfRule type="containsText" dxfId="10142" priority="4315" operator="containsText" text="NA">
      <formula>NOT(ISERROR(SEARCH("NA",Z3)))</formula>
    </cfRule>
  </conditionalFormatting>
  <conditionalFormatting sqref="AZ31">
    <cfRule type="containsText" dxfId="10141" priority="4316" operator="containsText" text="NA">
      <formula>NOT(ISERROR(SEARCH("NA",Z3)))</formula>
    </cfRule>
  </conditionalFormatting>
  <conditionalFormatting sqref="AZ31">
    <cfRule type="containsText" dxfId="10140" priority="4317" operator="containsText" text="NA">
      <formula>NOT(ISERROR(SEARCH("NA",Z3)))</formula>
    </cfRule>
  </conditionalFormatting>
  <conditionalFormatting sqref="AV24:AV25">
    <cfRule type="containsText" dxfId="10139" priority="4318" operator="containsText" text="NA">
      <formula>NOT(ISERROR(SEARCH("NA",Z3)))</formula>
    </cfRule>
  </conditionalFormatting>
  <conditionalFormatting sqref="AV25">
    <cfRule type="containsText" dxfId="10138" priority="4319" operator="containsText" text="NA">
      <formula>NOT(ISERROR(SEARCH("NA",Z3)))</formula>
    </cfRule>
  </conditionalFormatting>
  <conditionalFormatting sqref="AW24:AW25">
    <cfRule type="containsText" dxfId="10137" priority="4320" operator="containsText" text="NA">
      <formula>NOT(ISERROR(SEARCH("NA",Z3)))</formula>
    </cfRule>
  </conditionalFormatting>
  <conditionalFormatting sqref="AW25">
    <cfRule type="containsText" dxfId="10136" priority="4321" operator="containsText" text="NA">
      <formula>NOT(ISERROR(SEARCH("NA",Z3)))</formula>
    </cfRule>
  </conditionalFormatting>
  <conditionalFormatting sqref="AX24:AX25">
    <cfRule type="containsText" dxfId="10135" priority="4322" operator="containsText" text="NA">
      <formula>NOT(ISERROR(SEARCH("NA",Z3)))</formula>
    </cfRule>
  </conditionalFormatting>
  <conditionalFormatting sqref="AX25">
    <cfRule type="containsText" dxfId="10134" priority="4323" operator="containsText" text="NA">
      <formula>NOT(ISERROR(SEARCH("NA",Z3)))</formula>
    </cfRule>
  </conditionalFormatting>
  <conditionalFormatting sqref="AY24:AY25">
    <cfRule type="containsText" dxfId="10133" priority="4324" operator="containsText" text="NA">
      <formula>NOT(ISERROR(SEARCH("NA",Z3)))</formula>
    </cfRule>
  </conditionalFormatting>
  <conditionalFormatting sqref="AY25">
    <cfRule type="containsText" dxfId="10132" priority="4325" operator="containsText" text="NA">
      <formula>NOT(ISERROR(SEARCH("NA",Z3)))</formula>
    </cfRule>
  </conditionalFormatting>
  <conditionalFormatting sqref="AZ24:AZ25">
    <cfRule type="containsText" dxfId="10131" priority="4326" operator="containsText" text="NA">
      <formula>NOT(ISERROR(SEARCH("NA",Z3)))</formula>
    </cfRule>
  </conditionalFormatting>
  <conditionalFormatting sqref="AZ25">
    <cfRule type="containsText" dxfId="10130" priority="4327" operator="containsText" text="NA">
      <formula>NOT(ISERROR(SEARCH("NA",Z3)))</formula>
    </cfRule>
  </conditionalFormatting>
  <pageMargins left="0.7" right="0.7" top="0.75" bottom="0.75" header="0.3" footer="0.3"/>
  <pageSetup paperSize="9" scale="14" fitToHeight="0"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2"/>
  <sheetViews>
    <sheetView showGridLines="0" topLeftCell="A18" workbookViewId="0">
      <selection activeCell="D18" sqref="D18"/>
    </sheetView>
  </sheetViews>
  <sheetFormatPr defaultColWidth="8.85546875" defaultRowHeight="15" x14ac:dyDescent="0.25"/>
  <cols>
    <col min="1" max="1" width="14.28515625" bestFit="1"/>
    <col min="2" max="2" width="36.7109375" bestFit="1"/>
    <col min="3" max="3" width="29.140625" style="89" bestFit="1"/>
    <col min="4" max="4" width="30.140625" style="89" bestFit="1"/>
    <col min="5" max="5" width="49.42578125" customWidth="1"/>
  </cols>
  <sheetData>
    <row r="1" spans="1:5" ht="25.5" x14ac:dyDescent="0.25">
      <c r="A1" s="90" t="s">
        <v>371</v>
      </c>
      <c r="B1" s="91" t="s">
        <v>546</v>
      </c>
      <c r="C1" s="92" t="s">
        <v>547</v>
      </c>
      <c r="D1" s="91" t="s">
        <v>548</v>
      </c>
      <c r="E1" s="93" t="s">
        <v>549</v>
      </c>
    </row>
    <row r="2" spans="1:5" ht="26.25" x14ac:dyDescent="0.25">
      <c r="A2" s="381" t="s">
        <v>131</v>
      </c>
      <c r="B2" s="94" t="s">
        <v>348</v>
      </c>
      <c r="C2" s="95" t="s">
        <v>138</v>
      </c>
      <c r="D2" s="96" t="s">
        <v>550</v>
      </c>
      <c r="E2" s="97" t="s">
        <v>551</v>
      </c>
    </row>
    <row r="3" spans="1:5" x14ac:dyDescent="0.25">
      <c r="A3" s="386"/>
      <c r="B3" s="94" t="s">
        <v>132</v>
      </c>
      <c r="C3" s="95" t="s">
        <v>138</v>
      </c>
      <c r="D3" s="96" t="s">
        <v>550</v>
      </c>
      <c r="E3" s="98" t="s">
        <v>552</v>
      </c>
    </row>
    <row r="4" spans="1:5" x14ac:dyDescent="0.25">
      <c r="A4" s="386"/>
      <c r="B4" s="94" t="s">
        <v>414</v>
      </c>
      <c r="C4" s="95" t="s">
        <v>138</v>
      </c>
      <c r="D4" s="96" t="s">
        <v>550</v>
      </c>
      <c r="E4" s="98" t="s">
        <v>552</v>
      </c>
    </row>
    <row r="5" spans="1:5" x14ac:dyDescent="0.25">
      <c r="A5" s="386"/>
      <c r="B5" s="94" t="s">
        <v>143</v>
      </c>
      <c r="C5" s="95" t="s">
        <v>147</v>
      </c>
      <c r="D5" s="99" t="s">
        <v>553</v>
      </c>
      <c r="E5" s="98" t="s">
        <v>554</v>
      </c>
    </row>
    <row r="6" spans="1:5" x14ac:dyDescent="0.25">
      <c r="A6" s="386"/>
      <c r="B6" s="94" t="s">
        <v>543</v>
      </c>
      <c r="C6" s="95" t="s">
        <v>11</v>
      </c>
      <c r="D6" s="99" t="s">
        <v>11</v>
      </c>
      <c r="E6" s="98" t="s">
        <v>555</v>
      </c>
    </row>
    <row r="7" spans="1:5" x14ac:dyDescent="0.25">
      <c r="A7" s="386"/>
      <c r="B7" s="94" t="s">
        <v>435</v>
      </c>
      <c r="C7" s="95" t="s">
        <v>147</v>
      </c>
      <c r="D7" s="100" t="s">
        <v>556</v>
      </c>
      <c r="E7" s="98" t="s">
        <v>447</v>
      </c>
    </row>
    <row r="8" spans="1:5" x14ac:dyDescent="0.25">
      <c r="A8" s="386"/>
      <c r="B8" s="94" t="s">
        <v>153</v>
      </c>
      <c r="C8" s="95" t="s">
        <v>138</v>
      </c>
      <c r="D8" s="96" t="s">
        <v>553</v>
      </c>
      <c r="E8" s="97" t="s">
        <v>557</v>
      </c>
    </row>
    <row r="9" spans="1:5" x14ac:dyDescent="0.25">
      <c r="A9" s="391" t="s">
        <v>447</v>
      </c>
      <c r="B9" s="392"/>
      <c r="C9" s="392"/>
      <c r="D9" s="392"/>
      <c r="E9" s="393"/>
    </row>
    <row r="10" spans="1:5" x14ac:dyDescent="0.25">
      <c r="A10" s="394" t="s">
        <v>172</v>
      </c>
      <c r="B10" s="94" t="s">
        <v>173</v>
      </c>
      <c r="C10" s="95" t="s">
        <v>11</v>
      </c>
      <c r="D10" s="99" t="s">
        <v>11</v>
      </c>
      <c r="E10" s="98" t="s">
        <v>558</v>
      </c>
    </row>
    <row r="11" spans="1:5" x14ac:dyDescent="0.25">
      <c r="A11" s="386"/>
      <c r="B11" s="94" t="s">
        <v>421</v>
      </c>
      <c r="C11" s="95" t="s">
        <v>11</v>
      </c>
      <c r="D11" s="99" t="s">
        <v>11</v>
      </c>
      <c r="E11" s="101" t="s">
        <v>558</v>
      </c>
    </row>
    <row r="12" spans="1:5" x14ac:dyDescent="0.25">
      <c r="A12" s="386"/>
      <c r="B12" s="94" t="s">
        <v>486</v>
      </c>
      <c r="C12" s="95" t="s">
        <v>11</v>
      </c>
      <c r="D12" s="102" t="s">
        <v>11</v>
      </c>
      <c r="E12" s="98" t="s">
        <v>558</v>
      </c>
    </row>
    <row r="13" spans="1:5" x14ac:dyDescent="0.25">
      <c r="A13" s="386"/>
      <c r="B13" s="94" t="s">
        <v>424</v>
      </c>
      <c r="C13" s="95" t="s">
        <v>147</v>
      </c>
      <c r="D13" s="103" t="s">
        <v>559</v>
      </c>
      <c r="E13" s="98" t="s">
        <v>447</v>
      </c>
    </row>
    <row r="14" spans="1:5" x14ac:dyDescent="0.25">
      <c r="A14" s="386"/>
      <c r="B14" s="94" t="s">
        <v>203</v>
      </c>
      <c r="C14" s="95" t="s">
        <v>147</v>
      </c>
      <c r="D14" s="104" t="s">
        <v>560</v>
      </c>
      <c r="E14" s="98" t="s">
        <v>447</v>
      </c>
    </row>
    <row r="15" spans="1:5" x14ac:dyDescent="0.25">
      <c r="A15" s="386"/>
      <c r="B15" s="94" t="s">
        <v>425</v>
      </c>
      <c r="C15" s="95" t="s">
        <v>138</v>
      </c>
      <c r="D15" s="99" t="s">
        <v>11</v>
      </c>
      <c r="E15" s="98" t="s">
        <v>561</v>
      </c>
    </row>
    <row r="16" spans="1:5" x14ac:dyDescent="0.25">
      <c r="A16" s="386"/>
      <c r="B16" s="94" t="s">
        <v>210</v>
      </c>
      <c r="C16" s="95" t="s">
        <v>11</v>
      </c>
      <c r="D16" s="99" t="s">
        <v>11</v>
      </c>
      <c r="E16" s="98" t="s">
        <v>562</v>
      </c>
    </row>
    <row r="17" spans="1:5" x14ac:dyDescent="0.25">
      <c r="A17" s="386"/>
      <c r="B17" s="94" t="s">
        <v>490</v>
      </c>
      <c r="C17" s="95" t="s">
        <v>147</v>
      </c>
      <c r="D17" s="104" t="s">
        <v>560</v>
      </c>
      <c r="E17" s="98" t="s">
        <v>447</v>
      </c>
    </row>
    <row r="18" spans="1:5" x14ac:dyDescent="0.25">
      <c r="A18" s="386"/>
      <c r="B18" s="94" t="s">
        <v>422</v>
      </c>
      <c r="C18" s="95" t="s">
        <v>11</v>
      </c>
      <c r="D18" s="99" t="s">
        <v>11</v>
      </c>
      <c r="E18" s="98" t="s">
        <v>558</v>
      </c>
    </row>
    <row r="19" spans="1:5" x14ac:dyDescent="0.25">
      <c r="A19" s="386"/>
      <c r="B19" s="94" t="s">
        <v>429</v>
      </c>
      <c r="C19" s="95" t="s">
        <v>138</v>
      </c>
      <c r="D19" s="99" t="s">
        <v>11</v>
      </c>
      <c r="E19" s="98" t="s">
        <v>561</v>
      </c>
    </row>
    <row r="20" spans="1:5" x14ac:dyDescent="0.25">
      <c r="A20" s="395"/>
      <c r="B20" s="105" t="s">
        <v>182</v>
      </c>
      <c r="C20" s="106" t="s">
        <v>138</v>
      </c>
      <c r="D20" s="102" t="s">
        <v>11</v>
      </c>
      <c r="E20" s="107" t="s">
        <v>563</v>
      </c>
    </row>
    <row r="21" spans="1:5" x14ac:dyDescent="0.25">
      <c r="A21" s="396"/>
      <c r="B21" s="397"/>
      <c r="C21" s="397"/>
      <c r="D21" s="397"/>
      <c r="E21" s="398"/>
    </row>
    <row r="22" spans="1:5" x14ac:dyDescent="0.25">
      <c r="A22" s="399" t="s">
        <v>197</v>
      </c>
      <c r="B22" s="2" t="s">
        <v>198</v>
      </c>
      <c r="C22" s="1" t="s">
        <v>147</v>
      </c>
      <c r="D22" s="108" t="s">
        <v>560</v>
      </c>
      <c r="E22" s="109" t="s">
        <v>564</v>
      </c>
    </row>
    <row r="23" spans="1:5" x14ac:dyDescent="0.25">
      <c r="A23" s="400"/>
      <c r="B23" s="2" t="s">
        <v>544</v>
      </c>
      <c r="C23" s="109" t="s">
        <v>147</v>
      </c>
      <c r="D23" s="1" t="s">
        <v>565</v>
      </c>
      <c r="E23" s="109" t="s">
        <v>566</v>
      </c>
    </row>
    <row r="24" spans="1:5" x14ac:dyDescent="0.25">
      <c r="A24" s="400"/>
      <c r="B24" s="2" t="s">
        <v>203</v>
      </c>
      <c r="C24" s="110" t="s">
        <v>147</v>
      </c>
      <c r="D24" s="103" t="s">
        <v>560</v>
      </c>
      <c r="E24" s="111" t="s">
        <v>11</v>
      </c>
    </row>
    <row r="25" spans="1:5" x14ac:dyDescent="0.25">
      <c r="A25" s="400"/>
      <c r="B25" s="2" t="s">
        <v>425</v>
      </c>
      <c r="C25" s="112" t="s">
        <v>138</v>
      </c>
      <c r="D25" s="113" t="s">
        <v>11</v>
      </c>
      <c r="E25" s="114" t="s">
        <v>561</v>
      </c>
    </row>
    <row r="26" spans="1:5" x14ac:dyDescent="0.25">
      <c r="A26" s="400"/>
      <c r="B26" s="2" t="s">
        <v>210</v>
      </c>
      <c r="C26" s="112" t="s">
        <v>11</v>
      </c>
      <c r="D26" s="113" t="s">
        <v>11</v>
      </c>
      <c r="E26" s="114" t="s">
        <v>562</v>
      </c>
    </row>
    <row r="27" spans="1:5" x14ac:dyDescent="0.25">
      <c r="A27" s="401"/>
      <c r="B27" s="2" t="s">
        <v>429</v>
      </c>
      <c r="C27" s="112" t="s">
        <v>138</v>
      </c>
      <c r="D27" s="113" t="s">
        <v>11</v>
      </c>
      <c r="E27" s="114" t="s">
        <v>561</v>
      </c>
    </row>
    <row r="28" spans="1:5" x14ac:dyDescent="0.25">
      <c r="A28" s="387"/>
      <c r="B28" s="388"/>
      <c r="C28" s="389"/>
      <c r="D28" s="389"/>
      <c r="E28" s="390"/>
    </row>
    <row r="29" spans="1:5" x14ac:dyDescent="0.25">
      <c r="A29" s="381" t="s">
        <v>567</v>
      </c>
      <c r="B29" s="94" t="s">
        <v>321</v>
      </c>
      <c r="C29" s="95" t="s">
        <v>568</v>
      </c>
      <c r="D29" s="99" t="s">
        <v>569</v>
      </c>
      <c r="E29" s="98" t="s">
        <v>570</v>
      </c>
    </row>
    <row r="30" spans="1:5" x14ac:dyDescent="0.25">
      <c r="A30" s="386"/>
      <c r="B30" s="94" t="s">
        <v>327</v>
      </c>
      <c r="C30" s="95" t="s">
        <v>147</v>
      </c>
      <c r="D30" s="99" t="s">
        <v>569</v>
      </c>
      <c r="E30" s="98" t="s">
        <v>447</v>
      </c>
    </row>
    <row r="31" spans="1:5" ht="39" x14ac:dyDescent="0.25">
      <c r="A31" s="386"/>
      <c r="B31" s="94" t="s">
        <v>330</v>
      </c>
      <c r="C31" s="95" t="s">
        <v>568</v>
      </c>
      <c r="D31" s="99" t="s">
        <v>569</v>
      </c>
      <c r="E31" s="97" t="s">
        <v>571</v>
      </c>
    </row>
    <row r="32" spans="1:5" x14ac:dyDescent="0.25">
      <c r="A32" s="386"/>
      <c r="B32" s="94" t="s">
        <v>345</v>
      </c>
      <c r="C32" s="95" t="s">
        <v>138</v>
      </c>
      <c r="D32" s="96" t="s">
        <v>569</v>
      </c>
      <c r="E32" s="97" t="s">
        <v>557</v>
      </c>
    </row>
    <row r="33" spans="1:5" x14ac:dyDescent="0.25">
      <c r="A33" s="386"/>
      <c r="B33" s="94" t="s">
        <v>449</v>
      </c>
      <c r="C33" s="95" t="s">
        <v>138</v>
      </c>
      <c r="D33" s="96" t="s">
        <v>572</v>
      </c>
      <c r="E33" s="97" t="s">
        <v>573</v>
      </c>
    </row>
    <row r="34" spans="1:5" x14ac:dyDescent="0.25">
      <c r="A34" s="386"/>
      <c r="B34" s="94" t="s">
        <v>305</v>
      </c>
      <c r="C34" s="95" t="s">
        <v>138</v>
      </c>
      <c r="D34" s="96" t="s">
        <v>572</v>
      </c>
      <c r="E34" s="97" t="s">
        <v>573</v>
      </c>
    </row>
    <row r="35" spans="1:5" x14ac:dyDescent="0.25">
      <c r="A35" s="391" t="s">
        <v>447</v>
      </c>
      <c r="B35" s="392"/>
      <c r="C35" s="392"/>
      <c r="D35" s="392"/>
      <c r="E35" s="393"/>
    </row>
    <row r="36" spans="1:5" x14ac:dyDescent="0.25">
      <c r="A36" s="381" t="s">
        <v>574</v>
      </c>
      <c r="B36" s="94" t="s">
        <v>280</v>
      </c>
      <c r="C36" s="95" t="s">
        <v>11</v>
      </c>
      <c r="D36" s="99" t="s">
        <v>11</v>
      </c>
      <c r="E36" s="98" t="s">
        <v>575</v>
      </c>
    </row>
    <row r="37" spans="1:5" x14ac:dyDescent="0.25">
      <c r="A37" s="386"/>
      <c r="B37" s="94" t="s">
        <v>545</v>
      </c>
      <c r="C37" s="95" t="s">
        <v>147</v>
      </c>
      <c r="D37" s="99" t="s">
        <v>11</v>
      </c>
      <c r="E37" s="97" t="s">
        <v>576</v>
      </c>
    </row>
    <row r="38" spans="1:5" x14ac:dyDescent="0.25">
      <c r="A38" s="386"/>
      <c r="B38" s="94" t="s">
        <v>223</v>
      </c>
      <c r="C38" s="95" t="s">
        <v>138</v>
      </c>
      <c r="D38" s="96" t="s">
        <v>577</v>
      </c>
      <c r="E38" s="115" t="s">
        <v>573</v>
      </c>
    </row>
    <row r="39" spans="1:5" x14ac:dyDescent="0.25">
      <c r="A39" s="386"/>
      <c r="B39" s="94" t="s">
        <v>284</v>
      </c>
      <c r="C39" s="95" t="s">
        <v>138</v>
      </c>
      <c r="D39" s="96" t="s">
        <v>578</v>
      </c>
      <c r="E39" s="115" t="s">
        <v>573</v>
      </c>
    </row>
    <row r="40" spans="1:5" x14ac:dyDescent="0.25">
      <c r="A40" s="386"/>
      <c r="B40" s="94" t="s">
        <v>226</v>
      </c>
      <c r="C40" s="95" t="s">
        <v>138</v>
      </c>
      <c r="D40" s="96" t="s">
        <v>202</v>
      </c>
      <c r="E40" s="115" t="s">
        <v>579</v>
      </c>
    </row>
    <row r="41" spans="1:5" x14ac:dyDescent="0.25">
      <c r="A41" s="386"/>
      <c r="B41" s="94" t="s">
        <v>504</v>
      </c>
      <c r="C41" s="95" t="s">
        <v>11</v>
      </c>
      <c r="D41" s="99" t="s">
        <v>11</v>
      </c>
      <c r="E41" s="98" t="s">
        <v>561</v>
      </c>
    </row>
    <row r="42" spans="1:5" ht="39" x14ac:dyDescent="0.25">
      <c r="A42" s="386"/>
      <c r="B42" s="94" t="s">
        <v>230</v>
      </c>
      <c r="C42" s="95" t="s">
        <v>147</v>
      </c>
      <c r="D42" s="96" t="s">
        <v>11</v>
      </c>
      <c r="E42" s="97" t="s">
        <v>580</v>
      </c>
    </row>
    <row r="43" spans="1:5" x14ac:dyDescent="0.25">
      <c r="A43" s="386"/>
      <c r="B43" s="94" t="s">
        <v>581</v>
      </c>
      <c r="C43" s="95" t="s">
        <v>11</v>
      </c>
      <c r="D43" s="99" t="s">
        <v>11</v>
      </c>
      <c r="E43" s="98" t="s">
        <v>582</v>
      </c>
    </row>
    <row r="44" spans="1:5" x14ac:dyDescent="0.25">
      <c r="A44" s="386"/>
      <c r="B44" s="94" t="s">
        <v>233</v>
      </c>
      <c r="C44" s="95" t="s">
        <v>11</v>
      </c>
      <c r="D44" s="99" t="s">
        <v>11</v>
      </c>
      <c r="E44" s="98" t="s">
        <v>583</v>
      </c>
    </row>
    <row r="45" spans="1:5" x14ac:dyDescent="0.25">
      <c r="A45" s="386"/>
      <c r="B45" s="94" t="s">
        <v>310</v>
      </c>
      <c r="C45" s="95" t="s">
        <v>147</v>
      </c>
      <c r="D45" s="96" t="s">
        <v>569</v>
      </c>
      <c r="E45" s="98" t="s">
        <v>447</v>
      </c>
    </row>
    <row r="46" spans="1:5" x14ac:dyDescent="0.25">
      <c r="A46" s="391" t="s">
        <v>447</v>
      </c>
      <c r="B46" s="392"/>
      <c r="C46" s="392"/>
      <c r="D46" s="392"/>
      <c r="E46" s="393"/>
    </row>
    <row r="47" spans="1:5" x14ac:dyDescent="0.25">
      <c r="A47" s="381" t="s">
        <v>584</v>
      </c>
      <c r="B47" s="94" t="s">
        <v>162</v>
      </c>
      <c r="C47" s="95" t="s">
        <v>11</v>
      </c>
      <c r="D47" s="116" t="s">
        <v>11</v>
      </c>
      <c r="E47" s="98" t="s">
        <v>585</v>
      </c>
    </row>
    <row r="48" spans="1:5" x14ac:dyDescent="0.25">
      <c r="A48" s="381"/>
      <c r="B48" s="94" t="s">
        <v>331</v>
      </c>
      <c r="C48" s="95" t="s">
        <v>447</v>
      </c>
      <c r="D48" s="116" t="s">
        <v>447</v>
      </c>
      <c r="E48" s="98" t="s">
        <v>586</v>
      </c>
    </row>
    <row r="49" spans="1:5" x14ac:dyDescent="0.25">
      <c r="A49" s="381"/>
      <c r="B49" s="94" t="s">
        <v>336</v>
      </c>
      <c r="C49" s="95" t="s">
        <v>447</v>
      </c>
      <c r="D49" s="116" t="s">
        <v>447</v>
      </c>
      <c r="E49" s="98" t="s">
        <v>586</v>
      </c>
    </row>
    <row r="50" spans="1:5" x14ac:dyDescent="0.25">
      <c r="A50" s="381"/>
      <c r="B50" s="94" t="s">
        <v>341</v>
      </c>
      <c r="C50" s="95" t="s">
        <v>147</v>
      </c>
      <c r="D50" s="100" t="s">
        <v>587</v>
      </c>
      <c r="E50" s="98" t="s">
        <v>588</v>
      </c>
    </row>
    <row r="51" spans="1:5" x14ac:dyDescent="0.25">
      <c r="A51" s="381"/>
      <c r="B51" s="94" t="s">
        <v>165</v>
      </c>
      <c r="C51" s="95" t="s">
        <v>147</v>
      </c>
      <c r="D51" s="100" t="s">
        <v>587</v>
      </c>
      <c r="E51" s="98" t="s">
        <v>589</v>
      </c>
    </row>
    <row r="52" spans="1:5" x14ac:dyDescent="0.25">
      <c r="A52" s="381"/>
      <c r="B52" s="94" t="s">
        <v>171</v>
      </c>
      <c r="C52" s="95" t="s">
        <v>447</v>
      </c>
      <c r="D52" s="100" t="s">
        <v>447</v>
      </c>
      <c r="E52" s="98" t="s">
        <v>590</v>
      </c>
    </row>
    <row r="53" spans="1:5" x14ac:dyDescent="0.25">
      <c r="A53" s="381"/>
      <c r="B53" s="94" t="s">
        <v>194</v>
      </c>
      <c r="C53" s="95" t="s">
        <v>147</v>
      </c>
      <c r="D53" s="100" t="s">
        <v>553</v>
      </c>
      <c r="E53" s="98" t="s">
        <v>447</v>
      </c>
    </row>
    <row r="54" spans="1:5" x14ac:dyDescent="0.25">
      <c r="A54" s="381"/>
      <c r="B54" s="94" t="s">
        <v>293</v>
      </c>
      <c r="C54" s="95" t="s">
        <v>147</v>
      </c>
      <c r="D54" s="100" t="s">
        <v>591</v>
      </c>
      <c r="E54" s="98" t="s">
        <v>589</v>
      </c>
    </row>
    <row r="55" spans="1:5" x14ac:dyDescent="0.25">
      <c r="A55" s="381"/>
      <c r="B55" s="94" t="s">
        <v>337</v>
      </c>
      <c r="C55" s="95" t="s">
        <v>447</v>
      </c>
      <c r="D55" s="100" t="s">
        <v>447</v>
      </c>
      <c r="E55" s="98" t="s">
        <v>586</v>
      </c>
    </row>
    <row r="56" spans="1:5" x14ac:dyDescent="0.25">
      <c r="A56" s="382"/>
      <c r="B56" s="94" t="s">
        <v>296</v>
      </c>
      <c r="C56" s="95" t="s">
        <v>147</v>
      </c>
      <c r="D56" s="100" t="s">
        <v>591</v>
      </c>
      <c r="E56" s="98" t="s">
        <v>589</v>
      </c>
    </row>
    <row r="57" spans="1:5" x14ac:dyDescent="0.25">
      <c r="A57" s="383" t="s">
        <v>447</v>
      </c>
      <c r="B57" s="384"/>
      <c r="C57" s="384"/>
      <c r="D57" s="384"/>
      <c r="E57" s="385"/>
    </row>
    <row r="58" spans="1:5" x14ac:dyDescent="0.25">
      <c r="A58" s="381" t="s">
        <v>592</v>
      </c>
      <c r="B58" s="94" t="s">
        <v>250</v>
      </c>
      <c r="C58" s="95" t="s">
        <v>147</v>
      </c>
      <c r="D58" s="100" t="s">
        <v>569</v>
      </c>
      <c r="E58" s="98" t="s">
        <v>447</v>
      </c>
    </row>
    <row r="59" spans="1:5" x14ac:dyDescent="0.25">
      <c r="A59" s="386"/>
      <c r="B59" s="94" t="s">
        <v>444</v>
      </c>
      <c r="C59" s="95" t="s">
        <v>138</v>
      </c>
      <c r="D59" s="99" t="s">
        <v>11</v>
      </c>
      <c r="E59" s="98" t="s">
        <v>447</v>
      </c>
    </row>
    <row r="60" spans="1:5" x14ac:dyDescent="0.25">
      <c r="A60" s="386"/>
      <c r="B60" s="94" t="s">
        <v>259</v>
      </c>
      <c r="C60" s="95" t="s">
        <v>147</v>
      </c>
      <c r="D60" s="100" t="s">
        <v>578</v>
      </c>
      <c r="E60" s="98" t="s">
        <v>447</v>
      </c>
    </row>
    <row r="61" spans="1:5" x14ac:dyDescent="0.25">
      <c r="A61" s="386"/>
      <c r="B61" s="94" t="s">
        <v>268</v>
      </c>
      <c r="C61" s="95" t="s">
        <v>147</v>
      </c>
      <c r="D61" s="100" t="s">
        <v>593</v>
      </c>
      <c r="E61" s="98" t="s">
        <v>447</v>
      </c>
    </row>
    <row r="62" spans="1:5" x14ac:dyDescent="0.25">
      <c r="A62" s="386"/>
      <c r="B62" s="94" t="s">
        <v>274</v>
      </c>
      <c r="C62" s="95" t="s">
        <v>147</v>
      </c>
      <c r="D62" s="100" t="s">
        <v>594</v>
      </c>
      <c r="E62" s="98" t="s">
        <v>447</v>
      </c>
    </row>
  </sheetData>
  <mergeCells count="13">
    <mergeCell ref="A2:A8"/>
    <mergeCell ref="A9:E9"/>
    <mergeCell ref="A10:A20"/>
    <mergeCell ref="A21:E21"/>
    <mergeCell ref="A22:A27"/>
    <mergeCell ref="A47:A56"/>
    <mergeCell ref="A57:E57"/>
    <mergeCell ref="A58:A62"/>
    <mergeCell ref="A28:E28"/>
    <mergeCell ref="A29:A34"/>
    <mergeCell ref="A35:E35"/>
    <mergeCell ref="A36:A45"/>
    <mergeCell ref="A46:E46"/>
  </mergeCells>
  <pageMargins left="0.70078740157480324" right="0.70078740157480324" top="0.75196850393700787" bottom="0.75196850393700787" header="0.3" footer="0.3"/>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2:G56"/>
  <sheetViews>
    <sheetView showGridLines="0" workbookViewId="0">
      <pane xSplit="8" ySplit="1" topLeftCell="I3" activePane="bottomRight" state="frozen"/>
      <selection pane="topRight"/>
      <selection pane="bottomLeft"/>
      <selection pane="bottomRight" activeCell="A3" sqref="A3"/>
    </sheetView>
  </sheetViews>
  <sheetFormatPr defaultColWidth="9.140625" defaultRowHeight="15" x14ac:dyDescent="0.25"/>
  <cols>
    <col min="1" max="1" width="9.140625" style="3"/>
    <col min="2" max="2" width="16.28515625" style="3" customWidth="1"/>
    <col min="3" max="3" width="39.7109375" style="4" customWidth="1"/>
    <col min="4" max="4" width="12.28515625" style="3" bestFit="1" customWidth="1"/>
    <col min="5" max="5" width="10.42578125" style="3" bestFit="1"/>
    <col min="6" max="6" width="22.28515625" style="3" bestFit="1" customWidth="1"/>
    <col min="7" max="7" width="19.140625" style="3" customWidth="1"/>
    <col min="8" max="16384" width="9.140625" style="3"/>
  </cols>
  <sheetData>
    <row r="2" spans="1:7" x14ac:dyDescent="0.25">
      <c r="A2" s="7" t="s">
        <v>370</v>
      </c>
      <c r="B2" s="7" t="s">
        <v>371</v>
      </c>
      <c r="C2" s="7" t="s">
        <v>372</v>
      </c>
      <c r="D2" s="7" t="s">
        <v>373</v>
      </c>
      <c r="E2" s="117" t="s">
        <v>374</v>
      </c>
      <c r="F2" s="118" t="s">
        <v>375</v>
      </c>
      <c r="G2" s="119" t="s">
        <v>453</v>
      </c>
    </row>
    <row r="3" spans="1:7" x14ac:dyDescent="0.25">
      <c r="A3" s="13">
        <v>1</v>
      </c>
      <c r="B3" s="376"/>
      <c r="C3" s="14" t="s">
        <v>411</v>
      </c>
      <c r="D3" s="15" t="s">
        <v>11</v>
      </c>
      <c r="E3" s="86" t="s">
        <v>11</v>
      </c>
      <c r="F3" s="120" t="s">
        <v>11</v>
      </c>
      <c r="G3" s="31"/>
    </row>
    <row r="4" spans="1:7" x14ac:dyDescent="0.25">
      <c r="A4" s="13">
        <f t="shared" ref="A4:A25" si="0">A3+1</f>
        <v>2</v>
      </c>
      <c r="B4" s="376"/>
      <c r="C4" s="14" t="s">
        <v>132</v>
      </c>
      <c r="D4" s="15" t="s">
        <v>469</v>
      </c>
      <c r="E4" s="86" t="s">
        <v>413</v>
      </c>
      <c r="F4" s="120" t="s">
        <v>135</v>
      </c>
      <c r="G4" s="32"/>
    </row>
    <row r="5" spans="1:7" x14ac:dyDescent="0.25">
      <c r="A5" s="13">
        <f t="shared" si="0"/>
        <v>3</v>
      </c>
      <c r="B5" s="376"/>
      <c r="C5" s="14" t="s">
        <v>414</v>
      </c>
      <c r="D5" s="15" t="s">
        <v>469</v>
      </c>
      <c r="E5" s="86" t="s">
        <v>413</v>
      </c>
      <c r="F5" s="120" t="s">
        <v>135</v>
      </c>
      <c r="G5" s="32"/>
    </row>
    <row r="6" spans="1:7" x14ac:dyDescent="0.25">
      <c r="A6" s="13">
        <f t="shared" si="0"/>
        <v>4</v>
      </c>
      <c r="B6" s="376"/>
      <c r="C6" s="14" t="s">
        <v>143</v>
      </c>
      <c r="D6" s="15" t="s">
        <v>416</v>
      </c>
      <c r="E6" s="86" t="s">
        <v>417</v>
      </c>
      <c r="F6" s="120" t="s">
        <v>135</v>
      </c>
      <c r="G6" s="32" t="s">
        <v>595</v>
      </c>
    </row>
    <row r="7" spans="1:7" x14ac:dyDescent="0.25">
      <c r="A7" s="13">
        <f t="shared" si="0"/>
        <v>5</v>
      </c>
      <c r="B7" s="376"/>
      <c r="C7" s="14" t="s">
        <v>419</v>
      </c>
      <c r="D7" s="15" t="s">
        <v>11</v>
      </c>
      <c r="E7" s="86" t="s">
        <v>11</v>
      </c>
      <c r="F7" s="120" t="s">
        <v>135</v>
      </c>
      <c r="G7" s="31"/>
    </row>
    <row r="8" spans="1:7" x14ac:dyDescent="0.25">
      <c r="A8" s="13">
        <f t="shared" si="0"/>
        <v>6</v>
      </c>
      <c r="B8" s="377"/>
      <c r="C8" s="14" t="s">
        <v>153</v>
      </c>
      <c r="D8" s="15" t="s">
        <v>416</v>
      </c>
      <c r="E8" s="86" t="s">
        <v>413</v>
      </c>
      <c r="F8" s="120" t="s">
        <v>135</v>
      </c>
      <c r="G8" s="32"/>
    </row>
    <row r="9" spans="1:7" x14ac:dyDescent="0.25">
      <c r="A9" s="13">
        <f t="shared" si="0"/>
        <v>7</v>
      </c>
      <c r="B9" s="375" t="s">
        <v>448</v>
      </c>
      <c r="C9" s="14" t="s">
        <v>173</v>
      </c>
      <c r="D9" s="15" t="s">
        <v>11</v>
      </c>
      <c r="E9" s="86" t="s">
        <v>11</v>
      </c>
      <c r="F9" s="120"/>
      <c r="G9" s="31"/>
    </row>
    <row r="10" spans="1:7" x14ac:dyDescent="0.25">
      <c r="A10" s="13">
        <f t="shared" si="0"/>
        <v>8</v>
      </c>
      <c r="B10" s="376"/>
      <c r="C10" s="14" t="s">
        <v>421</v>
      </c>
      <c r="D10" s="15" t="s">
        <v>11</v>
      </c>
      <c r="E10" s="86" t="s">
        <v>11</v>
      </c>
      <c r="F10" s="120"/>
      <c r="G10" s="31"/>
    </row>
    <row r="11" spans="1:7" x14ac:dyDescent="0.25">
      <c r="A11" s="13">
        <f t="shared" si="0"/>
        <v>9</v>
      </c>
      <c r="B11" s="376"/>
      <c r="C11" s="14" t="s">
        <v>198</v>
      </c>
      <c r="D11" s="15" t="s">
        <v>423</v>
      </c>
      <c r="E11" s="86" t="s">
        <v>426</v>
      </c>
      <c r="F11" s="120" t="s">
        <v>484</v>
      </c>
      <c r="G11" s="32" t="s">
        <v>596</v>
      </c>
    </row>
    <row r="12" spans="1:7" x14ac:dyDescent="0.25">
      <c r="A12" s="13">
        <f t="shared" si="0"/>
        <v>10</v>
      </c>
      <c r="B12" s="376"/>
      <c r="C12" s="14" t="s">
        <v>486</v>
      </c>
      <c r="D12" s="15" t="s">
        <v>11</v>
      </c>
      <c r="E12" s="86" t="s">
        <v>11</v>
      </c>
      <c r="F12" s="120"/>
      <c r="G12" s="31"/>
    </row>
    <row r="13" spans="1:7" x14ac:dyDescent="0.25">
      <c r="A13" s="13">
        <f t="shared" si="0"/>
        <v>11</v>
      </c>
      <c r="B13" s="376"/>
      <c r="C13" s="14" t="s">
        <v>424</v>
      </c>
      <c r="D13" s="15" t="s">
        <v>416</v>
      </c>
      <c r="E13" s="86" t="s">
        <v>413</v>
      </c>
      <c r="F13" s="120" t="s">
        <v>484</v>
      </c>
      <c r="G13" s="32"/>
    </row>
    <row r="14" spans="1:7" x14ac:dyDescent="0.25">
      <c r="A14" s="13">
        <f t="shared" si="0"/>
        <v>12</v>
      </c>
      <c r="B14" s="376"/>
      <c r="C14" s="14" t="s">
        <v>203</v>
      </c>
      <c r="D14" s="15" t="s">
        <v>416</v>
      </c>
      <c r="E14" s="86" t="s">
        <v>11</v>
      </c>
      <c r="F14" s="120" t="s">
        <v>201</v>
      </c>
      <c r="G14" s="32" t="s">
        <v>597</v>
      </c>
    </row>
    <row r="15" spans="1:7" x14ac:dyDescent="0.25">
      <c r="A15" s="13">
        <f t="shared" si="0"/>
        <v>13</v>
      </c>
      <c r="B15" s="376"/>
      <c r="C15" s="14" t="s">
        <v>425</v>
      </c>
      <c r="D15" s="15" t="s">
        <v>416</v>
      </c>
      <c r="E15" s="86" t="s">
        <v>413</v>
      </c>
      <c r="F15" s="120" t="s">
        <v>201</v>
      </c>
      <c r="G15" s="32" t="s">
        <v>597</v>
      </c>
    </row>
    <row r="16" spans="1:7" x14ac:dyDescent="0.25">
      <c r="A16" s="13">
        <f t="shared" si="0"/>
        <v>14</v>
      </c>
      <c r="B16" s="376"/>
      <c r="C16" s="14" t="s">
        <v>210</v>
      </c>
      <c r="D16" s="15" t="s">
        <v>11</v>
      </c>
      <c r="E16" s="86" t="s">
        <v>11</v>
      </c>
      <c r="F16" s="120" t="s">
        <v>201</v>
      </c>
      <c r="G16" s="31" t="s">
        <v>11</v>
      </c>
    </row>
    <row r="17" spans="1:7" x14ac:dyDescent="0.25">
      <c r="A17" s="13">
        <f t="shared" si="0"/>
        <v>15</v>
      </c>
      <c r="B17" s="376"/>
      <c r="C17" s="14" t="s">
        <v>490</v>
      </c>
      <c r="D17" s="15" t="s">
        <v>416</v>
      </c>
      <c r="E17" s="86" t="s">
        <v>417</v>
      </c>
      <c r="F17" s="121" t="s">
        <v>176</v>
      </c>
      <c r="G17" s="32"/>
    </row>
    <row r="18" spans="1:7" x14ac:dyDescent="0.25">
      <c r="A18" s="13">
        <f t="shared" si="0"/>
        <v>16</v>
      </c>
      <c r="B18" s="376"/>
      <c r="C18" s="14" t="s">
        <v>422</v>
      </c>
      <c r="D18" s="15" t="s">
        <v>11</v>
      </c>
      <c r="E18" s="86" t="s">
        <v>11</v>
      </c>
      <c r="F18" s="122"/>
      <c r="G18" s="31"/>
    </row>
    <row r="19" spans="1:7" x14ac:dyDescent="0.25">
      <c r="A19" s="13">
        <f t="shared" ref="A19:A21" si="1">A18+1</f>
        <v>17</v>
      </c>
      <c r="B19" s="376"/>
      <c r="C19" s="14" t="s">
        <v>491</v>
      </c>
      <c r="D19" s="15" t="s">
        <v>11</v>
      </c>
      <c r="E19" s="86" t="s">
        <v>11</v>
      </c>
      <c r="F19" s="120"/>
      <c r="G19" s="31"/>
    </row>
    <row r="20" spans="1:7" x14ac:dyDescent="0.25">
      <c r="A20" s="13">
        <f t="shared" si="1"/>
        <v>18</v>
      </c>
      <c r="B20" s="376"/>
      <c r="C20" s="14" t="s">
        <v>492</v>
      </c>
      <c r="D20" s="15" t="s">
        <v>11</v>
      </c>
      <c r="E20" s="86" t="s">
        <v>11</v>
      </c>
      <c r="F20" s="120"/>
      <c r="G20" s="31"/>
    </row>
    <row r="21" spans="1:7" x14ac:dyDescent="0.25">
      <c r="A21" s="13">
        <f t="shared" si="1"/>
        <v>19</v>
      </c>
      <c r="B21" s="377"/>
      <c r="C21" s="14" t="s">
        <v>429</v>
      </c>
      <c r="D21" s="15" t="s">
        <v>423</v>
      </c>
      <c r="E21" s="86" t="s">
        <v>426</v>
      </c>
      <c r="F21" s="120" t="s">
        <v>136</v>
      </c>
      <c r="G21" s="31"/>
    </row>
    <row r="22" spans="1:7" x14ac:dyDescent="0.25">
      <c r="A22" s="13">
        <f t="shared" si="0"/>
        <v>20</v>
      </c>
      <c r="B22" s="375" t="s">
        <v>367</v>
      </c>
      <c r="C22" s="14" t="s">
        <v>321</v>
      </c>
      <c r="D22" s="15" t="s">
        <v>412</v>
      </c>
      <c r="E22" s="86" t="s">
        <v>426</v>
      </c>
      <c r="F22" s="120" t="s">
        <v>347</v>
      </c>
      <c r="G22" s="32" t="s">
        <v>598</v>
      </c>
    </row>
    <row r="23" spans="1:7" x14ac:dyDescent="0.25">
      <c r="A23" s="13">
        <f t="shared" si="0"/>
        <v>21</v>
      </c>
      <c r="B23" s="376"/>
      <c r="C23" s="14" t="s">
        <v>327</v>
      </c>
      <c r="D23" s="15" t="s">
        <v>416</v>
      </c>
      <c r="E23" s="86" t="s">
        <v>413</v>
      </c>
      <c r="F23" s="120" t="s">
        <v>369</v>
      </c>
      <c r="G23" s="32" t="s">
        <v>598</v>
      </c>
    </row>
    <row r="24" spans="1:7" x14ac:dyDescent="0.25">
      <c r="A24" s="13">
        <f t="shared" si="0"/>
        <v>22</v>
      </c>
      <c r="B24" s="376"/>
      <c r="C24" s="14" t="s">
        <v>330</v>
      </c>
      <c r="D24" s="15" t="s">
        <v>416</v>
      </c>
      <c r="E24" s="86" t="s">
        <v>417</v>
      </c>
      <c r="F24" s="120" t="s">
        <v>430</v>
      </c>
      <c r="G24" s="32" t="s">
        <v>598</v>
      </c>
    </row>
    <row r="25" spans="1:7" x14ac:dyDescent="0.25">
      <c r="A25" s="13">
        <f t="shared" si="0"/>
        <v>23</v>
      </c>
      <c r="B25" s="376"/>
      <c r="C25" s="14" t="s">
        <v>431</v>
      </c>
      <c r="D25" s="15" t="s">
        <v>11</v>
      </c>
      <c r="E25" s="86" t="s">
        <v>11</v>
      </c>
      <c r="F25" s="120" t="s">
        <v>347</v>
      </c>
      <c r="G25" s="32" t="s">
        <v>11</v>
      </c>
    </row>
    <row r="26" spans="1:7" x14ac:dyDescent="0.25">
      <c r="A26" s="13">
        <f t="shared" ref="A26:A56" si="2">A25+1</f>
        <v>24</v>
      </c>
      <c r="B26" s="376"/>
      <c r="C26" s="14" t="s">
        <v>432</v>
      </c>
      <c r="D26" s="15" t="s">
        <v>416</v>
      </c>
      <c r="E26" s="86" t="s">
        <v>413</v>
      </c>
      <c r="F26" s="120" t="s">
        <v>433</v>
      </c>
      <c r="G26" s="32" t="s">
        <v>11</v>
      </c>
    </row>
    <row r="27" spans="1:7" x14ac:dyDescent="0.25">
      <c r="A27" s="13">
        <f t="shared" si="2"/>
        <v>25</v>
      </c>
      <c r="B27" s="376"/>
      <c r="C27" s="14" t="s">
        <v>305</v>
      </c>
      <c r="D27" s="15" t="s">
        <v>416</v>
      </c>
      <c r="E27" s="86" t="s">
        <v>413</v>
      </c>
      <c r="F27" s="120" t="s">
        <v>369</v>
      </c>
      <c r="G27" s="32" t="s">
        <v>598</v>
      </c>
    </row>
    <row r="28" spans="1:7" x14ac:dyDescent="0.25">
      <c r="A28" s="13">
        <f t="shared" si="2"/>
        <v>26</v>
      </c>
      <c r="B28" s="376"/>
      <c r="C28" s="14" t="s">
        <v>365</v>
      </c>
      <c r="D28" s="15" t="s">
        <v>416</v>
      </c>
      <c r="E28" s="86" t="s">
        <v>434</v>
      </c>
      <c r="F28" s="120" t="s">
        <v>369</v>
      </c>
      <c r="G28" s="32" t="s">
        <v>11</v>
      </c>
    </row>
    <row r="29" spans="1:7" x14ac:dyDescent="0.25">
      <c r="A29" s="13">
        <f t="shared" si="2"/>
        <v>27</v>
      </c>
      <c r="B29" s="376"/>
      <c r="C29" s="14" t="s">
        <v>345</v>
      </c>
      <c r="D29" s="15" t="s">
        <v>423</v>
      </c>
      <c r="E29" s="86" t="s">
        <v>11</v>
      </c>
      <c r="F29" s="120" t="s">
        <v>347</v>
      </c>
      <c r="G29" s="32" t="s">
        <v>11</v>
      </c>
    </row>
    <row r="30" spans="1:7" x14ac:dyDescent="0.25">
      <c r="A30" s="13">
        <f t="shared" si="2"/>
        <v>28</v>
      </c>
      <c r="B30" s="376"/>
      <c r="C30" s="14" t="s">
        <v>348</v>
      </c>
      <c r="D30" s="15" t="s">
        <v>416</v>
      </c>
      <c r="E30" s="86" t="s">
        <v>417</v>
      </c>
      <c r="F30" s="120" t="s">
        <v>135</v>
      </c>
      <c r="G30" s="32"/>
    </row>
    <row r="31" spans="1:7" x14ac:dyDescent="0.25">
      <c r="A31" s="13">
        <f t="shared" si="2"/>
        <v>29</v>
      </c>
      <c r="B31" s="377"/>
      <c r="C31" s="14" t="s">
        <v>449</v>
      </c>
      <c r="D31" s="15" t="s">
        <v>416</v>
      </c>
      <c r="E31" s="86" t="s">
        <v>413</v>
      </c>
      <c r="F31" s="120" t="s">
        <v>430</v>
      </c>
      <c r="G31" s="32" t="s">
        <v>598</v>
      </c>
    </row>
    <row r="32" spans="1:7" x14ac:dyDescent="0.25">
      <c r="A32" s="13">
        <f t="shared" si="2"/>
        <v>30</v>
      </c>
      <c r="B32" s="375" t="s">
        <v>221</v>
      </c>
      <c r="C32" s="14" t="s">
        <v>280</v>
      </c>
      <c r="D32" s="15" t="s">
        <v>11</v>
      </c>
      <c r="E32" s="86" t="s">
        <v>11</v>
      </c>
      <c r="F32" s="120" t="s">
        <v>11</v>
      </c>
      <c r="G32" s="31" t="s">
        <v>11</v>
      </c>
    </row>
    <row r="33" spans="1:7" x14ac:dyDescent="0.25">
      <c r="A33" s="13">
        <f t="shared" si="2"/>
        <v>31</v>
      </c>
      <c r="B33" s="376"/>
      <c r="C33" s="14" t="s">
        <v>217</v>
      </c>
      <c r="D33" s="15" t="s">
        <v>11</v>
      </c>
      <c r="E33" s="86" t="s">
        <v>11</v>
      </c>
      <c r="F33" s="120" t="s">
        <v>11</v>
      </c>
      <c r="G33" s="32" t="s">
        <v>11</v>
      </c>
    </row>
    <row r="34" spans="1:7" x14ac:dyDescent="0.25">
      <c r="A34" s="13">
        <f t="shared" si="2"/>
        <v>32</v>
      </c>
      <c r="B34" s="376"/>
      <c r="C34" s="14" t="s">
        <v>223</v>
      </c>
      <c r="D34" s="15" t="s">
        <v>423</v>
      </c>
      <c r="E34" s="86" t="s">
        <v>413</v>
      </c>
      <c r="F34" s="120" t="s">
        <v>436</v>
      </c>
      <c r="G34" s="32" t="s">
        <v>596</v>
      </c>
    </row>
    <row r="35" spans="1:7" x14ac:dyDescent="0.25">
      <c r="A35" s="13">
        <f t="shared" si="2"/>
        <v>33</v>
      </c>
      <c r="B35" s="376"/>
      <c r="C35" s="14" t="s">
        <v>284</v>
      </c>
      <c r="D35" s="15" t="s">
        <v>437</v>
      </c>
      <c r="E35" s="86" t="s">
        <v>426</v>
      </c>
      <c r="F35" s="120" t="s">
        <v>438</v>
      </c>
      <c r="G35" s="32" t="s">
        <v>596</v>
      </c>
    </row>
    <row r="36" spans="1:7" x14ac:dyDescent="0.25">
      <c r="A36" s="13">
        <f t="shared" si="2"/>
        <v>34</v>
      </c>
      <c r="B36" s="376"/>
      <c r="C36" s="14" t="s">
        <v>226</v>
      </c>
      <c r="D36" s="15" t="s">
        <v>437</v>
      </c>
      <c r="E36" s="86" t="s">
        <v>413</v>
      </c>
      <c r="F36" s="120" t="s">
        <v>439</v>
      </c>
      <c r="G36" s="31" t="s">
        <v>11</v>
      </c>
    </row>
    <row r="37" spans="1:7" x14ac:dyDescent="0.25">
      <c r="A37" s="13">
        <f t="shared" si="2"/>
        <v>35</v>
      </c>
      <c r="B37" s="376"/>
      <c r="C37" s="14" t="s">
        <v>504</v>
      </c>
      <c r="D37" s="15" t="s">
        <v>416</v>
      </c>
      <c r="E37" s="86" t="s">
        <v>417</v>
      </c>
      <c r="F37" s="120" t="s">
        <v>505</v>
      </c>
      <c r="G37" s="32" t="s">
        <v>11</v>
      </c>
    </row>
    <row r="38" spans="1:7" x14ac:dyDescent="0.25">
      <c r="A38" s="13">
        <f t="shared" si="2"/>
        <v>36</v>
      </c>
      <c r="B38" s="376"/>
      <c r="C38" s="14" t="s">
        <v>230</v>
      </c>
      <c r="D38" s="15" t="s">
        <v>423</v>
      </c>
      <c r="E38" s="86" t="s">
        <v>413</v>
      </c>
      <c r="F38" s="120" t="s">
        <v>439</v>
      </c>
      <c r="G38" s="32" t="s">
        <v>596</v>
      </c>
    </row>
    <row r="39" spans="1:7" x14ac:dyDescent="0.25">
      <c r="A39" s="13">
        <f t="shared" si="2"/>
        <v>37</v>
      </c>
      <c r="B39" s="376"/>
      <c r="C39" s="14" t="s">
        <v>233</v>
      </c>
      <c r="D39" s="15" t="s">
        <v>11</v>
      </c>
      <c r="E39" s="86" t="s">
        <v>11</v>
      </c>
      <c r="F39" s="120" t="s">
        <v>11</v>
      </c>
      <c r="G39" s="31" t="s">
        <v>11</v>
      </c>
    </row>
    <row r="40" spans="1:7" x14ac:dyDescent="0.25">
      <c r="A40" s="13">
        <f t="shared" si="2"/>
        <v>38</v>
      </c>
      <c r="B40" s="377"/>
      <c r="C40" s="14" t="s">
        <v>310</v>
      </c>
      <c r="D40" s="15" t="s">
        <v>599</v>
      </c>
      <c r="E40" s="86" t="s">
        <v>413</v>
      </c>
      <c r="F40" s="120" t="s">
        <v>440</v>
      </c>
      <c r="G40" s="32" t="s">
        <v>596</v>
      </c>
    </row>
    <row r="41" spans="1:7" x14ac:dyDescent="0.25">
      <c r="A41" s="13">
        <f t="shared" si="2"/>
        <v>39</v>
      </c>
      <c r="B41" s="378" t="s">
        <v>441</v>
      </c>
      <c r="C41" s="14" t="s">
        <v>162</v>
      </c>
      <c r="D41" s="15" t="s">
        <v>423</v>
      </c>
      <c r="E41" s="86" t="s">
        <v>413</v>
      </c>
      <c r="F41" s="120" t="s">
        <v>441</v>
      </c>
      <c r="G41" s="32"/>
    </row>
    <row r="42" spans="1:7" x14ac:dyDescent="0.25">
      <c r="A42" s="13">
        <f t="shared" si="2"/>
        <v>40</v>
      </c>
      <c r="B42" s="379"/>
      <c r="C42" s="14" t="s">
        <v>331</v>
      </c>
      <c r="D42" s="15" t="s">
        <v>416</v>
      </c>
      <c r="E42" s="86" t="s">
        <v>477</v>
      </c>
      <c r="F42" s="120" t="s">
        <v>441</v>
      </c>
      <c r="G42" s="32" t="s">
        <v>600</v>
      </c>
    </row>
    <row r="43" spans="1:7" x14ac:dyDescent="0.25">
      <c r="A43" s="13">
        <f t="shared" si="2"/>
        <v>41</v>
      </c>
      <c r="B43" s="379"/>
      <c r="C43" s="14" t="s">
        <v>336</v>
      </c>
      <c r="D43" s="15" t="s">
        <v>416</v>
      </c>
      <c r="E43" s="86" t="s">
        <v>477</v>
      </c>
      <c r="F43" s="120" t="s">
        <v>441</v>
      </c>
      <c r="G43" s="123" t="s">
        <v>600</v>
      </c>
    </row>
    <row r="44" spans="1:7" x14ac:dyDescent="0.25">
      <c r="A44" s="13">
        <f t="shared" si="2"/>
        <v>42</v>
      </c>
      <c r="B44" s="379"/>
      <c r="C44" s="14" t="s">
        <v>341</v>
      </c>
      <c r="D44" s="15" t="s">
        <v>423</v>
      </c>
      <c r="E44" s="86" t="s">
        <v>413</v>
      </c>
      <c r="F44" s="87" t="s">
        <v>441</v>
      </c>
      <c r="G44" s="53"/>
    </row>
    <row r="45" spans="1:7" x14ac:dyDescent="0.25">
      <c r="A45" s="13">
        <f t="shared" si="2"/>
        <v>43</v>
      </c>
      <c r="B45" s="379"/>
      <c r="C45" s="14" t="s">
        <v>165</v>
      </c>
      <c r="D45" s="15" t="s">
        <v>416</v>
      </c>
      <c r="E45" s="86" t="s">
        <v>413</v>
      </c>
      <c r="F45" s="120" t="s">
        <v>441</v>
      </c>
      <c r="G45" s="32"/>
    </row>
    <row r="46" spans="1:7" x14ac:dyDescent="0.25">
      <c r="A46" s="13">
        <f t="shared" si="2"/>
        <v>44</v>
      </c>
      <c r="B46" s="379"/>
      <c r="C46" s="14" t="s">
        <v>194</v>
      </c>
      <c r="D46" s="15" t="s">
        <v>11</v>
      </c>
      <c r="E46" s="86" t="s">
        <v>11</v>
      </c>
      <c r="F46" s="120" t="s">
        <v>441</v>
      </c>
      <c r="G46" s="63"/>
    </row>
    <row r="47" spans="1:7" x14ac:dyDescent="0.25">
      <c r="A47" s="13">
        <f t="shared" si="2"/>
        <v>45</v>
      </c>
      <c r="B47" s="379"/>
      <c r="C47" s="14" t="s">
        <v>337</v>
      </c>
      <c r="D47" s="15" t="s">
        <v>442</v>
      </c>
      <c r="E47" s="86" t="s">
        <v>477</v>
      </c>
      <c r="F47" s="120" t="s">
        <v>441</v>
      </c>
      <c r="G47" s="123" t="s">
        <v>600</v>
      </c>
    </row>
    <row r="48" spans="1:7" x14ac:dyDescent="0.25">
      <c r="A48" s="13">
        <f t="shared" si="2"/>
        <v>46</v>
      </c>
      <c r="B48" s="379"/>
      <c r="C48" s="14" t="s">
        <v>293</v>
      </c>
      <c r="D48" s="15" t="s">
        <v>423</v>
      </c>
      <c r="E48" s="86" t="s">
        <v>520</v>
      </c>
      <c r="F48" s="120" t="s">
        <v>441</v>
      </c>
      <c r="G48" s="124"/>
    </row>
    <row r="49" spans="1:7" x14ac:dyDescent="0.25">
      <c r="A49" s="13">
        <f t="shared" si="2"/>
        <v>47</v>
      </c>
      <c r="B49" s="379"/>
      <c r="C49" s="14" t="s">
        <v>523</v>
      </c>
      <c r="D49" s="15" t="s">
        <v>423</v>
      </c>
      <c r="E49" s="86" t="s">
        <v>426</v>
      </c>
      <c r="F49" s="120" t="s">
        <v>441</v>
      </c>
      <c r="G49" s="123"/>
    </row>
    <row r="50" spans="1:7" x14ac:dyDescent="0.25">
      <c r="A50" s="13">
        <f t="shared" si="2"/>
        <v>48</v>
      </c>
      <c r="B50" s="379"/>
      <c r="C50" s="14" t="s">
        <v>526</v>
      </c>
      <c r="D50" s="15" t="s">
        <v>11</v>
      </c>
      <c r="E50" s="86" t="s">
        <v>426</v>
      </c>
      <c r="F50" s="120" t="s">
        <v>441</v>
      </c>
      <c r="G50" s="73"/>
    </row>
    <row r="51" spans="1:7" x14ac:dyDescent="0.25">
      <c r="A51" s="13">
        <f t="shared" si="2"/>
        <v>49</v>
      </c>
      <c r="B51" s="379"/>
      <c r="C51" s="14" t="s">
        <v>296</v>
      </c>
      <c r="D51" s="15" t="s">
        <v>423</v>
      </c>
      <c r="E51" s="86" t="s">
        <v>426</v>
      </c>
      <c r="F51" s="120" t="s">
        <v>441</v>
      </c>
      <c r="G51" s="42"/>
    </row>
    <row r="52" spans="1:7" x14ac:dyDescent="0.25">
      <c r="A52" s="13">
        <f t="shared" si="2"/>
        <v>50</v>
      </c>
      <c r="B52" s="380"/>
      <c r="C52" s="14" t="s">
        <v>528</v>
      </c>
      <c r="D52" s="15" t="s">
        <v>423</v>
      </c>
      <c r="E52" s="86" t="s">
        <v>11</v>
      </c>
      <c r="F52" s="120" t="s">
        <v>441</v>
      </c>
      <c r="G52" s="25"/>
    </row>
    <row r="53" spans="1:7" x14ac:dyDescent="0.25">
      <c r="A53" s="13">
        <f t="shared" si="2"/>
        <v>51</v>
      </c>
      <c r="B53" s="375" t="s">
        <v>254</v>
      </c>
      <c r="C53" s="14" t="s">
        <v>250</v>
      </c>
      <c r="D53" s="15" t="s">
        <v>442</v>
      </c>
      <c r="E53" s="86" t="s">
        <v>426</v>
      </c>
      <c r="F53" s="120" t="s">
        <v>254</v>
      </c>
      <c r="G53" s="19" t="s">
        <v>597</v>
      </c>
    </row>
    <row r="54" spans="1:7" x14ac:dyDescent="0.25">
      <c r="A54" s="13">
        <f t="shared" si="2"/>
        <v>52</v>
      </c>
      <c r="B54" s="376"/>
      <c r="C54" s="14" t="s">
        <v>444</v>
      </c>
      <c r="D54" s="15" t="s">
        <v>428</v>
      </c>
      <c r="E54" s="86" t="s">
        <v>445</v>
      </c>
      <c r="F54" s="120" t="s">
        <v>254</v>
      </c>
      <c r="G54" s="31" t="s">
        <v>11</v>
      </c>
    </row>
    <row r="55" spans="1:7" x14ac:dyDescent="0.25">
      <c r="A55" s="13">
        <v>52</v>
      </c>
      <c r="B55" s="376"/>
      <c r="C55" s="14" t="s">
        <v>536</v>
      </c>
      <c r="D55" s="15" t="s">
        <v>423</v>
      </c>
      <c r="E55" s="86" t="s">
        <v>11</v>
      </c>
      <c r="F55" s="120" t="s">
        <v>254</v>
      </c>
      <c r="G55" s="65" t="s">
        <v>11</v>
      </c>
    </row>
    <row r="56" spans="1:7" x14ac:dyDescent="0.25">
      <c r="A56" s="13">
        <f t="shared" si="2"/>
        <v>53</v>
      </c>
      <c r="B56" s="377"/>
      <c r="C56" s="14" t="s">
        <v>446</v>
      </c>
      <c r="D56" s="15" t="s">
        <v>423</v>
      </c>
      <c r="E56" s="86" t="s">
        <v>426</v>
      </c>
      <c r="F56" s="125" t="s">
        <v>254</v>
      </c>
      <c r="G56" s="19" t="s">
        <v>601</v>
      </c>
    </row>
  </sheetData>
  <autoFilter ref="A2:F56" xr:uid="{00000000-0009-0000-0000-000007000000}"/>
  <mergeCells count="6">
    <mergeCell ref="B53:B56"/>
    <mergeCell ref="B3:B8"/>
    <mergeCell ref="B9:B21"/>
    <mergeCell ref="B22:B31"/>
    <mergeCell ref="B32:B40"/>
    <mergeCell ref="B41:B52"/>
  </mergeCells>
  <conditionalFormatting sqref="N5:P5">
    <cfRule type="containsText" dxfId="10129" priority="2731" operator="containsText" text="Done">
      <formula>NOT(ISERROR(SEARCH("Done",Y2)))</formula>
    </cfRule>
  </conditionalFormatting>
  <conditionalFormatting sqref="N8:P8">
    <cfRule type="containsText" dxfId="10128" priority="2732" operator="containsText" text="Done">
      <formula>NOT(ISERROR(SEARCH("Done",Y2)))</formula>
    </cfRule>
  </conditionalFormatting>
  <conditionalFormatting sqref="N11:O11">
    <cfRule type="containsText" dxfId="10127" priority="2733" operator="containsText" text="Done">
      <formula>NOT(ISERROR(SEARCH("Done",Y2)))</formula>
    </cfRule>
  </conditionalFormatting>
  <conditionalFormatting sqref="N13:O13">
    <cfRule type="containsText" dxfId="10126" priority="2734" operator="containsText" text="Done">
      <formula>NOT(ISERROR(SEARCH("Done",Y2)))</formula>
    </cfRule>
  </conditionalFormatting>
  <conditionalFormatting sqref="N14:O14">
    <cfRule type="containsText" dxfId="10125" priority="2735" operator="containsText" text="Done">
      <formula>NOT(ISERROR(SEARCH("Done",Y2)))</formula>
    </cfRule>
  </conditionalFormatting>
  <conditionalFormatting sqref="N17:O17">
    <cfRule type="containsText" dxfId="10124" priority="2736" operator="containsText" text="Done">
      <formula>NOT(ISERROR(SEARCH("Done",Y2)))</formula>
    </cfRule>
  </conditionalFormatting>
  <conditionalFormatting sqref="Q16">
    <cfRule type="containsText" dxfId="10123" priority="2737" operator="containsText" text="Done">
      <formula>NOT(ISERROR(SEARCH("Done",Y2)))</formula>
    </cfRule>
  </conditionalFormatting>
  <conditionalFormatting sqref="S16">
    <cfRule type="containsText" dxfId="10122" priority="2738" operator="containsText" text="Done">
      <formula>NOT(ISERROR(SEARCH("Done",Y2)))</formula>
    </cfRule>
  </conditionalFormatting>
  <conditionalFormatting sqref="U16">
    <cfRule type="containsText" dxfId="10121" priority="2739" operator="containsText" text="Done">
      <formula>NOT(ISERROR(SEARCH("Done",Y2)))</formula>
    </cfRule>
  </conditionalFormatting>
  <conditionalFormatting sqref="W16">
    <cfRule type="containsText" dxfId="10120" priority="2740" operator="containsText" text="Done">
      <formula>NOT(ISERROR(SEARCH("Done",Y2)))</formula>
    </cfRule>
  </conditionalFormatting>
  <conditionalFormatting sqref="Y16">
    <cfRule type="containsText" dxfId="10119" priority="2741" operator="containsText" text="Done">
      <formula>NOT(ISERROR(SEARCH("Done",Y2)))</formula>
    </cfRule>
  </conditionalFormatting>
  <conditionalFormatting sqref="AA16">
    <cfRule type="containsText" dxfId="10118" priority="2742" operator="containsText" text="Done">
      <formula>NOT(ISERROR(SEARCH("Done",Y2)))</formula>
    </cfRule>
  </conditionalFormatting>
  <conditionalFormatting sqref="AF16">
    <cfRule type="containsText" dxfId="10117" priority="2743" operator="containsText" text="Done">
      <formula>NOT(ISERROR(SEARCH("Done",Y2)))</formula>
    </cfRule>
  </conditionalFormatting>
  <conditionalFormatting sqref="AH16">
    <cfRule type="containsText" dxfId="10116" priority="2744" operator="containsText" text="Done">
      <formula>NOT(ISERROR(SEARCH("Done",Y2)))</formula>
    </cfRule>
  </conditionalFormatting>
  <conditionalFormatting sqref="AJ16">
    <cfRule type="containsText" dxfId="10115" priority="2745" operator="containsText" text="Done">
      <formula>NOT(ISERROR(SEARCH("Done",Y2)))</formula>
    </cfRule>
  </conditionalFormatting>
  <conditionalFormatting sqref="AL16">
    <cfRule type="containsText" dxfId="10114" priority="2746" operator="containsText" text="Done">
      <formula>NOT(ISERROR(SEARCH("Done",Y2)))</formula>
    </cfRule>
  </conditionalFormatting>
  <conditionalFormatting sqref="AN16">
    <cfRule type="containsText" dxfId="10113" priority="2747" operator="containsText" text="Done">
      <formula>NOT(ISERROR(SEARCH("Done",Y2)))</formula>
    </cfRule>
  </conditionalFormatting>
  <conditionalFormatting sqref="AP16">
    <cfRule type="containsText" dxfId="10112" priority="2748" operator="containsText" text="Done">
      <formula>NOT(ISERROR(SEARCH("Done",Y2)))</formula>
    </cfRule>
  </conditionalFormatting>
  <conditionalFormatting sqref="AR16">
    <cfRule type="containsText" dxfId="10111" priority="2749" operator="containsText" text="Done">
      <formula>NOT(ISERROR(SEARCH("Done",Y2)))</formula>
    </cfRule>
  </conditionalFormatting>
  <conditionalFormatting sqref="AT16">
    <cfRule type="containsText" dxfId="10110" priority="2750" operator="containsText" text="Done">
      <formula>NOT(ISERROR(SEARCH("Done",Y2)))</formula>
    </cfRule>
  </conditionalFormatting>
  <conditionalFormatting sqref="AV16">
    <cfRule type="containsText" dxfId="10109" priority="2751" operator="containsText" text="Done">
      <formula>NOT(ISERROR(SEARCH("Done",Y2)))</formula>
    </cfRule>
  </conditionalFormatting>
  <conditionalFormatting sqref="AX16">
    <cfRule type="containsText" dxfId="10108" priority="2752" operator="containsText" text="Done">
      <formula>NOT(ISERROR(SEARCH("Done",Y2)))</formula>
    </cfRule>
  </conditionalFormatting>
  <conditionalFormatting sqref="N10:P10">
    <cfRule type="containsText" dxfId="10107" priority="2753" operator="containsText" text="Done">
      <formula>NOT(ISERROR(SEARCH("Done",Y2)))</formula>
    </cfRule>
  </conditionalFormatting>
  <conditionalFormatting sqref="N18:P18">
    <cfRule type="containsText" dxfId="10106" priority="2754" operator="containsText" text="Done">
      <formula>NOT(ISERROR(SEARCH("Done",Y2)))</formula>
    </cfRule>
  </conditionalFormatting>
  <conditionalFormatting sqref="O20:Q20">
    <cfRule type="containsText" dxfId="10105" priority="2755" operator="containsText" text="Done">
      <formula>NOT(ISERROR(SEARCH("Done",Y2)))</formula>
    </cfRule>
  </conditionalFormatting>
  <conditionalFormatting sqref="P43">
    <cfRule type="containsText" dxfId="10104" priority="2756" operator="containsText" text="Done">
      <formula>NOT(ISERROR(SEARCH("Done",Y2)))</formula>
    </cfRule>
  </conditionalFormatting>
  <conditionalFormatting sqref="R40">
    <cfRule type="containsText" dxfId="10103" priority="2757" operator="containsText" text="Done">
      <formula>NOT(ISERROR(SEARCH("Done",Y2)))</formula>
    </cfRule>
  </conditionalFormatting>
  <conditionalFormatting sqref="N5:P5">
    <cfRule type="containsText" dxfId="10102" priority="2729" operator="containsText" text="Pending">
      <formula>NOT(ISERROR(SEARCH("Pending",Y2)))</formula>
    </cfRule>
  </conditionalFormatting>
  <conditionalFormatting sqref="N8:P8">
    <cfRule type="containsText" dxfId="10101" priority="2758" operator="containsText" text="Pending">
      <formula>NOT(ISERROR(SEARCH("Pending",Y2)))</formula>
    </cfRule>
  </conditionalFormatting>
  <conditionalFormatting sqref="N11:O11">
    <cfRule type="containsText" dxfId="10100" priority="2759" operator="containsText" text="Pending">
      <formula>NOT(ISERROR(SEARCH("Pending",Y2)))</formula>
    </cfRule>
  </conditionalFormatting>
  <conditionalFormatting sqref="N13:O13">
    <cfRule type="containsText" dxfId="10099" priority="2760" operator="containsText" text="Pending">
      <formula>NOT(ISERROR(SEARCH("Pending",Y2)))</formula>
    </cfRule>
  </conditionalFormatting>
  <conditionalFormatting sqref="N14:O14">
    <cfRule type="containsText" dxfId="10098" priority="2761" operator="containsText" text="Pending">
      <formula>NOT(ISERROR(SEARCH("Pending",Y2)))</formula>
    </cfRule>
  </conditionalFormatting>
  <conditionalFormatting sqref="N17:O17">
    <cfRule type="containsText" dxfId="10097" priority="2762" operator="containsText" text="Pending">
      <formula>NOT(ISERROR(SEARCH("Pending",Y2)))</formula>
    </cfRule>
  </conditionalFormatting>
  <conditionalFormatting sqref="Q16">
    <cfRule type="containsText" dxfId="10096" priority="2763" operator="containsText" text="Pending">
      <formula>NOT(ISERROR(SEARCH("Pending",Y2)))</formula>
    </cfRule>
  </conditionalFormatting>
  <conditionalFormatting sqref="S16">
    <cfRule type="containsText" dxfId="10095" priority="2764" operator="containsText" text="Pending">
      <formula>NOT(ISERROR(SEARCH("Pending",Y2)))</formula>
    </cfRule>
  </conditionalFormatting>
  <conditionalFormatting sqref="U16">
    <cfRule type="containsText" dxfId="10094" priority="2765" operator="containsText" text="Pending">
      <formula>NOT(ISERROR(SEARCH("Pending",Y2)))</formula>
    </cfRule>
  </conditionalFormatting>
  <conditionalFormatting sqref="W16">
    <cfRule type="containsText" dxfId="10093" priority="2766" operator="containsText" text="Pending">
      <formula>NOT(ISERROR(SEARCH("Pending",Y2)))</formula>
    </cfRule>
  </conditionalFormatting>
  <conditionalFormatting sqref="Y16">
    <cfRule type="containsText" dxfId="10092" priority="2767" operator="containsText" text="Pending">
      <formula>NOT(ISERROR(SEARCH("Pending",Y2)))</formula>
    </cfRule>
  </conditionalFormatting>
  <conditionalFormatting sqref="AA16">
    <cfRule type="containsText" dxfId="10091" priority="2768" operator="containsText" text="Pending">
      <formula>NOT(ISERROR(SEARCH("Pending",Y2)))</formula>
    </cfRule>
  </conditionalFormatting>
  <conditionalFormatting sqref="AF16">
    <cfRule type="containsText" dxfId="10090" priority="2769" operator="containsText" text="Pending">
      <formula>NOT(ISERROR(SEARCH("Pending",Y2)))</formula>
    </cfRule>
  </conditionalFormatting>
  <conditionalFormatting sqref="AH16">
    <cfRule type="containsText" dxfId="10089" priority="2770" operator="containsText" text="Pending">
      <formula>NOT(ISERROR(SEARCH("Pending",Y2)))</formula>
    </cfRule>
  </conditionalFormatting>
  <conditionalFormatting sqref="AJ16">
    <cfRule type="containsText" dxfId="10088" priority="2771" operator="containsText" text="Pending">
      <formula>NOT(ISERROR(SEARCH("Pending",Y2)))</formula>
    </cfRule>
  </conditionalFormatting>
  <conditionalFormatting sqref="AL16">
    <cfRule type="containsText" dxfId="10087" priority="2772" operator="containsText" text="Pending">
      <formula>NOT(ISERROR(SEARCH("Pending",Y2)))</formula>
    </cfRule>
  </conditionalFormatting>
  <conditionalFormatting sqref="AN16">
    <cfRule type="containsText" dxfId="10086" priority="2773" operator="containsText" text="Pending">
      <formula>NOT(ISERROR(SEARCH("Pending",Y2)))</formula>
    </cfRule>
  </conditionalFormatting>
  <conditionalFormatting sqref="AP16">
    <cfRule type="containsText" dxfId="10085" priority="2774" operator="containsText" text="Pending">
      <formula>NOT(ISERROR(SEARCH("Pending",Y2)))</formula>
    </cfRule>
  </conditionalFormatting>
  <conditionalFormatting sqref="AR16">
    <cfRule type="containsText" dxfId="10084" priority="2775" operator="containsText" text="Pending">
      <formula>NOT(ISERROR(SEARCH("Pending",Y2)))</formula>
    </cfRule>
  </conditionalFormatting>
  <conditionalFormatting sqref="AT16">
    <cfRule type="containsText" dxfId="10083" priority="2776" operator="containsText" text="Pending">
      <formula>NOT(ISERROR(SEARCH("Pending",Y2)))</formula>
    </cfRule>
  </conditionalFormatting>
  <conditionalFormatting sqref="AV16">
    <cfRule type="containsText" dxfId="10082" priority="2777" operator="containsText" text="Pending">
      <formula>NOT(ISERROR(SEARCH("Pending",Y2)))</formula>
    </cfRule>
  </conditionalFormatting>
  <conditionalFormatting sqref="AX16">
    <cfRule type="containsText" dxfId="10081" priority="2778" operator="containsText" text="Pending">
      <formula>NOT(ISERROR(SEARCH("Pending",Y2)))</formula>
    </cfRule>
  </conditionalFormatting>
  <conditionalFormatting sqref="N10:P10">
    <cfRule type="containsText" dxfId="10080" priority="2779" operator="containsText" text="Pending">
      <formula>NOT(ISERROR(SEARCH("Pending",Y2)))</formula>
    </cfRule>
  </conditionalFormatting>
  <conditionalFormatting sqref="N18:P18">
    <cfRule type="containsText" dxfId="10079" priority="2780" operator="containsText" text="Pending">
      <formula>NOT(ISERROR(SEARCH("Pending",Y2)))</formula>
    </cfRule>
  </conditionalFormatting>
  <conditionalFormatting sqref="O20:Q20">
    <cfRule type="containsText" dxfId="10078" priority="2781" operator="containsText" text="Pending">
      <formula>NOT(ISERROR(SEARCH("Pending",Y2)))</formula>
    </cfRule>
  </conditionalFormatting>
  <conditionalFormatting sqref="P43">
    <cfRule type="containsText" dxfId="10077" priority="2782" operator="containsText" text="Pending">
      <formula>NOT(ISERROR(SEARCH("Pending",Y2)))</formula>
    </cfRule>
  </conditionalFormatting>
  <conditionalFormatting sqref="R40">
    <cfRule type="containsText" dxfId="10076" priority="2783" operator="containsText" text="Pending">
      <formula>NOT(ISERROR(SEARCH("Pending",Y2)))</formula>
    </cfRule>
  </conditionalFormatting>
  <conditionalFormatting sqref="N5:P5">
    <cfRule type="containsText" dxfId="10075" priority="2727" operator="containsText" text="NA">
      <formula>NOT(ISERROR(SEARCH("NA",Y2)))</formula>
    </cfRule>
  </conditionalFormatting>
  <conditionalFormatting sqref="N8:P8">
    <cfRule type="containsText" dxfId="10074" priority="2784" operator="containsText" text="NA">
      <formula>NOT(ISERROR(SEARCH("NA",Y2)))</formula>
    </cfRule>
  </conditionalFormatting>
  <conditionalFormatting sqref="N11:O11">
    <cfRule type="containsText" dxfId="10073" priority="2785" operator="containsText" text="NA">
      <formula>NOT(ISERROR(SEARCH("NA",Y2)))</formula>
    </cfRule>
  </conditionalFormatting>
  <conditionalFormatting sqref="N13:O13">
    <cfRule type="containsText" dxfId="10072" priority="2786" operator="containsText" text="NA">
      <formula>NOT(ISERROR(SEARCH("NA",Y2)))</formula>
    </cfRule>
  </conditionalFormatting>
  <conditionalFormatting sqref="N14:O14">
    <cfRule type="containsText" dxfId="10071" priority="2787" operator="containsText" text="NA">
      <formula>NOT(ISERROR(SEARCH("NA",Y2)))</formula>
    </cfRule>
  </conditionalFormatting>
  <conditionalFormatting sqref="N17:O17">
    <cfRule type="containsText" dxfId="10070" priority="2788" operator="containsText" text="NA">
      <formula>NOT(ISERROR(SEARCH("NA",Y2)))</formula>
    </cfRule>
  </conditionalFormatting>
  <conditionalFormatting sqref="Q16">
    <cfRule type="containsText" dxfId="10069" priority="2789" operator="containsText" text="NA">
      <formula>NOT(ISERROR(SEARCH("NA",Y2)))</formula>
    </cfRule>
  </conditionalFormatting>
  <conditionalFormatting sqref="S16">
    <cfRule type="containsText" dxfId="10068" priority="2790" operator="containsText" text="NA">
      <formula>NOT(ISERROR(SEARCH("NA",Y2)))</formula>
    </cfRule>
  </conditionalFormatting>
  <conditionalFormatting sqref="U16">
    <cfRule type="containsText" dxfId="10067" priority="2791" operator="containsText" text="NA">
      <formula>NOT(ISERROR(SEARCH("NA",Y2)))</formula>
    </cfRule>
  </conditionalFormatting>
  <conditionalFormatting sqref="W16">
    <cfRule type="containsText" dxfId="10066" priority="2792" operator="containsText" text="NA">
      <formula>NOT(ISERROR(SEARCH("NA",Y2)))</formula>
    </cfRule>
  </conditionalFormatting>
  <conditionalFormatting sqref="Y16">
    <cfRule type="containsText" dxfId="10065" priority="2793" operator="containsText" text="NA">
      <formula>NOT(ISERROR(SEARCH("NA",Y2)))</formula>
    </cfRule>
  </conditionalFormatting>
  <conditionalFormatting sqref="AA16">
    <cfRule type="containsText" dxfId="10064" priority="2794" operator="containsText" text="NA">
      <formula>NOT(ISERROR(SEARCH("NA",Y2)))</formula>
    </cfRule>
  </conditionalFormatting>
  <conditionalFormatting sqref="AF16">
    <cfRule type="containsText" dxfId="10063" priority="2795" operator="containsText" text="NA">
      <formula>NOT(ISERROR(SEARCH("NA",Y2)))</formula>
    </cfRule>
  </conditionalFormatting>
  <conditionalFormatting sqref="AH16">
    <cfRule type="containsText" dxfId="10062" priority="2796" operator="containsText" text="NA">
      <formula>NOT(ISERROR(SEARCH("NA",Y2)))</formula>
    </cfRule>
  </conditionalFormatting>
  <conditionalFormatting sqref="AJ16">
    <cfRule type="containsText" dxfId="10061" priority="2797" operator="containsText" text="NA">
      <formula>NOT(ISERROR(SEARCH("NA",Y2)))</formula>
    </cfRule>
  </conditionalFormatting>
  <conditionalFormatting sqref="AL16">
    <cfRule type="containsText" dxfId="10060" priority="2798" operator="containsText" text="NA">
      <formula>NOT(ISERROR(SEARCH("NA",Y2)))</formula>
    </cfRule>
  </conditionalFormatting>
  <conditionalFormatting sqref="AN16">
    <cfRule type="containsText" dxfId="10059" priority="2799" operator="containsText" text="NA">
      <formula>NOT(ISERROR(SEARCH("NA",Y2)))</formula>
    </cfRule>
  </conditionalFormatting>
  <conditionalFormatting sqref="AP16">
    <cfRule type="containsText" dxfId="10058" priority="2800" operator="containsText" text="NA">
      <formula>NOT(ISERROR(SEARCH("NA",Y2)))</formula>
    </cfRule>
  </conditionalFormatting>
  <conditionalFormatting sqref="AR16">
    <cfRule type="containsText" dxfId="10057" priority="2801" operator="containsText" text="NA">
      <formula>NOT(ISERROR(SEARCH("NA",Y2)))</formula>
    </cfRule>
  </conditionalFormatting>
  <conditionalFormatting sqref="AT16">
    <cfRule type="containsText" dxfId="10056" priority="2802" operator="containsText" text="NA">
      <formula>NOT(ISERROR(SEARCH("NA",Y2)))</formula>
    </cfRule>
  </conditionalFormatting>
  <conditionalFormatting sqref="AV16">
    <cfRule type="containsText" dxfId="10055" priority="2803" operator="containsText" text="NA">
      <formula>NOT(ISERROR(SEARCH("NA",Y2)))</formula>
    </cfRule>
  </conditionalFormatting>
  <conditionalFormatting sqref="AX16">
    <cfRule type="containsText" dxfId="10054" priority="2804" operator="containsText" text="NA">
      <formula>NOT(ISERROR(SEARCH("NA",Y2)))</formula>
    </cfRule>
  </conditionalFormatting>
  <conditionalFormatting sqref="N10:P10">
    <cfRule type="containsText" dxfId="10053" priority="2805" operator="containsText" text="NA">
      <formula>NOT(ISERROR(SEARCH("NA",Y2)))</formula>
    </cfRule>
  </conditionalFormatting>
  <conditionalFormatting sqref="N18:P18">
    <cfRule type="containsText" dxfId="10052" priority="2806" operator="containsText" text="NA">
      <formula>NOT(ISERROR(SEARCH("NA",Y2)))</formula>
    </cfRule>
  </conditionalFormatting>
  <conditionalFormatting sqref="O20:Q20">
    <cfRule type="containsText" dxfId="10051" priority="2807" operator="containsText" text="NA">
      <formula>NOT(ISERROR(SEARCH("NA",Y2)))</formula>
    </cfRule>
  </conditionalFormatting>
  <conditionalFormatting sqref="P43">
    <cfRule type="containsText" dxfId="10050" priority="2808" operator="containsText" text="NA">
      <formula>NOT(ISERROR(SEARCH("NA",Y2)))</formula>
    </cfRule>
  </conditionalFormatting>
  <conditionalFormatting sqref="R40">
    <cfRule type="containsText" dxfId="10049" priority="2809" operator="containsText" text="NA">
      <formula>NOT(ISERROR(SEARCH("NA",Y2)))</formula>
    </cfRule>
  </conditionalFormatting>
  <conditionalFormatting sqref="S5:W5">
    <cfRule type="containsText" dxfId="10048" priority="2718" operator="containsText" text="Done">
      <formula>NOT(ISERROR(SEARCH("Done",AA2)))</formula>
    </cfRule>
  </conditionalFormatting>
  <conditionalFormatting sqref="S8:W8">
    <cfRule type="containsText" dxfId="10047" priority="2810" operator="containsText" text="Done">
      <formula>NOT(ISERROR(SEARCH("Done",AA2)))</formula>
    </cfRule>
  </conditionalFormatting>
  <conditionalFormatting sqref="S28">
    <cfRule type="containsText" dxfId="10046" priority="2811" operator="containsText" text="Done">
      <formula>NOT(ISERROR(SEARCH("Done",AA2)))</formula>
    </cfRule>
  </conditionalFormatting>
  <conditionalFormatting sqref="S25">
    <cfRule type="containsText" dxfId="10045" priority="2812" operator="containsText" text="Done">
      <formula>NOT(ISERROR(SEARCH("Done",AA2)))</formula>
    </cfRule>
  </conditionalFormatting>
  <conditionalFormatting sqref="S55">
    <cfRule type="containsText" dxfId="10044" priority="2813" operator="containsText" text="Done">
      <formula>NOT(ISERROR(SEARCH("Done",AA2)))</formula>
    </cfRule>
  </conditionalFormatting>
  <conditionalFormatting sqref="T54">
    <cfRule type="containsText" dxfId="10043" priority="2814" operator="containsText" text="Done">
      <formula>NOT(ISERROR(SEARCH("Done",AA2)))</formula>
    </cfRule>
  </conditionalFormatting>
  <conditionalFormatting sqref="U54">
    <cfRule type="containsText" dxfId="10042" priority="2815" operator="containsText" text="Done">
      <formula>NOT(ISERROR(SEARCH("Done",AA2)))</formula>
    </cfRule>
  </conditionalFormatting>
  <conditionalFormatting sqref="W55">
    <cfRule type="containsText" dxfId="10041" priority="2816" operator="containsText" text="Done">
      <formula>NOT(ISERROR(SEARCH("Done",AA2)))</formula>
    </cfRule>
  </conditionalFormatting>
  <conditionalFormatting sqref="S12:W12">
    <cfRule type="containsText" dxfId="10040" priority="2817" operator="containsText" text="Done">
      <formula>NOT(ISERROR(SEARCH("Done",AA2)))</formula>
    </cfRule>
  </conditionalFormatting>
  <conditionalFormatting sqref="T19:X19">
    <cfRule type="containsText" dxfId="10039" priority="2818" operator="containsText" text="Done">
      <formula>NOT(ISERROR(SEARCH("Done",AA2)))</formula>
    </cfRule>
  </conditionalFormatting>
  <conditionalFormatting sqref="U34:V34">
    <cfRule type="containsText" dxfId="10038" priority="2819" operator="containsText" text="Done">
      <formula>NOT(ISERROR(SEARCH("Done",AA2)))</formula>
    </cfRule>
  </conditionalFormatting>
  <conditionalFormatting sqref="U38">
    <cfRule type="containsText" dxfId="10037" priority="2820" operator="containsText" text="Done">
      <formula>NOT(ISERROR(SEARCH("Done",AA2)))</formula>
    </cfRule>
  </conditionalFormatting>
  <conditionalFormatting sqref="X38:Y38">
    <cfRule type="containsText" dxfId="10036" priority="2821" operator="containsText" text="Done">
      <formula>NOT(ISERROR(SEARCH("Done",AA2)))</formula>
    </cfRule>
  </conditionalFormatting>
  <conditionalFormatting sqref="Y38">
    <cfRule type="containsText" dxfId="10035" priority="2822" operator="containsText" text="Done">
      <formula>NOT(ISERROR(SEARCH("Done",AA2)))</formula>
    </cfRule>
  </conditionalFormatting>
  <conditionalFormatting sqref="U41">
    <cfRule type="containsText" dxfId="10034" priority="2823" operator="containsText" text="Done">
      <formula>NOT(ISERROR(SEARCH("Done",AA2)))</formula>
    </cfRule>
  </conditionalFormatting>
  <conditionalFormatting sqref="V41">
    <cfRule type="containsText" dxfId="10033" priority="2824" operator="containsText" text="Done">
      <formula>NOT(ISERROR(SEARCH("Done",AA2)))</formula>
    </cfRule>
  </conditionalFormatting>
  <conditionalFormatting sqref="W42">
    <cfRule type="containsText" dxfId="10032" priority="2825" operator="containsText" text="Done">
      <formula>NOT(ISERROR(SEARCH("Done",AA2)))</formula>
    </cfRule>
  </conditionalFormatting>
  <conditionalFormatting sqref="X42">
    <cfRule type="containsText" dxfId="10031" priority="2826" operator="containsText" text="Done">
      <formula>NOT(ISERROR(SEARCH("Done",AA2)))</formula>
    </cfRule>
  </conditionalFormatting>
  <conditionalFormatting sqref="Y42">
    <cfRule type="containsText" dxfId="10030" priority="2827" operator="containsText" text="Done">
      <formula>NOT(ISERROR(SEARCH("Done",AA2)))</formula>
    </cfRule>
  </conditionalFormatting>
  <conditionalFormatting sqref="Y47:Y52">
    <cfRule type="containsText" dxfId="10029" priority="2828" operator="containsText" text="Done">
      <formula>NOT(ISERROR(SEARCH("Done",AA2)))</formula>
    </cfRule>
  </conditionalFormatting>
  <conditionalFormatting sqref="T29">
    <cfRule type="containsText" dxfId="10028" priority="2829" operator="containsText" text="Done">
      <formula>NOT(ISERROR(SEARCH("Done",AA2)))</formula>
    </cfRule>
  </conditionalFormatting>
  <conditionalFormatting sqref="U25:V25">
    <cfRule type="containsText" dxfId="10027" priority="2830" operator="containsText" text="Done">
      <formula>NOT(ISERROR(SEARCH("Done",AA2)))</formula>
    </cfRule>
  </conditionalFormatting>
  <conditionalFormatting sqref="U31:V31">
    <cfRule type="containsText" dxfId="10026" priority="2831" operator="containsText" text="Done">
      <formula>NOT(ISERROR(SEARCH("Done",AA2)))</formula>
    </cfRule>
  </conditionalFormatting>
  <conditionalFormatting sqref="W25">
    <cfRule type="containsText" dxfId="10025" priority="2832" operator="containsText" text="Done">
      <formula>NOT(ISERROR(SEARCH("Done",AA2)))</formula>
    </cfRule>
  </conditionalFormatting>
  <conditionalFormatting sqref="W29">
    <cfRule type="containsText" dxfId="10024" priority="2833" operator="containsText" text="Done">
      <formula>NOT(ISERROR(SEARCH("Done",AA2)))</formula>
    </cfRule>
  </conditionalFormatting>
  <conditionalFormatting sqref="V25">
    <cfRule type="containsText" dxfId="10023" priority="2834" operator="containsText" text="Done">
      <formula>NOT(ISERROR(SEARCH("Done",AA2)))</formula>
    </cfRule>
  </conditionalFormatting>
  <conditionalFormatting sqref="U29">
    <cfRule type="containsText" dxfId="10022" priority="2835" operator="containsText" text="Done">
      <formula>NOT(ISERROR(SEARCH("Done",AA2)))</formula>
    </cfRule>
  </conditionalFormatting>
  <conditionalFormatting sqref="V29">
    <cfRule type="containsText" dxfId="10021" priority="2836" operator="containsText" text="Done">
      <formula>NOT(ISERROR(SEARCH("Done",AA2)))</formula>
    </cfRule>
  </conditionalFormatting>
  <conditionalFormatting sqref="U21">
    <cfRule type="containsText" dxfId="10020" priority="2837" operator="containsText" text="Done">
      <formula>NOT(ISERROR(SEARCH("Done",AA2)))</formula>
    </cfRule>
  </conditionalFormatting>
  <conditionalFormatting sqref="R24">
    <cfRule type="containsText" dxfId="10019" priority="2838" operator="containsText" text="Done">
      <formula>NOT(ISERROR(SEARCH("Done",AA2)))</formula>
    </cfRule>
  </conditionalFormatting>
  <conditionalFormatting sqref="X44">
    <cfRule type="containsText" dxfId="10018" priority="2839" operator="containsText" text="Done">
      <formula>NOT(ISERROR(SEARCH("Done",AA2)))</formula>
    </cfRule>
  </conditionalFormatting>
  <conditionalFormatting sqref="U44:V44">
    <cfRule type="containsText" dxfId="10017" priority="2840" operator="containsText" text="Done">
      <formula>NOT(ISERROR(SEARCH("Done",AA2)))</formula>
    </cfRule>
  </conditionalFormatting>
  <conditionalFormatting sqref="S3:W15 V17:W17 S18:W40 U41:W52 S53:W56">
    <cfRule type="containsText" dxfId="10016" priority="2716" operator="containsText" text="Pending">
      <formula>NOT(ISERROR(SEARCH("Pending",AA2)))</formula>
    </cfRule>
  </conditionalFormatting>
  <conditionalFormatting sqref="S6:W6">
    <cfRule type="containsText" dxfId="10015" priority="2841" operator="containsText" text="Pending">
      <formula>NOT(ISERROR(SEARCH("Pending",AA2)))</formula>
    </cfRule>
  </conditionalFormatting>
  <conditionalFormatting sqref="S3:W3">
    <cfRule type="containsText" dxfId="10014" priority="2842" operator="containsText" text="Pending">
      <formula>NOT(ISERROR(SEARCH("Pending",AA2)))</formula>
    </cfRule>
  </conditionalFormatting>
  <conditionalFormatting sqref="S29">
    <cfRule type="containsText" dxfId="10013" priority="2843" operator="containsText" text="Pending">
      <formula>NOT(ISERROR(SEARCH("Pending",AA2)))</formula>
    </cfRule>
  </conditionalFormatting>
  <conditionalFormatting sqref="S27">
    <cfRule type="containsText" dxfId="10012" priority="2844" operator="containsText" text="Pending">
      <formula>NOT(ISERROR(SEARCH("Pending",AA2)))</formula>
    </cfRule>
  </conditionalFormatting>
  <conditionalFormatting sqref="S54">
    <cfRule type="containsText" dxfId="10011" priority="2845" operator="containsText" text="Pending">
      <formula>NOT(ISERROR(SEARCH("Pending",AA2)))</formula>
    </cfRule>
  </conditionalFormatting>
  <conditionalFormatting sqref="S56">
    <cfRule type="containsText" dxfId="10010" priority="2846" operator="containsText" text="Pending">
      <formula>NOT(ISERROR(SEARCH("Pending",AA2)))</formula>
    </cfRule>
  </conditionalFormatting>
  <conditionalFormatting sqref="V53">
    <cfRule type="containsText" dxfId="10009" priority="2847" operator="containsText" text="Pending">
      <formula>NOT(ISERROR(SEARCH("Pending",AA2)))</formula>
    </cfRule>
  </conditionalFormatting>
  <conditionalFormatting sqref="U56">
    <cfRule type="containsText" dxfId="10008" priority="2848" operator="containsText" text="Pending">
      <formula>NOT(ISERROR(SEARCH("Pending",AA2)))</formula>
    </cfRule>
  </conditionalFormatting>
  <conditionalFormatting sqref="S10:W10">
    <cfRule type="containsText" dxfId="10007" priority="2849" operator="containsText" text="Pending">
      <formula>NOT(ISERROR(SEARCH("Pending",AA2)))</formula>
    </cfRule>
  </conditionalFormatting>
  <conditionalFormatting sqref="S18:W18">
    <cfRule type="containsText" dxfId="10006" priority="2850" operator="containsText" text="Pending">
      <formula>NOT(ISERROR(SEARCH("Pending",AA2)))</formula>
    </cfRule>
  </conditionalFormatting>
  <conditionalFormatting sqref="T20:X20">
    <cfRule type="containsText" dxfId="10005" priority="2851" operator="containsText" text="Pending">
      <formula>NOT(ISERROR(SEARCH("Pending",AA2)))</formula>
    </cfRule>
  </conditionalFormatting>
  <conditionalFormatting sqref="U35:V35">
    <cfRule type="containsText" dxfId="10004" priority="2852" operator="containsText" text="Pending">
      <formula>NOT(ISERROR(SEARCH("Pending",AA2)))</formula>
    </cfRule>
  </conditionalFormatting>
  <conditionalFormatting sqref="V38">
    <cfRule type="containsText" dxfId="10003" priority="2853" operator="containsText" text="Pending">
      <formula>NOT(ISERROR(SEARCH("Pending",AA2)))</formula>
    </cfRule>
  </conditionalFormatting>
  <conditionalFormatting sqref="X38">
    <cfRule type="containsText" dxfId="10002" priority="2854" operator="containsText" text="Pending">
      <formula>NOT(ISERROR(SEARCH("Pending",AA2)))</formula>
    </cfRule>
  </conditionalFormatting>
  <conditionalFormatting sqref="U41">
    <cfRule type="containsText" dxfId="10001" priority="2855" operator="containsText" text="Pending">
      <formula>NOT(ISERROR(SEARCH("Pending",AA2)))</formula>
    </cfRule>
  </conditionalFormatting>
  <conditionalFormatting sqref="V41:V52">
    <cfRule type="containsText" dxfId="10000" priority="2856" operator="containsText" text="Pending">
      <formula>NOT(ISERROR(SEARCH("Pending",AA2)))</formula>
    </cfRule>
  </conditionalFormatting>
  <conditionalFormatting sqref="V41">
    <cfRule type="containsText" dxfId="9999" priority="2857" operator="containsText" text="Pending">
      <formula>NOT(ISERROR(SEARCH("Pending",AA2)))</formula>
    </cfRule>
  </conditionalFormatting>
  <conditionalFormatting sqref="X42">
    <cfRule type="containsText" dxfId="9998" priority="2858" operator="containsText" text="Pending">
      <formula>NOT(ISERROR(SEARCH("Pending",AA2)))</formula>
    </cfRule>
  </conditionalFormatting>
  <conditionalFormatting sqref="X47:X52">
    <cfRule type="containsText" dxfId="9997" priority="2859" operator="containsText" text="Pending">
      <formula>NOT(ISERROR(SEARCH("Pending",AA2)))</formula>
    </cfRule>
  </conditionalFormatting>
  <conditionalFormatting sqref="Y42">
    <cfRule type="containsText" dxfId="9996" priority="2860" operator="containsText" text="Pending">
      <formula>NOT(ISERROR(SEARCH("Pending",AA2)))</formula>
    </cfRule>
  </conditionalFormatting>
  <conditionalFormatting sqref="T25">
    <cfRule type="containsText" dxfId="9995" priority="2861" operator="containsText" text="Pending">
      <formula>NOT(ISERROR(SEARCH("Pending",AA2)))</formula>
    </cfRule>
  </conditionalFormatting>
  <conditionalFormatting sqref="T31">
    <cfRule type="containsText" dxfId="9994" priority="2862" operator="containsText" text="Pending">
      <formula>NOT(ISERROR(SEARCH("Pending",AA2)))</formula>
    </cfRule>
  </conditionalFormatting>
  <conditionalFormatting sqref="U28:V28">
    <cfRule type="containsText" dxfId="9993" priority="2863" operator="containsText" text="Pending">
      <formula>NOT(ISERROR(SEARCH("Pending",AA2)))</formula>
    </cfRule>
  </conditionalFormatting>
  <conditionalFormatting sqref="W24">
    <cfRule type="containsText" dxfId="9992" priority="2864" operator="containsText" text="Pending">
      <formula>NOT(ISERROR(SEARCH("Pending",AA2)))</formula>
    </cfRule>
  </conditionalFormatting>
  <conditionalFormatting sqref="W27">
    <cfRule type="containsText" dxfId="9991" priority="2865" operator="containsText" text="Pending">
      <formula>NOT(ISERROR(SEARCH("Pending",AA2)))</formula>
    </cfRule>
  </conditionalFormatting>
  <conditionalFormatting sqref="W31">
    <cfRule type="containsText" dxfId="9990" priority="2866" operator="containsText" text="Pending">
      <formula>NOT(ISERROR(SEARCH("Pending",AA2)))</formula>
    </cfRule>
  </conditionalFormatting>
  <conditionalFormatting sqref="V25">
    <cfRule type="containsText" dxfId="9989" priority="2867" operator="containsText" text="Pending">
      <formula>NOT(ISERROR(SEARCH("Pending",AA2)))</formula>
    </cfRule>
  </conditionalFormatting>
  <conditionalFormatting sqref="U29">
    <cfRule type="containsText" dxfId="9988" priority="2868" operator="containsText" text="Pending">
      <formula>NOT(ISERROR(SEARCH("Pending",AA2)))</formula>
    </cfRule>
  </conditionalFormatting>
  <conditionalFormatting sqref="V29">
    <cfRule type="containsText" dxfId="9987" priority="2869" operator="containsText" text="Pending">
      <formula>NOT(ISERROR(SEARCH("Pending",AA2)))</formula>
    </cfRule>
  </conditionalFormatting>
  <conditionalFormatting sqref="V21">
    <cfRule type="containsText" dxfId="9986" priority="2870" operator="containsText" text="Pending">
      <formula>NOT(ISERROR(SEARCH("Pending",AA2)))</formula>
    </cfRule>
  </conditionalFormatting>
  <conditionalFormatting sqref="R26">
    <cfRule type="containsText" dxfId="9985" priority="2871" operator="containsText" text="Pending">
      <formula>NOT(ISERROR(SEARCH("Pending",AA2)))</formula>
    </cfRule>
  </conditionalFormatting>
  <conditionalFormatting sqref="X44">
    <cfRule type="containsText" dxfId="9984" priority="2872" operator="containsText" text="Pending">
      <formula>NOT(ISERROR(SEARCH("Pending",AA2)))</formula>
    </cfRule>
  </conditionalFormatting>
  <conditionalFormatting sqref="V44">
    <cfRule type="containsText" dxfId="9983" priority="2873" operator="containsText" text="Pending">
      <formula>NOT(ISERROR(SEARCH("Pending",AA2)))</formula>
    </cfRule>
  </conditionalFormatting>
  <conditionalFormatting sqref="S5:W5">
    <cfRule type="containsText" dxfId="9982" priority="2714" operator="containsText" text="NA">
      <formula>NOT(ISERROR(SEARCH("NA",AA2)))</formula>
    </cfRule>
  </conditionalFormatting>
  <conditionalFormatting sqref="S8:W8">
    <cfRule type="containsText" dxfId="9981" priority="2874" operator="containsText" text="NA">
      <formula>NOT(ISERROR(SEARCH("NA",AA2)))</formula>
    </cfRule>
  </conditionalFormatting>
  <conditionalFormatting sqref="S28">
    <cfRule type="containsText" dxfId="9980" priority="2875" operator="containsText" text="NA">
      <formula>NOT(ISERROR(SEARCH("NA",AA2)))</formula>
    </cfRule>
  </conditionalFormatting>
  <conditionalFormatting sqref="S25">
    <cfRule type="containsText" dxfId="9979" priority="2876" operator="containsText" text="NA">
      <formula>NOT(ISERROR(SEARCH("NA",AA2)))</formula>
    </cfRule>
  </conditionalFormatting>
  <conditionalFormatting sqref="S55">
    <cfRule type="containsText" dxfId="9978" priority="2877" operator="containsText" text="NA">
      <formula>NOT(ISERROR(SEARCH("NA",AA2)))</formula>
    </cfRule>
  </conditionalFormatting>
  <conditionalFormatting sqref="T54">
    <cfRule type="containsText" dxfId="9977" priority="2878" operator="containsText" text="NA">
      <formula>NOT(ISERROR(SEARCH("NA",AA2)))</formula>
    </cfRule>
  </conditionalFormatting>
  <conditionalFormatting sqref="U54">
    <cfRule type="containsText" dxfId="9976" priority="2879" operator="containsText" text="NA">
      <formula>NOT(ISERROR(SEARCH("NA",AA2)))</formula>
    </cfRule>
  </conditionalFormatting>
  <conditionalFormatting sqref="W55">
    <cfRule type="containsText" dxfId="9975" priority="2880" operator="containsText" text="NA">
      <formula>NOT(ISERROR(SEARCH("NA",AA2)))</formula>
    </cfRule>
  </conditionalFormatting>
  <conditionalFormatting sqref="S12:W12">
    <cfRule type="containsText" dxfId="9974" priority="2881" operator="containsText" text="NA">
      <formula>NOT(ISERROR(SEARCH("NA",AA2)))</formula>
    </cfRule>
  </conditionalFormatting>
  <conditionalFormatting sqref="T19:X19">
    <cfRule type="containsText" dxfId="9973" priority="2882" operator="containsText" text="NA">
      <formula>NOT(ISERROR(SEARCH("NA",AA2)))</formula>
    </cfRule>
  </conditionalFormatting>
  <conditionalFormatting sqref="U34:V34">
    <cfRule type="containsText" dxfId="9972" priority="2883" operator="containsText" text="NA">
      <formula>NOT(ISERROR(SEARCH("NA",AA2)))</formula>
    </cfRule>
  </conditionalFormatting>
  <conditionalFormatting sqref="U38">
    <cfRule type="containsText" dxfId="9971" priority="2884" operator="containsText" text="NA">
      <formula>NOT(ISERROR(SEARCH("NA",AA2)))</formula>
    </cfRule>
  </conditionalFormatting>
  <conditionalFormatting sqref="X38:Y38">
    <cfRule type="containsText" dxfId="9970" priority="2885" operator="containsText" text="NA">
      <formula>NOT(ISERROR(SEARCH("NA",AA2)))</formula>
    </cfRule>
  </conditionalFormatting>
  <conditionalFormatting sqref="Y38">
    <cfRule type="containsText" dxfId="9969" priority="2886" operator="containsText" text="NA">
      <formula>NOT(ISERROR(SEARCH("NA",AA2)))</formula>
    </cfRule>
  </conditionalFormatting>
  <conditionalFormatting sqref="U41">
    <cfRule type="containsText" dxfId="9968" priority="2887" operator="containsText" text="NA">
      <formula>NOT(ISERROR(SEARCH("NA",AA2)))</formula>
    </cfRule>
  </conditionalFormatting>
  <conditionalFormatting sqref="V41">
    <cfRule type="containsText" dxfId="9967" priority="2888" operator="containsText" text="NA">
      <formula>NOT(ISERROR(SEARCH("NA",AA2)))</formula>
    </cfRule>
  </conditionalFormatting>
  <conditionalFormatting sqref="W42">
    <cfRule type="containsText" dxfId="9966" priority="2889" operator="containsText" text="NA">
      <formula>NOT(ISERROR(SEARCH("NA",AA2)))</formula>
    </cfRule>
  </conditionalFormatting>
  <conditionalFormatting sqref="X42">
    <cfRule type="containsText" dxfId="9965" priority="2890" operator="containsText" text="NA">
      <formula>NOT(ISERROR(SEARCH("NA",AA2)))</formula>
    </cfRule>
  </conditionalFormatting>
  <conditionalFormatting sqref="Y42">
    <cfRule type="containsText" dxfId="9964" priority="2891" operator="containsText" text="NA">
      <formula>NOT(ISERROR(SEARCH("NA",AA2)))</formula>
    </cfRule>
  </conditionalFormatting>
  <conditionalFormatting sqref="Y47:Y52">
    <cfRule type="containsText" dxfId="9963" priority="2892" operator="containsText" text="NA">
      <formula>NOT(ISERROR(SEARCH("NA",AA2)))</formula>
    </cfRule>
  </conditionalFormatting>
  <conditionalFormatting sqref="T29">
    <cfRule type="containsText" dxfId="9962" priority="2893" operator="containsText" text="NA">
      <formula>NOT(ISERROR(SEARCH("NA",AA2)))</formula>
    </cfRule>
  </conditionalFormatting>
  <conditionalFormatting sqref="U25:V25">
    <cfRule type="containsText" dxfId="9961" priority="2894" operator="containsText" text="NA">
      <formula>NOT(ISERROR(SEARCH("NA",AA2)))</formula>
    </cfRule>
  </conditionalFormatting>
  <conditionalFormatting sqref="U31:V31">
    <cfRule type="containsText" dxfId="9960" priority="2895" operator="containsText" text="NA">
      <formula>NOT(ISERROR(SEARCH("NA",AA2)))</formula>
    </cfRule>
  </conditionalFormatting>
  <conditionalFormatting sqref="W25">
    <cfRule type="containsText" dxfId="9959" priority="2896" operator="containsText" text="NA">
      <formula>NOT(ISERROR(SEARCH("NA",AA2)))</formula>
    </cfRule>
  </conditionalFormatting>
  <conditionalFormatting sqref="W29">
    <cfRule type="containsText" dxfId="9958" priority="2897" operator="containsText" text="NA">
      <formula>NOT(ISERROR(SEARCH("NA",AA2)))</formula>
    </cfRule>
  </conditionalFormatting>
  <conditionalFormatting sqref="V25">
    <cfRule type="containsText" dxfId="9957" priority="2898" operator="containsText" text="NA">
      <formula>NOT(ISERROR(SEARCH("NA",AA2)))</formula>
    </cfRule>
  </conditionalFormatting>
  <conditionalFormatting sqref="U29">
    <cfRule type="containsText" dxfId="9956" priority="2899" operator="containsText" text="NA">
      <formula>NOT(ISERROR(SEARCH("NA",AA2)))</formula>
    </cfRule>
  </conditionalFormatting>
  <conditionalFormatting sqref="V29">
    <cfRule type="containsText" dxfId="9955" priority="2900" operator="containsText" text="NA">
      <formula>NOT(ISERROR(SEARCH("NA",AA2)))</formula>
    </cfRule>
  </conditionalFormatting>
  <conditionalFormatting sqref="U21">
    <cfRule type="containsText" dxfId="9954" priority="2901" operator="containsText" text="NA">
      <formula>NOT(ISERROR(SEARCH("NA",AA2)))</formula>
    </cfRule>
  </conditionalFormatting>
  <conditionalFormatting sqref="R24">
    <cfRule type="containsText" dxfId="9953" priority="2902" operator="containsText" text="NA">
      <formula>NOT(ISERROR(SEARCH("NA",AA2)))</formula>
    </cfRule>
  </conditionalFormatting>
  <conditionalFormatting sqref="X44">
    <cfRule type="containsText" dxfId="9952" priority="2903" operator="containsText" text="NA">
      <formula>NOT(ISERROR(SEARCH("NA",AA2)))</formula>
    </cfRule>
  </conditionalFormatting>
  <conditionalFormatting sqref="U44:V44">
    <cfRule type="containsText" dxfId="9951" priority="2904" operator="containsText" text="NA">
      <formula>NOT(ISERROR(SEARCH("NA",AA2)))</formula>
    </cfRule>
  </conditionalFormatting>
  <conditionalFormatting sqref="X3:X15 X17:X37 X39:X41 X43 X45:X46 X53:X56">
    <cfRule type="containsText" dxfId="9950" priority="2062" operator="containsText" text="Done">
      <formula>NOT(ISERROR(SEARCH("Done",AG2)))</formula>
    </cfRule>
  </conditionalFormatting>
  <conditionalFormatting sqref="X6">
    <cfRule type="containsText" dxfId="9949" priority="2905" operator="containsText" text="Done">
      <formula>NOT(ISERROR(SEARCH("Done",AG2)))</formula>
    </cfRule>
  </conditionalFormatting>
  <conditionalFormatting sqref="X3">
    <cfRule type="containsText" dxfId="9948" priority="2906" operator="containsText" text="Done">
      <formula>NOT(ISERROR(SEARCH("Done",AG2)))</formula>
    </cfRule>
  </conditionalFormatting>
  <conditionalFormatting sqref="X53">
    <cfRule type="containsText" dxfId="9947" priority="2907" operator="containsText" text="Done">
      <formula>NOT(ISERROR(SEARCH("Done",AG2)))</formula>
    </cfRule>
  </conditionalFormatting>
  <conditionalFormatting sqref="Y53">
    <cfRule type="containsText" dxfId="9946" priority="2908" operator="containsText" text="Done">
      <formula>NOT(ISERROR(SEARCH("Done",AG2)))</formula>
    </cfRule>
  </conditionalFormatting>
  <conditionalFormatting sqref="Y54">
    <cfRule type="containsText" dxfId="9945" priority="2909" operator="containsText" text="Done">
      <formula>NOT(ISERROR(SEARCH("Done",AG2)))</formula>
    </cfRule>
  </conditionalFormatting>
  <conditionalFormatting sqref="Y56">
    <cfRule type="containsText" dxfId="9944" priority="2910" operator="containsText" text="Done">
      <formula>NOT(ISERROR(SEARCH("Done",AG2)))</formula>
    </cfRule>
  </conditionalFormatting>
  <conditionalFormatting sqref="Y55">
    <cfRule type="containsText" dxfId="9943" priority="2911" operator="containsText" text="Done">
      <formula>NOT(ISERROR(SEARCH("Done",AG2)))</formula>
    </cfRule>
  </conditionalFormatting>
  <conditionalFormatting sqref="X12">
    <cfRule type="containsText" dxfId="9942" priority="2912" operator="containsText" text="Done">
      <formula>NOT(ISERROR(SEARCH("Done",AG2)))</formula>
    </cfRule>
  </conditionalFormatting>
  <conditionalFormatting sqref="Y19">
    <cfRule type="containsText" dxfId="9941" priority="2913" operator="containsText" text="Done">
      <formula>NOT(ISERROR(SEARCH("Done",AG2)))</formula>
    </cfRule>
  </conditionalFormatting>
  <conditionalFormatting sqref="Y41 Y43:Y46">
    <cfRule type="containsText" dxfId="9940" priority="2914" operator="containsText" text="Done">
      <formula>NOT(ISERROR(SEARCH("Done",AG2)))</formula>
    </cfRule>
  </conditionalFormatting>
  <conditionalFormatting sqref="X29">
    <cfRule type="containsText" dxfId="9939" priority="2915" operator="containsText" text="Done">
      <formula>NOT(ISERROR(SEARCH("Done",AG2)))</formula>
    </cfRule>
  </conditionalFormatting>
  <conditionalFormatting sqref="X3:X15 X17:X37 X39:X41 X43 X45:X46 X53:X56">
    <cfRule type="containsText" dxfId="9938" priority="2059" operator="containsText" text="Pending">
      <formula>NOT(ISERROR(SEARCH("Pending",AG2)))</formula>
    </cfRule>
  </conditionalFormatting>
  <conditionalFormatting sqref="X6">
    <cfRule type="containsText" dxfId="9937" priority="2916" operator="containsText" text="Pending">
      <formula>NOT(ISERROR(SEARCH("Pending",AG2)))</formula>
    </cfRule>
  </conditionalFormatting>
  <conditionalFormatting sqref="X3">
    <cfRule type="containsText" dxfId="9936" priority="2917" operator="containsText" text="Pending">
      <formula>NOT(ISERROR(SEARCH("Pending",AG2)))</formula>
    </cfRule>
  </conditionalFormatting>
  <conditionalFormatting sqref="X53">
    <cfRule type="containsText" dxfId="9935" priority="2918" operator="containsText" text="Pending">
      <formula>NOT(ISERROR(SEARCH("Pending",AG2)))</formula>
    </cfRule>
  </conditionalFormatting>
  <conditionalFormatting sqref="Y53">
    <cfRule type="containsText" dxfId="9934" priority="2919" operator="containsText" text="Pending">
      <formula>NOT(ISERROR(SEARCH("Pending",AG2)))</formula>
    </cfRule>
  </conditionalFormatting>
  <conditionalFormatting sqref="Y54">
    <cfRule type="containsText" dxfId="9933" priority="2920" operator="containsText" text="Pending">
      <formula>NOT(ISERROR(SEARCH("Pending",AG2)))</formula>
    </cfRule>
  </conditionalFormatting>
  <conditionalFormatting sqref="Y56">
    <cfRule type="containsText" dxfId="9932" priority="2921" operator="containsText" text="Pending">
      <formula>NOT(ISERROR(SEARCH("Pending",AG2)))</formula>
    </cfRule>
  </conditionalFormatting>
  <conditionalFormatting sqref="Y55">
    <cfRule type="containsText" dxfId="9931" priority="2922" operator="containsText" text="Pending">
      <formula>NOT(ISERROR(SEARCH("Pending",AG2)))</formula>
    </cfRule>
  </conditionalFormatting>
  <conditionalFormatting sqref="X12">
    <cfRule type="containsText" dxfId="9930" priority="2923" operator="containsText" text="Pending">
      <formula>NOT(ISERROR(SEARCH("Pending",AG2)))</formula>
    </cfRule>
  </conditionalFormatting>
  <conditionalFormatting sqref="Y19">
    <cfRule type="containsText" dxfId="9929" priority="2924" operator="containsText" text="Pending">
      <formula>NOT(ISERROR(SEARCH("Pending",AG2)))</formula>
    </cfRule>
  </conditionalFormatting>
  <conditionalFormatting sqref="Y41 Y43:Y46">
    <cfRule type="containsText" dxfId="9928" priority="2925" operator="containsText" text="Pending">
      <formula>NOT(ISERROR(SEARCH("Pending",AG2)))</formula>
    </cfRule>
  </conditionalFormatting>
  <conditionalFormatting sqref="X29">
    <cfRule type="containsText" dxfId="9927" priority="2926" operator="containsText" text="Pending">
      <formula>NOT(ISERROR(SEARCH("Pending",AG2)))</formula>
    </cfRule>
  </conditionalFormatting>
  <conditionalFormatting sqref="X3:X15 X17:X37 X39:X41 X43 X45:X46 X53:X56">
    <cfRule type="containsText" dxfId="9926" priority="2056" operator="containsText" text="NA">
      <formula>NOT(ISERROR(SEARCH("NA",AG2)))</formula>
    </cfRule>
  </conditionalFormatting>
  <conditionalFormatting sqref="X6">
    <cfRule type="containsText" dxfId="9925" priority="2927" operator="containsText" text="NA">
      <formula>NOT(ISERROR(SEARCH("NA",AG2)))</formula>
    </cfRule>
  </conditionalFormatting>
  <conditionalFormatting sqref="X3">
    <cfRule type="containsText" dxfId="9924" priority="2928" operator="containsText" text="NA">
      <formula>NOT(ISERROR(SEARCH("NA",AG2)))</formula>
    </cfRule>
  </conditionalFormatting>
  <conditionalFormatting sqref="X53">
    <cfRule type="containsText" dxfId="9923" priority="2929" operator="containsText" text="NA">
      <formula>NOT(ISERROR(SEARCH("NA",AG2)))</formula>
    </cfRule>
  </conditionalFormatting>
  <conditionalFormatting sqref="Y53">
    <cfRule type="containsText" dxfId="9922" priority="2930" operator="containsText" text="NA">
      <formula>NOT(ISERROR(SEARCH("NA",AG2)))</formula>
    </cfRule>
  </conditionalFormatting>
  <conditionalFormatting sqref="Y54">
    <cfRule type="containsText" dxfId="9921" priority="2931" operator="containsText" text="NA">
      <formula>NOT(ISERROR(SEARCH("NA",AG2)))</formula>
    </cfRule>
  </conditionalFormatting>
  <conditionalFormatting sqref="Y56">
    <cfRule type="containsText" dxfId="9920" priority="2932" operator="containsText" text="NA">
      <formula>NOT(ISERROR(SEARCH("NA",AG2)))</formula>
    </cfRule>
  </conditionalFormatting>
  <conditionalFormatting sqref="Y55">
    <cfRule type="containsText" dxfId="9919" priority="2933" operator="containsText" text="NA">
      <formula>NOT(ISERROR(SEARCH("NA",AG2)))</formula>
    </cfRule>
  </conditionalFormatting>
  <conditionalFormatting sqref="X12">
    <cfRule type="containsText" dxfId="9918" priority="2934" operator="containsText" text="NA">
      <formula>NOT(ISERROR(SEARCH("NA",AG2)))</formula>
    </cfRule>
  </conditionalFormatting>
  <conditionalFormatting sqref="Y19">
    <cfRule type="containsText" dxfId="9917" priority="2935" operator="containsText" text="NA">
      <formula>NOT(ISERROR(SEARCH("NA",AG2)))</formula>
    </cfRule>
  </conditionalFormatting>
  <conditionalFormatting sqref="Y41 Y43:Y46">
    <cfRule type="containsText" dxfId="9916" priority="2936" operator="containsText" text="NA">
      <formula>NOT(ISERROR(SEARCH("NA",AG2)))</formula>
    </cfRule>
  </conditionalFormatting>
  <conditionalFormatting sqref="X29">
    <cfRule type="containsText" dxfId="9915" priority="2937" operator="containsText" text="NA">
      <formula>NOT(ISERROR(SEARCH("NA",AG2)))</formula>
    </cfRule>
  </conditionalFormatting>
  <conditionalFormatting sqref="Q3:Q15 Q17:Q41 Q43:Q56 M3:M11 M13:M21 M24">
    <cfRule type="containsText" dxfId="9914" priority="27" operator="containsText" text="Done">
      <formula>NOT(ISERROR(SEARCH("Done",W2)))</formula>
    </cfRule>
  </conditionalFormatting>
  <conditionalFormatting sqref="Q6 M6">
    <cfRule type="containsText" dxfId="9913" priority="2938" operator="containsText" text="Done">
      <formula>NOT(ISERROR(SEARCH("Done",W2)))</formula>
    </cfRule>
  </conditionalFormatting>
  <conditionalFormatting sqref="N7">
    <cfRule type="containsText" dxfId="9912" priority="2939" operator="containsText" text="Done">
      <formula>NOT(ISERROR(SEARCH("Done",W2)))</formula>
    </cfRule>
  </conditionalFormatting>
  <conditionalFormatting sqref="N3">
    <cfRule type="containsText" dxfId="9911" priority="2940" operator="containsText" text="Done">
      <formula>NOT(ISERROR(SEARCH("Done",W2)))</formula>
    </cfRule>
  </conditionalFormatting>
  <conditionalFormatting sqref="I3 I3 I4 I5 I6 I7 I8 J3 J3 J4 J5 J6 J7 J8 L3 L3 L4 L5 L6 L7 L8">
    <cfRule type="containsText" dxfId="9910" priority="2941" operator="containsText" text="Done">
      <formula>NOT(ISERROR(SEARCH("Done",W2)))</formula>
    </cfRule>
  </conditionalFormatting>
  <conditionalFormatting sqref="Q17">
    <cfRule type="containsText" dxfId="9909" priority="2942" operator="containsText" text="Done">
      <formula>NOT(ISERROR(SEARCH("Done",W2)))</formula>
    </cfRule>
  </conditionalFormatting>
  <conditionalFormatting sqref="S17">
    <cfRule type="containsText" dxfId="9908" priority="2943" operator="containsText" text="Done">
      <formula>NOT(ISERROR(SEARCH("Done",W2)))</formula>
    </cfRule>
  </conditionalFormatting>
  <conditionalFormatting sqref="U17">
    <cfRule type="containsText" dxfId="9907" priority="2944" operator="containsText" text="Done">
      <formula>NOT(ISERROR(SEARCH("Done",W2)))</formula>
    </cfRule>
  </conditionalFormatting>
  <conditionalFormatting sqref="L24">
    <cfRule type="containsText" dxfId="9906" priority="2945" operator="containsText" text="Done">
      <formula>NOT(ISERROR(SEARCH("Done",W2)))</formula>
    </cfRule>
  </conditionalFormatting>
  <conditionalFormatting sqref="O24">
    <cfRule type="containsText" dxfId="9905" priority="2946" operator="containsText" text="Done">
      <formula>NOT(ISERROR(SEARCH("Done",W2)))</formula>
    </cfRule>
  </conditionalFormatting>
  <conditionalFormatting sqref="M11">
    <cfRule type="containsText" dxfId="9904" priority="2947" operator="containsText" text="Done">
      <formula>NOT(ISERROR(SEARCH("Done",W2)))</formula>
    </cfRule>
  </conditionalFormatting>
  <conditionalFormatting sqref="M13">
    <cfRule type="containsText" dxfId="9903" priority="2948" operator="containsText" text="Done">
      <formula>NOT(ISERROR(SEARCH("Done",W2)))</formula>
    </cfRule>
  </conditionalFormatting>
  <conditionalFormatting sqref="L13">
    <cfRule type="containsText" dxfId="9902" priority="2949" operator="containsText" text="Done">
      <formula>NOT(ISERROR(SEARCH("Done",W2)))</formula>
    </cfRule>
  </conditionalFormatting>
  <conditionalFormatting sqref="M14">
    <cfRule type="containsText" dxfId="9901" priority="2950" operator="containsText" text="Done">
      <formula>NOT(ISERROR(SEARCH("Done",W2)))</formula>
    </cfRule>
  </conditionalFormatting>
  <conditionalFormatting sqref="M17">
    <cfRule type="containsText" dxfId="9900" priority="2951" operator="containsText" text="Done">
      <formula>NOT(ISERROR(SEARCH("Done",W2)))</formula>
    </cfRule>
  </conditionalFormatting>
  <conditionalFormatting sqref="L17">
    <cfRule type="containsText" dxfId="9899" priority="2952" operator="containsText" text="Done">
      <formula>NOT(ISERROR(SEARCH("Done",W2)))</formula>
    </cfRule>
  </conditionalFormatting>
  <conditionalFormatting sqref="Q11">
    <cfRule type="containsText" dxfId="9898" priority="2953" operator="containsText" text="Done">
      <formula>NOT(ISERROR(SEARCH("Done",W2)))</formula>
    </cfRule>
  </conditionalFormatting>
  <conditionalFormatting sqref="Q13">
    <cfRule type="containsText" dxfId="9897" priority="2954" operator="containsText" text="Done">
      <formula>NOT(ISERROR(SEARCH("Done",W2)))</formula>
    </cfRule>
  </conditionalFormatting>
  <conditionalFormatting sqref="Q14">
    <cfRule type="containsText" dxfId="9896" priority="2955" operator="containsText" text="Done">
      <formula>NOT(ISERROR(SEARCH("Done",W2)))</formula>
    </cfRule>
  </conditionalFormatting>
  <conditionalFormatting sqref="I12 J12">
    <cfRule type="containsText" dxfId="9895" priority="2956" operator="containsText" text="Done">
      <formula>NOT(ISERROR(SEARCH("Done",W2)))</formula>
    </cfRule>
  </conditionalFormatting>
  <conditionalFormatting sqref="I18 J18">
    <cfRule type="containsText" dxfId="9894" priority="2957" operator="containsText" text="Done">
      <formula>NOT(ISERROR(SEARCH("Done",W2)))</formula>
    </cfRule>
  </conditionalFormatting>
  <conditionalFormatting sqref="M40">
    <cfRule type="containsText" dxfId="9893" priority="2958" operator="containsText" text="Done">
      <formula>NOT(ISERROR(SEARCH("Done",W2)))</formula>
    </cfRule>
  </conditionalFormatting>
  <conditionalFormatting sqref="O40">
    <cfRule type="containsText" dxfId="9892" priority="2959" operator="containsText" text="Done">
      <formula>NOT(ISERROR(SEARCH("Done",W2)))</formula>
    </cfRule>
  </conditionalFormatting>
  <conditionalFormatting sqref="M22">
    <cfRule type="containsText" dxfId="9891" priority="2960" operator="containsText" text="Done">
      <formula>NOT(ISERROR(SEARCH("Done",W2)))</formula>
    </cfRule>
  </conditionalFormatting>
  <conditionalFormatting sqref="M28">
    <cfRule type="containsText" dxfId="9890" priority="2961" operator="containsText" text="Done">
      <formula>NOT(ISERROR(SEARCH("Done",W2)))</formula>
    </cfRule>
  </conditionalFormatting>
  <conditionalFormatting sqref="L23">
    <cfRule type="containsText" dxfId="9889" priority="2962" operator="containsText" text="Done">
      <formula>NOT(ISERROR(SEARCH("Done",W2)))</formula>
    </cfRule>
  </conditionalFormatting>
  <conditionalFormatting sqref="M27">
    <cfRule type="containsText" dxfId="9888" priority="2963" operator="containsText" text="Done">
      <formula>NOT(ISERROR(SEARCH("Done",W2)))</formula>
    </cfRule>
  </conditionalFormatting>
  <conditionalFormatting sqref="N23">
    <cfRule type="containsText" dxfId="9887" priority="2964" operator="containsText" text="Done">
      <formula>NOT(ISERROR(SEARCH("Done",W2)))</formula>
    </cfRule>
  </conditionalFormatting>
  <conditionalFormatting sqref="N27">
    <cfRule type="containsText" dxfId="9886" priority="2965" operator="containsText" text="Done">
      <formula>NOT(ISERROR(SEARCH("Done",W2)))</formula>
    </cfRule>
  </conditionalFormatting>
  <conditionalFormatting sqref="O22">
    <cfRule type="containsText" dxfId="9885" priority="2966" operator="containsText" text="Done">
      <formula>NOT(ISERROR(SEARCH("Done",W2)))</formula>
    </cfRule>
  </conditionalFormatting>
  <conditionalFormatting sqref="O23">
    <cfRule type="containsText" dxfId="9884" priority="2967" operator="containsText" text="Done">
      <formula>NOT(ISERROR(SEARCH("Done",W2)))</formula>
    </cfRule>
  </conditionalFormatting>
  <conditionalFormatting sqref="L43">
    <cfRule type="containsText" dxfId="9883" priority="2968" operator="containsText" text="Done">
      <formula>NOT(ISERROR(SEARCH("Done",W2)))</formula>
    </cfRule>
  </conditionalFormatting>
  <conditionalFormatting sqref="Q10 M10">
    <cfRule type="containsText" dxfId="9882" priority="2969" operator="containsText" text="Done">
      <formula>NOT(ISERROR(SEARCH("Done",W2)))</formula>
    </cfRule>
  </conditionalFormatting>
  <conditionalFormatting sqref="Q18 M18">
    <cfRule type="containsText" dxfId="9881" priority="2970" operator="containsText" text="Done">
      <formula>NOT(ISERROR(SEARCH("Done",W2)))</formula>
    </cfRule>
  </conditionalFormatting>
  <conditionalFormatting sqref="R20 N20">
    <cfRule type="containsText" dxfId="9880" priority="2971" operator="containsText" text="Done">
      <formula>NOT(ISERROR(SEARCH("Done",W2)))</formula>
    </cfRule>
  </conditionalFormatting>
  <conditionalFormatting sqref="O38">
    <cfRule type="containsText" dxfId="9879" priority="2972" operator="containsText" text="Done">
      <formula>NOT(ISERROR(SEARCH("Done",W2)))</formula>
    </cfRule>
  </conditionalFormatting>
  <conditionalFormatting sqref="L44">
    <cfRule type="containsText" dxfId="9878" priority="2973" operator="containsText" text="Done">
      <formula>NOT(ISERROR(SEARCH("Done",W2)))</formula>
    </cfRule>
  </conditionalFormatting>
  <conditionalFormatting sqref="M47">
    <cfRule type="containsText" dxfId="9877" priority="2974" operator="containsText" text="Done">
      <formula>NOT(ISERROR(SEARCH("Done",W2)))</formula>
    </cfRule>
  </conditionalFormatting>
  <conditionalFormatting sqref="Q47">
    <cfRule type="containsText" dxfId="9876" priority="2975" operator="containsText" text="Done">
      <formula>NOT(ISERROR(SEARCH("Done",W2)))</formula>
    </cfRule>
  </conditionalFormatting>
  <conditionalFormatting sqref="Q49">
    <cfRule type="containsText" dxfId="9875" priority="2976" operator="containsText" text="Done">
      <formula>NOT(ISERROR(SEARCH("Done",W2)))</formula>
    </cfRule>
  </conditionalFormatting>
  <conditionalFormatting sqref="Q24">
    <cfRule type="containsText" dxfId="9874" priority="2977" operator="containsText" text="Done">
      <formula>NOT(ISERROR(SEARCH("Done",W2)))</formula>
    </cfRule>
  </conditionalFormatting>
  <conditionalFormatting sqref="Q27">
    <cfRule type="containsText" dxfId="9873" priority="2978" operator="containsText" text="Done">
      <formula>NOT(ISERROR(SEARCH("Done",W2)))</formula>
    </cfRule>
  </conditionalFormatting>
  <conditionalFormatting sqref="Q31">
    <cfRule type="containsText" dxfId="9872" priority="2979" operator="containsText" text="Done">
      <formula>NOT(ISERROR(SEARCH("Done",W2)))</formula>
    </cfRule>
  </conditionalFormatting>
  <conditionalFormatting sqref="P52">
    <cfRule type="containsText" dxfId="9871" priority="2980" operator="containsText" text="Done">
      <formula>NOT(ISERROR(SEARCH("Done",W2)))</formula>
    </cfRule>
  </conditionalFormatting>
  <conditionalFormatting sqref="L37 M37 N37 O37">
    <cfRule type="containsText" dxfId="9870" priority="2981" operator="containsText" text="Done">
      <formula>NOT(ISERROR(SEARCH("Done",W2)))</formula>
    </cfRule>
  </conditionalFormatting>
  <conditionalFormatting sqref="O43">
    <cfRule type="containsText" dxfId="9869" priority="2982" operator="containsText" text="Done">
      <formula>NOT(ISERROR(SEARCH("Done",W2)))</formula>
    </cfRule>
  </conditionalFormatting>
  <conditionalFormatting sqref="O44">
    <cfRule type="containsText" dxfId="9868" priority="2983" operator="containsText" text="Done">
      <formula>NOT(ISERROR(SEARCH("Done",W2)))</formula>
    </cfRule>
  </conditionalFormatting>
  <conditionalFormatting sqref="N42">
    <cfRule type="containsText" dxfId="9867" priority="2984" operator="containsText" text="Done">
      <formula>NOT(ISERROR(SEARCH("Done",W2)))</formula>
    </cfRule>
  </conditionalFormatting>
  <conditionalFormatting sqref="P42">
    <cfRule type="containsText" dxfId="9866" priority="2985" operator="containsText" text="Done">
      <formula>NOT(ISERROR(SEARCH("Done",W2)))</formula>
    </cfRule>
  </conditionalFormatting>
  <conditionalFormatting sqref="O47">
    <cfRule type="containsText" dxfId="9865" priority="2986" operator="containsText" text="Done">
      <formula>NOT(ISERROR(SEARCH("Done",W2)))</formula>
    </cfRule>
  </conditionalFormatting>
  <conditionalFormatting sqref="S42">
    <cfRule type="containsText" dxfId="9864" priority="2987" operator="containsText" text="Done">
      <formula>NOT(ISERROR(SEARCH("Done",W2)))</formula>
    </cfRule>
  </conditionalFormatting>
  <conditionalFormatting sqref="T42">
    <cfRule type="containsText" dxfId="9863" priority="2988" operator="containsText" text="Done">
      <formula>NOT(ISERROR(SEARCH("Done",W2)))</formula>
    </cfRule>
  </conditionalFormatting>
  <conditionalFormatting sqref="Q3:Q15 Q17:Q41 Q43:Q56 M3:M11 M13:M21 M24">
    <cfRule type="containsText" dxfId="9862" priority="26" operator="containsText" text="Pending">
      <formula>NOT(ISERROR(SEARCH("Pending",W2)))</formula>
    </cfRule>
  </conditionalFormatting>
  <conditionalFormatting sqref="Q6 M6">
    <cfRule type="containsText" dxfId="9861" priority="2989" operator="containsText" text="Pending">
      <formula>NOT(ISERROR(SEARCH("Pending",W2)))</formula>
    </cfRule>
  </conditionalFormatting>
  <conditionalFormatting sqref="N7">
    <cfRule type="containsText" dxfId="9860" priority="2990" operator="containsText" text="Pending">
      <formula>NOT(ISERROR(SEARCH("Pending",W2)))</formula>
    </cfRule>
  </conditionalFormatting>
  <conditionalFormatting sqref="N3">
    <cfRule type="containsText" dxfId="9859" priority="2991" operator="containsText" text="Pending">
      <formula>NOT(ISERROR(SEARCH("Pending",W2)))</formula>
    </cfRule>
  </conditionalFormatting>
  <conditionalFormatting sqref="I3 I3 I4 I5 I6 I7 I8 J3 J3 J4 J5 J6 J7 J8 L3 L3 L4 L5 L6 L7 L8">
    <cfRule type="containsText" dxfId="9858" priority="2992" operator="containsText" text="Pending">
      <formula>NOT(ISERROR(SEARCH("Pending",W2)))</formula>
    </cfRule>
  </conditionalFormatting>
  <conditionalFormatting sqref="Q17">
    <cfRule type="containsText" dxfId="9857" priority="2993" operator="containsText" text="Pending">
      <formula>NOT(ISERROR(SEARCH("Pending",W2)))</formula>
    </cfRule>
  </conditionalFormatting>
  <conditionalFormatting sqref="S17">
    <cfRule type="containsText" dxfId="9856" priority="2994" operator="containsText" text="Pending">
      <formula>NOT(ISERROR(SEARCH("Pending",W2)))</formula>
    </cfRule>
  </conditionalFormatting>
  <conditionalFormatting sqref="U17">
    <cfRule type="containsText" dxfId="9855" priority="2995" operator="containsText" text="Pending">
      <formula>NOT(ISERROR(SEARCH("Pending",W2)))</formula>
    </cfRule>
  </conditionalFormatting>
  <conditionalFormatting sqref="L24">
    <cfRule type="containsText" dxfId="9854" priority="2996" operator="containsText" text="Pending">
      <formula>NOT(ISERROR(SEARCH("Pending",W2)))</formula>
    </cfRule>
  </conditionalFormatting>
  <conditionalFormatting sqref="O24">
    <cfRule type="containsText" dxfId="9853" priority="2997" operator="containsText" text="Pending">
      <formula>NOT(ISERROR(SEARCH("Pending",W2)))</formula>
    </cfRule>
  </conditionalFormatting>
  <conditionalFormatting sqref="M11">
    <cfRule type="containsText" dxfId="9852" priority="2998" operator="containsText" text="Pending">
      <formula>NOT(ISERROR(SEARCH("Pending",W2)))</formula>
    </cfRule>
  </conditionalFormatting>
  <conditionalFormatting sqref="M13">
    <cfRule type="containsText" dxfId="9851" priority="2999" operator="containsText" text="Pending">
      <formula>NOT(ISERROR(SEARCH("Pending",W2)))</formula>
    </cfRule>
  </conditionalFormatting>
  <conditionalFormatting sqref="L13">
    <cfRule type="containsText" dxfId="9850" priority="3000" operator="containsText" text="Pending">
      <formula>NOT(ISERROR(SEARCH("Pending",W2)))</formula>
    </cfRule>
  </conditionalFormatting>
  <conditionalFormatting sqref="M14">
    <cfRule type="containsText" dxfId="9849" priority="3001" operator="containsText" text="Pending">
      <formula>NOT(ISERROR(SEARCH("Pending",W2)))</formula>
    </cfRule>
  </conditionalFormatting>
  <conditionalFormatting sqref="M17">
    <cfRule type="containsText" dxfId="9848" priority="3002" operator="containsText" text="Pending">
      <formula>NOT(ISERROR(SEARCH("Pending",W2)))</formula>
    </cfRule>
  </conditionalFormatting>
  <conditionalFormatting sqref="L17">
    <cfRule type="containsText" dxfId="9847" priority="3003" operator="containsText" text="Pending">
      <formula>NOT(ISERROR(SEARCH("Pending",W2)))</formula>
    </cfRule>
  </conditionalFormatting>
  <conditionalFormatting sqref="Q11">
    <cfRule type="containsText" dxfId="9846" priority="3004" operator="containsText" text="Pending">
      <formula>NOT(ISERROR(SEARCH("Pending",W2)))</formula>
    </cfRule>
  </conditionalFormatting>
  <conditionalFormatting sqref="Q13">
    <cfRule type="containsText" dxfId="9845" priority="3005" operator="containsText" text="Pending">
      <formula>NOT(ISERROR(SEARCH("Pending",W2)))</formula>
    </cfRule>
  </conditionalFormatting>
  <conditionalFormatting sqref="Q14">
    <cfRule type="containsText" dxfId="9844" priority="3006" operator="containsText" text="Pending">
      <formula>NOT(ISERROR(SEARCH("Pending",W2)))</formula>
    </cfRule>
  </conditionalFormatting>
  <conditionalFormatting sqref="I12 J12">
    <cfRule type="containsText" dxfId="9843" priority="3007" operator="containsText" text="Pending">
      <formula>NOT(ISERROR(SEARCH("Pending",W2)))</formula>
    </cfRule>
  </conditionalFormatting>
  <conditionalFormatting sqref="I18 J18">
    <cfRule type="containsText" dxfId="9842" priority="3008" operator="containsText" text="Pending">
      <formula>NOT(ISERROR(SEARCH("Pending",W2)))</formula>
    </cfRule>
  </conditionalFormatting>
  <conditionalFormatting sqref="M40">
    <cfRule type="containsText" dxfId="9841" priority="3009" operator="containsText" text="Pending">
      <formula>NOT(ISERROR(SEARCH("Pending",W2)))</formula>
    </cfRule>
  </conditionalFormatting>
  <conditionalFormatting sqref="O40">
    <cfRule type="containsText" dxfId="9840" priority="3010" operator="containsText" text="Pending">
      <formula>NOT(ISERROR(SEARCH("Pending",W2)))</formula>
    </cfRule>
  </conditionalFormatting>
  <conditionalFormatting sqref="M22">
    <cfRule type="containsText" dxfId="9839" priority="3011" operator="containsText" text="Pending">
      <formula>NOT(ISERROR(SEARCH("Pending",W2)))</formula>
    </cfRule>
  </conditionalFormatting>
  <conditionalFormatting sqref="M28">
    <cfRule type="containsText" dxfId="9838" priority="3012" operator="containsText" text="Pending">
      <formula>NOT(ISERROR(SEARCH("Pending",W2)))</formula>
    </cfRule>
  </conditionalFormatting>
  <conditionalFormatting sqref="L23">
    <cfRule type="containsText" dxfId="9837" priority="3013" operator="containsText" text="Pending">
      <formula>NOT(ISERROR(SEARCH("Pending",W2)))</formula>
    </cfRule>
  </conditionalFormatting>
  <conditionalFormatting sqref="M27">
    <cfRule type="containsText" dxfId="9836" priority="3014" operator="containsText" text="Pending">
      <formula>NOT(ISERROR(SEARCH("Pending",W2)))</formula>
    </cfRule>
  </conditionalFormatting>
  <conditionalFormatting sqref="N23">
    <cfRule type="containsText" dxfId="9835" priority="3015" operator="containsText" text="Pending">
      <formula>NOT(ISERROR(SEARCH("Pending",W2)))</formula>
    </cfRule>
  </conditionalFormatting>
  <conditionalFormatting sqref="N27">
    <cfRule type="containsText" dxfId="9834" priority="3016" operator="containsText" text="Pending">
      <formula>NOT(ISERROR(SEARCH("Pending",W2)))</formula>
    </cfRule>
  </conditionalFormatting>
  <conditionalFormatting sqref="O22">
    <cfRule type="containsText" dxfId="9833" priority="3017" operator="containsText" text="Pending">
      <formula>NOT(ISERROR(SEARCH("Pending",W2)))</formula>
    </cfRule>
  </conditionalFormatting>
  <conditionalFormatting sqref="O23">
    <cfRule type="containsText" dxfId="9832" priority="3018" operator="containsText" text="Pending">
      <formula>NOT(ISERROR(SEARCH("Pending",W2)))</formula>
    </cfRule>
  </conditionalFormatting>
  <conditionalFormatting sqref="L43">
    <cfRule type="containsText" dxfId="9831" priority="3019" operator="containsText" text="Pending">
      <formula>NOT(ISERROR(SEARCH("Pending",W2)))</formula>
    </cfRule>
  </conditionalFormatting>
  <conditionalFormatting sqref="Q10 M10">
    <cfRule type="containsText" dxfId="9830" priority="3020" operator="containsText" text="Pending">
      <formula>NOT(ISERROR(SEARCH("Pending",W2)))</formula>
    </cfRule>
  </conditionalFormatting>
  <conditionalFormatting sqref="Q18 M18">
    <cfRule type="containsText" dxfId="9829" priority="3021" operator="containsText" text="Pending">
      <formula>NOT(ISERROR(SEARCH("Pending",W2)))</formula>
    </cfRule>
  </conditionalFormatting>
  <conditionalFormatting sqref="R20 N20">
    <cfRule type="containsText" dxfId="9828" priority="3022" operator="containsText" text="Pending">
      <formula>NOT(ISERROR(SEARCH("Pending",W2)))</formula>
    </cfRule>
  </conditionalFormatting>
  <conditionalFormatting sqref="O38">
    <cfRule type="containsText" dxfId="9827" priority="3023" operator="containsText" text="Pending">
      <formula>NOT(ISERROR(SEARCH("Pending",W2)))</formula>
    </cfRule>
  </conditionalFormatting>
  <conditionalFormatting sqref="L44">
    <cfRule type="containsText" dxfId="9826" priority="3024" operator="containsText" text="Pending">
      <formula>NOT(ISERROR(SEARCH("Pending",W2)))</formula>
    </cfRule>
  </conditionalFormatting>
  <conditionalFormatting sqref="M47">
    <cfRule type="containsText" dxfId="9825" priority="3025" operator="containsText" text="Pending">
      <formula>NOT(ISERROR(SEARCH("Pending",W2)))</formula>
    </cfRule>
  </conditionalFormatting>
  <conditionalFormatting sqref="Q47">
    <cfRule type="containsText" dxfId="9824" priority="3026" operator="containsText" text="Pending">
      <formula>NOT(ISERROR(SEARCH("Pending",W2)))</formula>
    </cfRule>
  </conditionalFormatting>
  <conditionalFormatting sqref="Q49">
    <cfRule type="containsText" dxfId="9823" priority="3027" operator="containsText" text="Pending">
      <formula>NOT(ISERROR(SEARCH("Pending",W2)))</formula>
    </cfRule>
  </conditionalFormatting>
  <conditionalFormatting sqref="Q24">
    <cfRule type="containsText" dxfId="9822" priority="3028" operator="containsText" text="Pending">
      <formula>NOT(ISERROR(SEARCH("Pending",W2)))</formula>
    </cfRule>
  </conditionalFormatting>
  <conditionalFormatting sqref="Q27">
    <cfRule type="containsText" dxfId="9821" priority="3029" operator="containsText" text="Pending">
      <formula>NOT(ISERROR(SEARCH("Pending",W2)))</formula>
    </cfRule>
  </conditionalFormatting>
  <conditionalFormatting sqref="Q31">
    <cfRule type="containsText" dxfId="9820" priority="3030" operator="containsText" text="Pending">
      <formula>NOT(ISERROR(SEARCH("Pending",W2)))</formula>
    </cfRule>
  </conditionalFormatting>
  <conditionalFormatting sqref="P52">
    <cfRule type="containsText" dxfId="9819" priority="3031" operator="containsText" text="Pending">
      <formula>NOT(ISERROR(SEARCH("Pending",W2)))</formula>
    </cfRule>
  </conditionalFormatting>
  <conditionalFormatting sqref="L37 M37 N37 O37">
    <cfRule type="containsText" dxfId="9818" priority="3032" operator="containsText" text="Pending">
      <formula>NOT(ISERROR(SEARCH("Pending",W2)))</formula>
    </cfRule>
  </conditionalFormatting>
  <conditionalFormatting sqref="O43">
    <cfRule type="containsText" dxfId="9817" priority="3033" operator="containsText" text="Pending">
      <formula>NOT(ISERROR(SEARCH("Pending",W2)))</formula>
    </cfRule>
  </conditionalFormatting>
  <conditionalFormatting sqref="O44">
    <cfRule type="containsText" dxfId="9816" priority="3034" operator="containsText" text="Pending">
      <formula>NOT(ISERROR(SEARCH("Pending",W2)))</formula>
    </cfRule>
  </conditionalFormatting>
  <conditionalFormatting sqref="N42">
    <cfRule type="containsText" dxfId="9815" priority="3035" operator="containsText" text="Pending">
      <formula>NOT(ISERROR(SEARCH("Pending",W2)))</formula>
    </cfRule>
  </conditionalFormatting>
  <conditionalFormatting sqref="P42">
    <cfRule type="containsText" dxfId="9814" priority="3036" operator="containsText" text="Pending">
      <formula>NOT(ISERROR(SEARCH("Pending",W2)))</formula>
    </cfRule>
  </conditionalFormatting>
  <conditionalFormatting sqref="O47">
    <cfRule type="containsText" dxfId="9813" priority="3037" operator="containsText" text="Pending">
      <formula>NOT(ISERROR(SEARCH("Pending",W2)))</formula>
    </cfRule>
  </conditionalFormatting>
  <conditionalFormatting sqref="S42">
    <cfRule type="containsText" dxfId="9812" priority="3038" operator="containsText" text="Pending">
      <formula>NOT(ISERROR(SEARCH("Pending",W2)))</formula>
    </cfRule>
  </conditionalFormatting>
  <conditionalFormatting sqref="T42">
    <cfRule type="containsText" dxfId="9811" priority="3039" operator="containsText" text="Pending">
      <formula>NOT(ISERROR(SEARCH("Pending",W2)))</formula>
    </cfRule>
  </conditionalFormatting>
  <conditionalFormatting sqref="Q3:Q15 Q17:Q41 Q43:Q56 M3:M11 M13:M21 M24">
    <cfRule type="containsText" dxfId="9810" priority="25" operator="containsText" text="NA">
      <formula>NOT(ISERROR(SEARCH("NA",W2)))</formula>
    </cfRule>
  </conditionalFormatting>
  <conditionalFormatting sqref="Q6 M6">
    <cfRule type="containsText" dxfId="9809" priority="3040" operator="containsText" text="NA">
      <formula>NOT(ISERROR(SEARCH("NA",W2)))</formula>
    </cfRule>
  </conditionalFormatting>
  <conditionalFormatting sqref="N7">
    <cfRule type="containsText" dxfId="9808" priority="3041" operator="containsText" text="NA">
      <formula>NOT(ISERROR(SEARCH("NA",W2)))</formula>
    </cfRule>
  </conditionalFormatting>
  <conditionalFormatting sqref="N3">
    <cfRule type="containsText" dxfId="9807" priority="3042" operator="containsText" text="NA">
      <formula>NOT(ISERROR(SEARCH("NA",W2)))</formula>
    </cfRule>
  </conditionalFormatting>
  <conditionalFormatting sqref="I3 I3 I4 I5 I6 I7 I8 J3 J3 J4 J5 J6 J7 J8 L3 L3 L4 L5 L6 L7 L8">
    <cfRule type="containsText" dxfId="9806" priority="3043" operator="containsText" text="NA">
      <formula>NOT(ISERROR(SEARCH("NA",W2)))</formula>
    </cfRule>
  </conditionalFormatting>
  <conditionalFormatting sqref="Q17">
    <cfRule type="containsText" dxfId="9805" priority="3044" operator="containsText" text="NA">
      <formula>NOT(ISERROR(SEARCH("NA",W2)))</formula>
    </cfRule>
  </conditionalFormatting>
  <conditionalFormatting sqref="S17">
    <cfRule type="containsText" dxfId="9804" priority="3045" operator="containsText" text="NA">
      <formula>NOT(ISERROR(SEARCH("NA",W2)))</formula>
    </cfRule>
  </conditionalFormatting>
  <conditionalFormatting sqref="U17">
    <cfRule type="containsText" dxfId="9803" priority="3046" operator="containsText" text="NA">
      <formula>NOT(ISERROR(SEARCH("NA",W2)))</formula>
    </cfRule>
  </conditionalFormatting>
  <conditionalFormatting sqref="L24">
    <cfRule type="containsText" dxfId="9802" priority="3047" operator="containsText" text="NA">
      <formula>NOT(ISERROR(SEARCH("NA",W2)))</formula>
    </cfRule>
  </conditionalFormatting>
  <conditionalFormatting sqref="O24">
    <cfRule type="containsText" dxfId="9801" priority="3048" operator="containsText" text="NA">
      <formula>NOT(ISERROR(SEARCH("NA",W2)))</formula>
    </cfRule>
  </conditionalFormatting>
  <conditionalFormatting sqref="M11">
    <cfRule type="containsText" dxfId="9800" priority="3049" operator="containsText" text="NA">
      <formula>NOT(ISERROR(SEARCH("NA",W2)))</formula>
    </cfRule>
  </conditionalFormatting>
  <conditionalFormatting sqref="M13">
    <cfRule type="containsText" dxfId="9799" priority="3050" operator="containsText" text="NA">
      <formula>NOT(ISERROR(SEARCH("NA",W2)))</formula>
    </cfRule>
  </conditionalFormatting>
  <conditionalFormatting sqref="L13">
    <cfRule type="containsText" dxfId="9798" priority="3051" operator="containsText" text="NA">
      <formula>NOT(ISERROR(SEARCH("NA",W2)))</formula>
    </cfRule>
  </conditionalFormatting>
  <conditionalFormatting sqref="M14">
    <cfRule type="containsText" dxfId="9797" priority="3052" operator="containsText" text="NA">
      <formula>NOT(ISERROR(SEARCH("NA",W2)))</formula>
    </cfRule>
  </conditionalFormatting>
  <conditionalFormatting sqref="M17">
    <cfRule type="containsText" dxfId="9796" priority="3053" operator="containsText" text="NA">
      <formula>NOT(ISERROR(SEARCH("NA",W2)))</formula>
    </cfRule>
  </conditionalFormatting>
  <conditionalFormatting sqref="L17">
    <cfRule type="containsText" dxfId="9795" priority="3054" operator="containsText" text="NA">
      <formula>NOT(ISERROR(SEARCH("NA",W2)))</formula>
    </cfRule>
  </conditionalFormatting>
  <conditionalFormatting sqref="Q11">
    <cfRule type="containsText" dxfId="9794" priority="3055" operator="containsText" text="NA">
      <formula>NOT(ISERROR(SEARCH("NA",W2)))</formula>
    </cfRule>
  </conditionalFormatting>
  <conditionalFormatting sqref="Q13">
    <cfRule type="containsText" dxfId="9793" priority="3056" operator="containsText" text="NA">
      <formula>NOT(ISERROR(SEARCH("NA",W2)))</formula>
    </cfRule>
  </conditionalFormatting>
  <conditionalFormatting sqref="Q14">
    <cfRule type="containsText" dxfId="9792" priority="3057" operator="containsText" text="NA">
      <formula>NOT(ISERROR(SEARCH("NA",W2)))</formula>
    </cfRule>
  </conditionalFormatting>
  <conditionalFormatting sqref="I12 J12">
    <cfRule type="containsText" dxfId="9791" priority="3058" operator="containsText" text="NA">
      <formula>NOT(ISERROR(SEARCH("NA",W2)))</formula>
    </cfRule>
  </conditionalFormatting>
  <conditionalFormatting sqref="I18 J18">
    <cfRule type="containsText" dxfId="9790" priority="3059" operator="containsText" text="NA">
      <formula>NOT(ISERROR(SEARCH("NA",W2)))</formula>
    </cfRule>
  </conditionalFormatting>
  <conditionalFormatting sqref="M40">
    <cfRule type="containsText" dxfId="9789" priority="3060" operator="containsText" text="NA">
      <formula>NOT(ISERROR(SEARCH("NA",W2)))</formula>
    </cfRule>
  </conditionalFormatting>
  <conditionalFormatting sqref="O40">
    <cfRule type="containsText" dxfId="9788" priority="3061" operator="containsText" text="NA">
      <formula>NOT(ISERROR(SEARCH("NA",W2)))</formula>
    </cfRule>
  </conditionalFormatting>
  <conditionalFormatting sqref="M22">
    <cfRule type="containsText" dxfId="9787" priority="3062" operator="containsText" text="NA">
      <formula>NOT(ISERROR(SEARCH("NA",W2)))</formula>
    </cfRule>
  </conditionalFormatting>
  <conditionalFormatting sqref="M28">
    <cfRule type="containsText" dxfId="9786" priority="3063" operator="containsText" text="NA">
      <formula>NOT(ISERROR(SEARCH("NA",W2)))</formula>
    </cfRule>
  </conditionalFormatting>
  <conditionalFormatting sqref="L23">
    <cfRule type="containsText" dxfId="9785" priority="3064" operator="containsText" text="NA">
      <formula>NOT(ISERROR(SEARCH("NA",W2)))</formula>
    </cfRule>
  </conditionalFormatting>
  <conditionalFormatting sqref="M27">
    <cfRule type="containsText" dxfId="9784" priority="3065" operator="containsText" text="NA">
      <formula>NOT(ISERROR(SEARCH("NA",W2)))</formula>
    </cfRule>
  </conditionalFormatting>
  <conditionalFormatting sqref="N23">
    <cfRule type="containsText" dxfId="9783" priority="3066" operator="containsText" text="NA">
      <formula>NOT(ISERROR(SEARCH("NA",W2)))</formula>
    </cfRule>
  </conditionalFormatting>
  <conditionalFormatting sqref="N27">
    <cfRule type="containsText" dxfId="9782" priority="3067" operator="containsText" text="NA">
      <formula>NOT(ISERROR(SEARCH("NA",W2)))</formula>
    </cfRule>
  </conditionalFormatting>
  <conditionalFormatting sqref="O22">
    <cfRule type="containsText" dxfId="9781" priority="3068" operator="containsText" text="NA">
      <formula>NOT(ISERROR(SEARCH("NA",W2)))</formula>
    </cfRule>
  </conditionalFormatting>
  <conditionalFormatting sqref="O23">
    <cfRule type="containsText" dxfId="9780" priority="3069" operator="containsText" text="NA">
      <formula>NOT(ISERROR(SEARCH("NA",W2)))</formula>
    </cfRule>
  </conditionalFormatting>
  <conditionalFormatting sqref="L43">
    <cfRule type="containsText" dxfId="9779" priority="3070" operator="containsText" text="NA">
      <formula>NOT(ISERROR(SEARCH("NA",W2)))</formula>
    </cfRule>
  </conditionalFormatting>
  <conditionalFormatting sqref="Q10 M10">
    <cfRule type="containsText" dxfId="9778" priority="3071" operator="containsText" text="NA">
      <formula>NOT(ISERROR(SEARCH("NA",W2)))</formula>
    </cfRule>
  </conditionalFormatting>
  <conditionalFormatting sqref="Q18 M18">
    <cfRule type="containsText" dxfId="9777" priority="3072" operator="containsText" text="NA">
      <formula>NOT(ISERROR(SEARCH("NA",W2)))</formula>
    </cfRule>
  </conditionalFormatting>
  <conditionalFormatting sqref="R20 N20">
    <cfRule type="containsText" dxfId="9776" priority="3073" operator="containsText" text="NA">
      <formula>NOT(ISERROR(SEARCH("NA",W2)))</formula>
    </cfRule>
  </conditionalFormatting>
  <conditionalFormatting sqref="O38">
    <cfRule type="containsText" dxfId="9775" priority="3074" operator="containsText" text="NA">
      <formula>NOT(ISERROR(SEARCH("NA",W2)))</formula>
    </cfRule>
  </conditionalFormatting>
  <conditionalFormatting sqref="L44">
    <cfRule type="containsText" dxfId="9774" priority="3075" operator="containsText" text="NA">
      <formula>NOT(ISERROR(SEARCH("NA",W2)))</formula>
    </cfRule>
  </conditionalFormatting>
  <conditionalFormatting sqref="M47">
    <cfRule type="containsText" dxfId="9773" priority="3076" operator="containsText" text="NA">
      <formula>NOT(ISERROR(SEARCH("NA",W2)))</formula>
    </cfRule>
  </conditionalFormatting>
  <conditionalFormatting sqref="Q47">
    <cfRule type="containsText" dxfId="9772" priority="3077" operator="containsText" text="NA">
      <formula>NOT(ISERROR(SEARCH("NA",W2)))</formula>
    </cfRule>
  </conditionalFormatting>
  <conditionalFormatting sqref="Q49">
    <cfRule type="containsText" dxfId="9771" priority="3078" operator="containsText" text="NA">
      <formula>NOT(ISERROR(SEARCH("NA",W2)))</formula>
    </cfRule>
  </conditionalFormatting>
  <conditionalFormatting sqref="Q24">
    <cfRule type="containsText" dxfId="9770" priority="3079" operator="containsText" text="NA">
      <formula>NOT(ISERROR(SEARCH("NA",W2)))</formula>
    </cfRule>
  </conditionalFormatting>
  <conditionalFormatting sqref="Q27">
    <cfRule type="containsText" dxfId="9769" priority="3080" operator="containsText" text="NA">
      <formula>NOT(ISERROR(SEARCH("NA",W2)))</formula>
    </cfRule>
  </conditionalFormatting>
  <conditionalFormatting sqref="Q31">
    <cfRule type="containsText" dxfId="9768" priority="3081" operator="containsText" text="NA">
      <formula>NOT(ISERROR(SEARCH("NA",W2)))</formula>
    </cfRule>
  </conditionalFormatting>
  <conditionalFormatting sqref="P52">
    <cfRule type="containsText" dxfId="9767" priority="3082" operator="containsText" text="NA">
      <formula>NOT(ISERROR(SEARCH("NA",W2)))</formula>
    </cfRule>
  </conditionalFormatting>
  <conditionalFormatting sqref="L37 M37 N37 O37">
    <cfRule type="containsText" dxfId="9766" priority="3083" operator="containsText" text="NA">
      <formula>NOT(ISERROR(SEARCH("NA",W2)))</formula>
    </cfRule>
  </conditionalFormatting>
  <conditionalFormatting sqref="O43">
    <cfRule type="containsText" dxfId="9765" priority="3084" operator="containsText" text="NA">
      <formula>NOT(ISERROR(SEARCH("NA",W2)))</formula>
    </cfRule>
  </conditionalFormatting>
  <conditionalFormatting sqref="O44">
    <cfRule type="containsText" dxfId="9764" priority="3085" operator="containsText" text="NA">
      <formula>NOT(ISERROR(SEARCH("NA",W2)))</formula>
    </cfRule>
  </conditionalFormatting>
  <conditionalFormatting sqref="N42">
    <cfRule type="containsText" dxfId="9763" priority="3086" operator="containsText" text="NA">
      <formula>NOT(ISERROR(SEARCH("NA",W2)))</formula>
    </cfRule>
  </conditionalFormatting>
  <conditionalFormatting sqref="P42">
    <cfRule type="containsText" dxfId="9762" priority="3087" operator="containsText" text="NA">
      <formula>NOT(ISERROR(SEARCH("NA",W2)))</formula>
    </cfRule>
  </conditionalFormatting>
  <conditionalFormatting sqref="O47">
    <cfRule type="containsText" dxfId="9761" priority="3088" operator="containsText" text="NA">
      <formula>NOT(ISERROR(SEARCH("NA",W2)))</formula>
    </cfRule>
  </conditionalFormatting>
  <conditionalFormatting sqref="S42">
    <cfRule type="containsText" dxfId="9760" priority="3089" operator="containsText" text="NA">
      <formula>NOT(ISERROR(SEARCH("NA",W2)))</formula>
    </cfRule>
  </conditionalFormatting>
  <conditionalFormatting sqref="T42">
    <cfRule type="containsText" dxfId="9759" priority="3090" operator="containsText" text="NA">
      <formula>NOT(ISERROR(SEARCH("NA",W2)))</formula>
    </cfRule>
  </conditionalFormatting>
  <conditionalFormatting sqref="AA3">
    <cfRule type="containsText" dxfId="9758" priority="18" operator="containsText" text="Done">
      <formula>NOT(ISERROR(SEARCH("Done",Z2)))</formula>
    </cfRule>
  </conditionalFormatting>
  <conditionalFormatting sqref="Z3">
    <cfRule type="containsText" dxfId="9757" priority="16" operator="containsText" text="NA">
      <formula>NOT(ISERROR(SEARCH("NA",Z2)))</formula>
    </cfRule>
  </conditionalFormatting>
  <conditionalFormatting sqref="R5">
    <cfRule type="containsText" dxfId="9756" priority="12" operator="containsText" text="Done">
      <formula>NOT(ISERROR(SEARCH("Done",#REF!)))</formula>
    </cfRule>
  </conditionalFormatting>
  <conditionalFormatting sqref="R8">
    <cfRule type="containsText" dxfId="9755" priority="3091" operator="containsText" text="Done">
      <formula>NOT(ISERROR(SEARCH("Done",#REF!)))</formula>
    </cfRule>
  </conditionalFormatting>
  <conditionalFormatting sqref="R12">
    <cfRule type="containsText" dxfId="9754" priority="3092" operator="containsText" text="Done">
      <formula>NOT(ISERROR(SEARCH("Done",#REF!)))</formula>
    </cfRule>
  </conditionalFormatting>
  <conditionalFormatting sqref="S19">
    <cfRule type="containsText" dxfId="9753" priority="3093" operator="containsText" text="Done">
      <formula>NOT(ISERROR(SEARCH("Done",#REF!)))</formula>
    </cfRule>
  </conditionalFormatting>
  <conditionalFormatting sqref="S41 S43:S52">
    <cfRule type="containsText" dxfId="9752" priority="3094" operator="containsText" text="Done">
      <formula>NOT(ISERROR(SEARCH("Done",#REF!)))</formula>
    </cfRule>
  </conditionalFormatting>
  <conditionalFormatting sqref="R47">
    <cfRule type="containsText" dxfId="9751" priority="3095" operator="containsText" text="Done">
      <formula>NOT(ISERROR(SEARCH("Done",#REF!)))</formula>
    </cfRule>
  </conditionalFormatting>
  <conditionalFormatting sqref="R3:R15 R18:R23 R25 R27:R39 R41 R43:R56">
    <cfRule type="containsText" dxfId="9750" priority="10" operator="containsText" text="Pending">
      <formula>NOT(ISERROR(SEARCH("Pending",#REF!)))</formula>
    </cfRule>
  </conditionalFormatting>
  <conditionalFormatting sqref="R6">
    <cfRule type="containsText" dxfId="9749" priority="3096" operator="containsText" text="Pending">
      <formula>NOT(ISERROR(SEARCH("Pending",#REF!)))</formula>
    </cfRule>
  </conditionalFormatting>
  <conditionalFormatting sqref="R3">
    <cfRule type="containsText" dxfId="9748" priority="3097" operator="containsText" text="Pending">
      <formula>NOT(ISERROR(SEARCH("Pending",#REF!)))</formula>
    </cfRule>
  </conditionalFormatting>
  <conditionalFormatting sqref="R10">
    <cfRule type="containsText" dxfId="9747" priority="3098" operator="containsText" text="Pending">
      <formula>NOT(ISERROR(SEARCH("Pending",#REF!)))</formula>
    </cfRule>
  </conditionalFormatting>
  <conditionalFormatting sqref="R18">
    <cfRule type="containsText" dxfId="9746" priority="3099" operator="containsText" text="Pending">
      <formula>NOT(ISERROR(SEARCH("Pending",#REF!)))</formula>
    </cfRule>
  </conditionalFormatting>
  <conditionalFormatting sqref="S20">
    <cfRule type="containsText" dxfId="9745" priority="3100" operator="containsText" text="Pending">
      <formula>NOT(ISERROR(SEARCH("Pending",#REF!)))</formula>
    </cfRule>
  </conditionalFormatting>
  <conditionalFormatting sqref="T41 T43:T46 T48:T52">
    <cfRule type="containsText" dxfId="9744" priority="3101" operator="containsText" text="Pending">
      <formula>NOT(ISERROR(SEARCH("Pending",#REF!)))</formula>
    </cfRule>
  </conditionalFormatting>
  <conditionalFormatting sqref="S47">
    <cfRule type="containsText" dxfId="9743" priority="3102" operator="containsText" text="Pending">
      <formula>NOT(ISERROR(SEARCH("Pending",#REF!)))</formula>
    </cfRule>
  </conditionalFormatting>
  <conditionalFormatting sqref="R5">
    <cfRule type="containsText" dxfId="9742" priority="8" operator="containsText" text="NA">
      <formula>NOT(ISERROR(SEARCH("NA",#REF!)))</formula>
    </cfRule>
  </conditionalFormatting>
  <conditionalFormatting sqref="R8">
    <cfRule type="containsText" dxfId="9741" priority="3103" operator="containsText" text="NA">
      <formula>NOT(ISERROR(SEARCH("NA",#REF!)))</formula>
    </cfRule>
  </conditionalFormatting>
  <conditionalFormatting sqref="R12">
    <cfRule type="containsText" dxfId="9740" priority="3104" operator="containsText" text="NA">
      <formula>NOT(ISERROR(SEARCH("NA",#REF!)))</formula>
    </cfRule>
  </conditionalFormatting>
  <conditionalFormatting sqref="S19">
    <cfRule type="containsText" dxfId="9739" priority="3105" operator="containsText" text="NA">
      <formula>NOT(ISERROR(SEARCH("NA",#REF!)))</formula>
    </cfRule>
  </conditionalFormatting>
  <conditionalFormatting sqref="S41 S43:S52">
    <cfRule type="containsText" dxfId="9738" priority="3106" operator="containsText" text="NA">
      <formula>NOT(ISERROR(SEARCH("NA",#REF!)))</formula>
    </cfRule>
  </conditionalFormatting>
  <conditionalFormatting sqref="R47">
    <cfRule type="containsText" dxfId="9737" priority="3107" operator="containsText" text="NA">
      <formula>NOT(ISERROR(SEARCH("NA",#REF!)))</formula>
    </cfRule>
  </conditionalFormatting>
  <conditionalFormatting sqref="Y3:Y15 Y17:Y37 Y39:Y40">
    <cfRule type="containsText" dxfId="9736" priority="6" operator="containsText" text="Done">
      <formula>NOT(ISERROR(SEARCH("Done",Z3)))</formula>
    </cfRule>
  </conditionalFormatting>
  <conditionalFormatting sqref="Z56">
    <cfRule type="containsText" dxfId="9735" priority="3108" operator="containsText" text="Done">
      <formula>NOT(ISERROR(SEARCH("Done",Z3)))</formula>
    </cfRule>
  </conditionalFormatting>
  <conditionalFormatting sqref="AA56">
    <cfRule type="containsText" dxfId="9734" priority="3109" operator="containsText" text="Done">
      <formula>NOT(ISERROR(SEARCH("Done",Z3)))</formula>
    </cfRule>
  </conditionalFormatting>
  <conditionalFormatting sqref="AC56 AD56 AF56 AG56 AM56 AN56 AO56 AY56">
    <cfRule type="containsText" dxfId="9733" priority="3110" operator="containsText" text="Done">
      <formula>NOT(ISERROR(SEARCH("Done",Z3)))</formula>
    </cfRule>
  </conditionalFormatting>
  <conditionalFormatting sqref="AE4 AF4">
    <cfRule type="containsText" dxfId="9732" priority="3111" operator="containsText" text="Done">
      <formula>NOT(ISERROR(SEARCH("Done",Z3)))</formula>
    </cfRule>
  </conditionalFormatting>
  <conditionalFormatting sqref="AH5 AI5">
    <cfRule type="containsText" dxfId="9731" priority="3112" operator="containsText" text="Done">
      <formula>NOT(ISERROR(SEARCH("Done",Z3)))</formula>
    </cfRule>
  </conditionalFormatting>
  <conditionalFormatting sqref="Y6">
    <cfRule type="containsText" dxfId="9730" priority="3113" operator="containsText" text="Done">
      <formula>NOT(ISERROR(SEARCH("Done",Z3)))</formula>
    </cfRule>
  </conditionalFormatting>
  <conditionalFormatting sqref="Y3">
    <cfRule type="containsText" dxfId="9729" priority="3114" operator="containsText" text="Done">
      <formula>NOT(ISERROR(SEARCH("Done",Z3)))</formula>
    </cfRule>
  </conditionalFormatting>
  <conditionalFormatting sqref="AD7">
    <cfRule type="containsText" dxfId="9728" priority="3115" operator="containsText" text="Done">
      <formula>NOT(ISERROR(SEARCH("Done",Z3)))</formula>
    </cfRule>
  </conditionalFormatting>
  <conditionalFormatting sqref="AD3">
    <cfRule type="containsText" dxfId="9727" priority="3116" operator="containsText" text="Done">
      <formula>NOT(ISERROR(SEARCH("Done",Z3)))</formula>
    </cfRule>
  </conditionalFormatting>
  <conditionalFormatting sqref="AS3 AT3 AU3 AV3 AW3 AX3">
    <cfRule type="containsText" dxfId="9726" priority="3117" operator="containsText" text="Done">
      <formula>NOT(ISERROR(SEARCH("Done",Z3)))</formula>
    </cfRule>
  </conditionalFormatting>
  <conditionalFormatting sqref="AD24">
    <cfRule type="containsText" dxfId="9725" priority="3118" operator="containsText" text="Done">
      <formula>NOT(ISERROR(SEARCH("Done",Z3)))</formula>
    </cfRule>
  </conditionalFormatting>
  <conditionalFormatting sqref="AD29">
    <cfRule type="containsText" dxfId="9724" priority="3119" operator="containsText" text="Done">
      <formula>NOT(ISERROR(SEARCH("Done",Z3)))</formula>
    </cfRule>
  </conditionalFormatting>
  <conditionalFormatting sqref="AC31">
    <cfRule type="containsText" dxfId="9723" priority="3120" operator="containsText" text="Done">
      <formula>NOT(ISERROR(SEARCH("Done",Z3)))</formula>
    </cfRule>
  </conditionalFormatting>
  <conditionalFormatting sqref="AC14:AC15">
    <cfRule type="containsText" dxfId="9722" priority="3121" operator="containsText" text="Done">
      <formula>NOT(ISERROR(SEARCH("Done",Z3)))</formula>
    </cfRule>
  </conditionalFormatting>
  <conditionalFormatting sqref="Z23">
    <cfRule type="containsText" dxfId="9721" priority="3122" operator="containsText" text="Done">
      <formula>NOT(ISERROR(SEARCH("Done",Z3)))</formula>
    </cfRule>
  </conditionalFormatting>
  <conditionalFormatting sqref="Z26">
    <cfRule type="containsText" dxfId="9720" priority="3123" operator="containsText" text="Done">
      <formula>NOT(ISERROR(SEARCH("Done",Z3)))</formula>
    </cfRule>
  </conditionalFormatting>
  <conditionalFormatting sqref="AA22">
    <cfRule type="containsText" dxfId="9719" priority="3124" operator="containsText" text="Done">
      <formula>NOT(ISERROR(SEARCH("Done",Z3)))</formula>
    </cfRule>
  </conditionalFormatting>
  <conditionalFormatting sqref="AA24">
    <cfRule type="containsText" dxfId="9718" priority="3125" operator="containsText" text="Done">
      <formula>NOT(ISERROR(SEARCH("Done",Z3)))</formula>
    </cfRule>
  </conditionalFormatting>
  <conditionalFormatting sqref="AA31">
    <cfRule type="containsText" dxfId="9717" priority="3126" operator="containsText" text="Done">
      <formula>NOT(ISERROR(SEARCH("Done",Z3)))</formula>
    </cfRule>
  </conditionalFormatting>
  <conditionalFormatting sqref="AJ11">
    <cfRule type="containsText" dxfId="9716" priority="3127" operator="containsText" text="Done">
      <formula>NOT(ISERROR(SEARCH("Done",Z3)))</formula>
    </cfRule>
  </conditionalFormatting>
  <conditionalFormatting sqref="AH13">
    <cfRule type="containsText" dxfId="9715" priority="3128" operator="containsText" text="Done">
      <formula>NOT(ISERROR(SEARCH("Done",Z3)))</formula>
    </cfRule>
  </conditionalFormatting>
  <conditionalFormatting sqref="AH17">
    <cfRule type="containsText" dxfId="9714" priority="3129" operator="containsText" text="Done">
      <formula>NOT(ISERROR(SEARCH("Done",Z3)))</formula>
    </cfRule>
  </conditionalFormatting>
  <conditionalFormatting sqref="AM49">
    <cfRule type="containsText" dxfId="9713" priority="3130" operator="containsText" text="Done">
      <formula>NOT(ISERROR(SEARCH("Done",Z3)))</formula>
    </cfRule>
  </conditionalFormatting>
  <conditionalFormatting sqref="AM50">
    <cfRule type="containsText" dxfId="9712" priority="3131" operator="containsText" text="Done">
      <formula>NOT(ISERROR(SEARCH("Done",Z3)))</formula>
    </cfRule>
  </conditionalFormatting>
  <conditionalFormatting sqref="AM51">
    <cfRule type="containsText" dxfId="9711" priority="3132" operator="containsText" text="Done">
      <formula>NOT(ISERROR(SEARCH("Done",Z3)))</formula>
    </cfRule>
  </conditionalFormatting>
  <conditionalFormatting sqref="AA49:AA50">
    <cfRule type="containsText" dxfId="9710" priority="3133" operator="containsText" text="Done">
      <formula>NOT(ISERROR(SEARCH("Done",Z3)))</formula>
    </cfRule>
  </conditionalFormatting>
  <conditionalFormatting sqref="Z49:Z50">
    <cfRule type="containsText" dxfId="9709" priority="3134" operator="containsText" text="Done">
      <formula>NOT(ISERROR(SEARCH("Done",Z3)))</formula>
    </cfRule>
  </conditionalFormatting>
  <conditionalFormatting sqref="AT14">
    <cfRule type="containsText" dxfId="9708" priority="3135" operator="containsText" text="Done">
      <formula>NOT(ISERROR(SEARCH("Done",Z3)))</formula>
    </cfRule>
  </conditionalFormatting>
  <conditionalFormatting sqref="AV14">
    <cfRule type="containsText" dxfId="9707" priority="3136" operator="containsText" text="Done">
      <formula>NOT(ISERROR(SEARCH("Done",Z3)))</formula>
    </cfRule>
  </conditionalFormatting>
  <conditionalFormatting sqref="AX14">
    <cfRule type="containsText" dxfId="9706" priority="3137" operator="containsText" text="Done">
      <formula>NOT(ISERROR(SEARCH("Done",Z3)))</formula>
    </cfRule>
  </conditionalFormatting>
  <conditionalFormatting sqref="Z10">
    <cfRule type="containsText" dxfId="9705" priority="3138" operator="containsText" text="Done">
      <formula>NOT(ISERROR(SEARCH("Done",Z3)))</formula>
    </cfRule>
  </conditionalFormatting>
  <conditionalFormatting sqref="Y12">
    <cfRule type="containsText" dxfId="9704" priority="3139" operator="containsText" text="Done">
      <formula>NOT(ISERROR(SEARCH("Done",Z3)))</formula>
    </cfRule>
  </conditionalFormatting>
  <conditionalFormatting sqref="AA12">
    <cfRule type="containsText" dxfId="9703" priority="3140" operator="containsText" text="Done">
      <formula>NOT(ISERROR(SEARCH("Done",Z3)))</formula>
    </cfRule>
  </conditionalFormatting>
  <conditionalFormatting sqref="Z18">
    <cfRule type="containsText" dxfId="9702" priority="3141" operator="containsText" text="Done">
      <formula>NOT(ISERROR(SEARCH("Done",Z3)))</formula>
    </cfRule>
  </conditionalFormatting>
  <conditionalFormatting sqref="Z19">
    <cfRule type="containsText" dxfId="9701" priority="3142" operator="containsText" text="Done">
      <formula>NOT(ISERROR(SEARCH("Done",Z3)))</formula>
    </cfRule>
  </conditionalFormatting>
  <conditionalFormatting sqref="AB19">
    <cfRule type="containsText" dxfId="9700" priority="3143" operator="containsText" text="Done">
      <formula>NOT(ISERROR(SEARCH("Done",Z3)))</formula>
    </cfRule>
  </conditionalFormatting>
  <conditionalFormatting sqref="AA20">
    <cfRule type="containsText" dxfId="9699" priority="3144" operator="containsText" text="Done">
      <formula>NOT(ISERROR(SEARCH("Done",Z3)))</formula>
    </cfRule>
  </conditionalFormatting>
  <conditionalFormatting sqref="AE43">
    <cfRule type="containsText" dxfId="9698" priority="3145" operator="containsText" text="Done">
      <formula>NOT(ISERROR(SEARCH("Done",Z3)))</formula>
    </cfRule>
  </conditionalFormatting>
  <conditionalFormatting sqref="AE45">
    <cfRule type="containsText" dxfId="9697" priority="3146" operator="containsText" text="Done">
      <formula>NOT(ISERROR(SEARCH("Done",Z3)))</formula>
    </cfRule>
  </conditionalFormatting>
  <conditionalFormatting sqref="AE47">
    <cfRule type="containsText" dxfId="9696" priority="3147" operator="containsText" text="Done">
      <formula>NOT(ISERROR(SEARCH("Done",Z3)))</formula>
    </cfRule>
  </conditionalFormatting>
  <conditionalFormatting sqref="AF44">
    <cfRule type="containsText" dxfId="9695" priority="3148" operator="containsText" text="Done">
      <formula>NOT(ISERROR(SEARCH("Done",Z3)))</formula>
    </cfRule>
  </conditionalFormatting>
  <conditionalFormatting sqref="AF48">
    <cfRule type="containsText" dxfId="9694" priority="3149" operator="containsText" text="Done">
      <formula>NOT(ISERROR(SEARCH("Done",Z3)))</formula>
    </cfRule>
  </conditionalFormatting>
  <conditionalFormatting sqref="AF48">
    <cfRule type="containsText" dxfId="9693" priority="3150" operator="containsText" text="Done">
      <formula>NOT(ISERROR(SEARCH("Done",Z3)))</formula>
    </cfRule>
  </conditionalFormatting>
  <conditionalFormatting sqref="AP9">
    <cfRule type="containsText" dxfId="9692" priority="3151" operator="containsText" text="Done">
      <formula>NOT(ISERROR(SEARCH("Done",Z3)))</formula>
    </cfRule>
  </conditionalFormatting>
  <conditionalFormatting sqref="Y28">
    <cfRule type="containsText" dxfId="9691" priority="3152" operator="containsText" text="Done">
      <formula>NOT(ISERROR(SEARCH("Done",Z3)))</formula>
    </cfRule>
  </conditionalFormatting>
  <conditionalFormatting sqref="Y31">
    <cfRule type="containsText" dxfId="9690" priority="3153" operator="containsText" text="Done">
      <formula>NOT(ISERROR(SEARCH("Done",Z3)))</formula>
    </cfRule>
  </conditionalFormatting>
  <conditionalFormatting sqref="AF12">
    <cfRule type="containsText" dxfId="9689" priority="3154" operator="containsText" text="Done">
      <formula>NOT(ISERROR(SEARCH("Done",Z3)))</formula>
    </cfRule>
  </conditionalFormatting>
  <conditionalFormatting sqref="AH12">
    <cfRule type="containsText" dxfId="9688" priority="3155" operator="containsText" text="Done">
      <formula>NOT(ISERROR(SEARCH("Done",Z3)))</formula>
    </cfRule>
  </conditionalFormatting>
  <conditionalFormatting sqref="AJ12">
    <cfRule type="containsText" dxfId="9687" priority="3156" operator="containsText" text="Done">
      <formula>NOT(ISERROR(SEARCH("Done",Z3)))</formula>
    </cfRule>
  </conditionalFormatting>
  <conditionalFormatting sqref="AL12">
    <cfRule type="containsText" dxfId="9686" priority="3157" operator="containsText" text="Done">
      <formula>NOT(ISERROR(SEARCH("Done",Z3)))</formula>
    </cfRule>
  </conditionalFormatting>
  <conditionalFormatting sqref="AN12">
    <cfRule type="containsText" dxfId="9685" priority="3158" operator="containsText" text="Done">
      <formula>NOT(ISERROR(SEARCH("Done",Z3)))</formula>
    </cfRule>
  </conditionalFormatting>
  <conditionalFormatting sqref="AP12">
    <cfRule type="containsText" dxfId="9684" priority="3159" operator="containsText" text="Done">
      <formula>NOT(ISERROR(SEARCH("Done",Z3)))</formula>
    </cfRule>
  </conditionalFormatting>
  <conditionalFormatting sqref="AR12">
    <cfRule type="containsText" dxfId="9683" priority="3160" operator="containsText" text="Done">
      <formula>NOT(ISERROR(SEARCH("Done",Z3)))</formula>
    </cfRule>
  </conditionalFormatting>
  <conditionalFormatting sqref="AT12">
    <cfRule type="containsText" dxfId="9682" priority="3161" operator="containsText" text="Done">
      <formula>NOT(ISERROR(SEARCH("Done",Z3)))</formula>
    </cfRule>
  </conditionalFormatting>
  <conditionalFormatting sqref="AV12">
    <cfRule type="containsText" dxfId="9681" priority="3162" operator="containsText" text="Done">
      <formula>NOT(ISERROR(SEARCH("Done",Z3)))</formula>
    </cfRule>
  </conditionalFormatting>
  <conditionalFormatting sqref="AX12">
    <cfRule type="containsText" dxfId="9680" priority="3163" operator="containsText" text="Done">
      <formula>NOT(ISERROR(SEARCH("Done",Z3)))</formula>
    </cfRule>
  </conditionalFormatting>
  <conditionalFormatting sqref="AH19">
    <cfRule type="containsText" dxfId="9679" priority="3164" operator="containsText" text="Done">
      <formula>NOT(ISERROR(SEARCH("Done",Z3)))</formula>
    </cfRule>
  </conditionalFormatting>
  <conditionalFormatting sqref="AH42">
    <cfRule type="containsText" dxfId="9678" priority="3165" operator="containsText" text="Done">
      <formula>NOT(ISERROR(SEARCH("Done",Z3)))</formula>
    </cfRule>
  </conditionalFormatting>
  <conditionalFormatting sqref="AI41:AI52">
    <cfRule type="containsText" dxfId="9677" priority="3166" operator="containsText" text="Done">
      <formula>NOT(ISERROR(SEARCH("Done",Z3)))</formula>
    </cfRule>
  </conditionalFormatting>
  <conditionalFormatting sqref="AI42">
    <cfRule type="containsText" dxfId="9676" priority="3167" operator="containsText" text="Done">
      <formula>NOT(ISERROR(SEARCH("Done",Z3)))</formula>
    </cfRule>
  </conditionalFormatting>
  <conditionalFormatting sqref="AH54">
    <cfRule type="containsText" dxfId="9675" priority="3168" operator="containsText" text="Done">
      <formula>NOT(ISERROR(SEARCH("Done",Z3)))</formula>
    </cfRule>
  </conditionalFormatting>
  <conditionalFormatting sqref="AP54">
    <cfRule type="containsText" dxfId="9674" priority="3169" operator="containsText" text="Done">
      <formula>NOT(ISERROR(SEARCH("Done",Z3)))</formula>
    </cfRule>
  </conditionalFormatting>
  <conditionalFormatting sqref="Z43">
    <cfRule type="containsText" dxfId="9673" priority="3170" operator="containsText" text="Done">
      <formula>NOT(ISERROR(SEARCH("Done",Z3)))</formula>
    </cfRule>
  </conditionalFormatting>
  <conditionalFormatting sqref="AA34">
    <cfRule type="containsText" dxfId="9672" priority="3171" operator="containsText" text="Done">
      <formula>NOT(ISERROR(SEARCH("Done",Z3)))</formula>
    </cfRule>
  </conditionalFormatting>
  <conditionalFormatting sqref="AA35">
    <cfRule type="containsText" dxfId="9671" priority="3172" operator="containsText" text="Done">
      <formula>NOT(ISERROR(SEARCH("Done",Z3)))</formula>
    </cfRule>
  </conditionalFormatting>
  <conditionalFormatting sqref="AA37">
    <cfRule type="containsText" dxfId="9670" priority="3173" operator="containsText" text="Done">
      <formula>NOT(ISERROR(SEARCH("Done",Z3)))</formula>
    </cfRule>
  </conditionalFormatting>
  <conditionalFormatting sqref="AA39">
    <cfRule type="containsText" dxfId="9669" priority="3174" operator="containsText" text="Done">
      <formula>NOT(ISERROR(SEARCH("Done",Z3)))</formula>
    </cfRule>
  </conditionalFormatting>
  <conditionalFormatting sqref="Z35">
    <cfRule type="containsText" dxfId="9668" priority="3175" operator="containsText" text="Done">
      <formula>NOT(ISERROR(SEARCH("Done",Z3)))</formula>
    </cfRule>
  </conditionalFormatting>
  <conditionalFormatting sqref="Z37">
    <cfRule type="containsText" dxfId="9667" priority="3176" operator="containsText" text="Done">
      <formula>NOT(ISERROR(SEARCH("Done",Z3)))</formula>
    </cfRule>
  </conditionalFormatting>
  <conditionalFormatting sqref="AK41">
    <cfRule type="containsText" dxfId="9666" priority="3177" operator="containsText" text="Done">
      <formula>NOT(ISERROR(SEARCH("Done",Z3)))</formula>
    </cfRule>
  </conditionalFormatting>
  <conditionalFormatting sqref="AL44:AL52">
    <cfRule type="containsText" dxfId="9665" priority="3178" operator="containsText" text="Done">
      <formula>NOT(ISERROR(SEARCH("Done",Z3)))</formula>
    </cfRule>
  </conditionalFormatting>
  <conditionalFormatting sqref="AO42:AO52">
    <cfRule type="containsText" dxfId="9664" priority="3179" operator="containsText" text="Done">
      <formula>NOT(ISERROR(SEARCH("Done",Z3)))</formula>
    </cfRule>
  </conditionalFormatting>
  <conditionalFormatting sqref="AK53">
    <cfRule type="containsText" dxfId="9663" priority="3180" operator="containsText" text="Done">
      <formula>NOT(ISERROR(SEARCH("Done",Z3)))</formula>
    </cfRule>
  </conditionalFormatting>
  <conditionalFormatting sqref="AS54">
    <cfRule type="containsText" dxfId="9662" priority="3181" operator="containsText" text="Done">
      <formula>NOT(ISERROR(SEARCH("Done",Z3)))</formula>
    </cfRule>
  </conditionalFormatting>
  <conditionalFormatting sqref="AV53">
    <cfRule type="containsText" dxfId="9661" priority="3182" operator="containsText" text="Done">
      <formula>NOT(ISERROR(SEARCH("Done",Z3)))</formula>
    </cfRule>
  </conditionalFormatting>
  <conditionalFormatting sqref="AQ53">
    <cfRule type="containsText" dxfId="9660" priority="3183" operator="containsText" text="Done">
      <formula>NOT(ISERROR(SEARCH("Done",Z3)))</formula>
    </cfRule>
  </conditionalFormatting>
  <conditionalFormatting sqref="AQ55">
    <cfRule type="containsText" dxfId="9659" priority="3184" operator="containsText" text="Done">
      <formula>NOT(ISERROR(SEARCH("Done",Z3)))</formula>
    </cfRule>
  </conditionalFormatting>
  <conditionalFormatting sqref="AF24">
    <cfRule type="containsText" dxfId="9658" priority="3185" operator="containsText" text="Done">
      <formula>NOT(ISERROR(SEARCH("Done",Z3)))</formula>
    </cfRule>
  </conditionalFormatting>
  <conditionalFormatting sqref="AF27">
    <cfRule type="containsText" dxfId="9657" priority="3186" operator="containsText" text="Done">
      <formula>NOT(ISERROR(SEARCH("Done",Z3)))</formula>
    </cfRule>
  </conditionalFormatting>
  <conditionalFormatting sqref="AH26 AI26">
    <cfRule type="containsText" dxfId="9656" priority="3187" operator="containsText" text="Done">
      <formula>NOT(ISERROR(SEARCH("Done",Z3)))</formula>
    </cfRule>
  </conditionalFormatting>
  <conditionalFormatting sqref="AI27">
    <cfRule type="containsText" dxfId="9655" priority="3188" operator="containsText" text="Done">
      <formula>NOT(ISERROR(SEARCH("Done",Z3)))</formula>
    </cfRule>
  </conditionalFormatting>
  <conditionalFormatting sqref="AL22:AL31">
    <cfRule type="containsText" dxfId="9654" priority="3189" operator="containsText" text="Done">
      <formula>NOT(ISERROR(SEARCH("Done",Z3)))</formula>
    </cfRule>
  </conditionalFormatting>
  <conditionalFormatting sqref="AN22:AN31">
    <cfRule type="containsText" dxfId="9653" priority="3190" operator="containsText" text="Done">
      <formula>NOT(ISERROR(SEARCH("Done",Z3)))</formula>
    </cfRule>
  </conditionalFormatting>
  <conditionalFormatting sqref="AO22:AO31">
    <cfRule type="containsText" dxfId="9652" priority="3191" operator="containsText" text="Done">
      <formula>NOT(ISERROR(SEARCH("Done",Z3)))</formula>
    </cfRule>
  </conditionalFormatting>
  <conditionalFormatting sqref="AP23">
    <cfRule type="containsText" dxfId="9651" priority="3192" operator="containsText" text="Done">
      <formula>NOT(ISERROR(SEARCH("Done",Z3)))</formula>
    </cfRule>
  </conditionalFormatting>
  <conditionalFormatting sqref="AP31">
    <cfRule type="containsText" dxfId="9650" priority="3193" operator="containsText" text="Done">
      <formula>NOT(ISERROR(SEARCH("Done",Z3)))</formula>
    </cfRule>
  </conditionalFormatting>
  <conditionalFormatting sqref="AP26">
    <cfRule type="containsText" dxfId="9649" priority="3194" operator="containsText" text="Done">
      <formula>NOT(ISERROR(SEARCH("Done",Z3)))</formula>
    </cfRule>
  </conditionalFormatting>
  <conditionalFormatting sqref="AQ23">
    <cfRule type="containsText" dxfId="9648" priority="3195" operator="containsText" text="Done">
      <formula>NOT(ISERROR(SEARCH("Done",Z3)))</formula>
    </cfRule>
  </conditionalFormatting>
  <conditionalFormatting sqref="AQ25:AQ31">
    <cfRule type="containsText" dxfId="9647" priority="3196" operator="containsText" text="Done">
      <formula>NOT(ISERROR(SEARCH("Done",Z3)))</formula>
    </cfRule>
  </conditionalFormatting>
  <conditionalFormatting sqref="AQ31">
    <cfRule type="containsText" dxfId="9646" priority="3197" operator="containsText" text="Done">
      <formula>NOT(ISERROR(SEARCH("Done",Z3)))</formula>
    </cfRule>
  </conditionalFormatting>
  <conditionalFormatting sqref="AR22:AR31">
    <cfRule type="containsText" dxfId="9645" priority="3198" operator="containsText" text="Done">
      <formula>NOT(ISERROR(SEARCH("Done",Z3)))</formula>
    </cfRule>
  </conditionalFormatting>
  <conditionalFormatting sqref="AR23">
    <cfRule type="containsText" dxfId="9644" priority="3199" operator="containsText" text="Done">
      <formula>NOT(ISERROR(SEARCH("Done",Z3)))</formula>
    </cfRule>
  </conditionalFormatting>
  <conditionalFormatting sqref="AR25:AR31">
    <cfRule type="containsText" dxfId="9643" priority="3200" operator="containsText" text="Done">
      <formula>NOT(ISERROR(SEARCH("Done",Z3)))</formula>
    </cfRule>
  </conditionalFormatting>
  <conditionalFormatting sqref="AR31">
    <cfRule type="containsText" dxfId="9642" priority="3201" operator="containsText" text="Done">
      <formula>NOT(ISERROR(SEARCH("Done",Z3)))</formula>
    </cfRule>
  </conditionalFormatting>
  <conditionalFormatting sqref="AS24 AT24">
    <cfRule type="containsText" dxfId="9641" priority="3202" operator="containsText" text="Done">
      <formula>NOT(ISERROR(SEARCH("Done",Z3)))</formula>
    </cfRule>
  </conditionalFormatting>
  <conditionalFormatting sqref="AS25">
    <cfRule type="containsText" dxfId="9640" priority="3203" operator="containsText" text="Done">
      <formula>NOT(ISERROR(SEARCH("Done",Z3)))</formula>
    </cfRule>
  </conditionalFormatting>
  <conditionalFormatting sqref="AS27">
    <cfRule type="containsText" dxfId="9639" priority="3204" operator="containsText" text="Done">
      <formula>NOT(ISERROR(SEARCH("Done",Z3)))</formula>
    </cfRule>
  </conditionalFormatting>
  <conditionalFormatting sqref="AW22">
    <cfRule type="containsText" dxfId="9638" priority="3205" operator="containsText" text="Done">
      <formula>NOT(ISERROR(SEARCH("Done",Z3)))</formula>
    </cfRule>
  </conditionalFormatting>
  <conditionalFormatting sqref="AW25">
    <cfRule type="containsText" dxfId="9637" priority="3206" operator="containsText" text="Done">
      <formula>NOT(ISERROR(SEARCH("Done",Z3)))</formula>
    </cfRule>
  </conditionalFormatting>
  <conditionalFormatting sqref="AX27">
    <cfRule type="containsText" dxfId="9636" priority="3207" operator="containsText" text="Done">
      <formula>NOT(ISERROR(SEARCH("Done",Z3)))</formula>
    </cfRule>
  </conditionalFormatting>
  <conditionalFormatting sqref="AQ56">
    <cfRule type="containsText" dxfId="9635" priority="3208" operator="containsText" text="Done">
      <formula>NOT(ISERROR(SEARCH("Done",Z3)))</formula>
    </cfRule>
  </conditionalFormatting>
  <conditionalFormatting sqref="AR55">
    <cfRule type="containsText" dxfId="9634" priority="3209" operator="containsText" text="Done">
      <formula>NOT(ISERROR(SEARCH("Done",Z3)))</formula>
    </cfRule>
  </conditionalFormatting>
  <conditionalFormatting sqref="AR56">
    <cfRule type="containsText" dxfId="9633" priority="3210" operator="containsText" text="Done">
      <formula>NOT(ISERROR(SEARCH("Done",Z3)))</formula>
    </cfRule>
  </conditionalFormatting>
  <conditionalFormatting sqref="AM24">
    <cfRule type="containsText" dxfId="9632" priority="3211" operator="containsText" text="Done">
      <formula>NOT(ISERROR(SEARCH("Done",Z3)))</formula>
    </cfRule>
  </conditionalFormatting>
  <conditionalFormatting sqref="AG25">
    <cfRule type="containsText" dxfId="9631" priority="3212" operator="containsText" text="Done">
      <formula>NOT(ISERROR(SEARCH("Done",Z3)))</formula>
    </cfRule>
  </conditionalFormatting>
  <conditionalFormatting sqref="AW41:AW52">
    <cfRule type="containsText" dxfId="9630" priority="3213" operator="containsText" text="Done">
      <formula>NOT(ISERROR(SEARCH("Done",Z3)))</formula>
    </cfRule>
  </conditionalFormatting>
  <conditionalFormatting sqref="AE42 AF42">
    <cfRule type="containsText" dxfId="9629" priority="3214" operator="containsText" text="Done">
      <formula>NOT(ISERROR(SEARCH("Done",Z3)))</formula>
    </cfRule>
  </conditionalFormatting>
  <conditionalFormatting sqref="AF47">
    <cfRule type="containsText" dxfId="9628" priority="3215" operator="containsText" text="Done">
      <formula>NOT(ISERROR(SEARCH("Done",Z3)))</formula>
    </cfRule>
  </conditionalFormatting>
  <conditionalFormatting sqref="AF49">
    <cfRule type="containsText" dxfId="9627" priority="3216" operator="containsText" text="Done">
      <formula>NOT(ISERROR(SEARCH("Done",Z3)))</formula>
    </cfRule>
  </conditionalFormatting>
  <conditionalFormatting sqref="AF43">
    <cfRule type="containsText" dxfId="9626" priority="3217" operator="containsText" text="Done">
      <formula>NOT(ISERROR(SEARCH("Done",Z3)))</formula>
    </cfRule>
  </conditionalFormatting>
  <conditionalFormatting sqref="AS44">
    <cfRule type="containsText" dxfId="9625" priority="3218" operator="containsText" text="Done">
      <formula>NOT(ISERROR(SEARCH("Done",Z3)))</formula>
    </cfRule>
  </conditionalFormatting>
  <conditionalFormatting sqref="AS47">
    <cfRule type="containsText" dxfId="9624" priority="3219" operator="containsText" text="Done">
      <formula>NOT(ISERROR(SEARCH("Done",Z3)))</formula>
    </cfRule>
  </conditionalFormatting>
  <conditionalFormatting sqref="AS49">
    <cfRule type="containsText" dxfId="9623" priority="3220" operator="containsText" text="Done">
      <formula>NOT(ISERROR(SEARCH("Done",Z3)))</formula>
    </cfRule>
  </conditionalFormatting>
  <conditionalFormatting sqref="AS51">
    <cfRule type="containsText" dxfId="9622" priority="3221" operator="containsText" text="Done">
      <formula>NOT(ISERROR(SEARCH("Done",Z3)))</formula>
    </cfRule>
  </conditionalFormatting>
  <conditionalFormatting sqref="AT42:AT43">
    <cfRule type="containsText" dxfId="9621" priority="3222" operator="containsText" text="Done">
      <formula>NOT(ISERROR(SEARCH("Done",Z3)))</formula>
    </cfRule>
  </conditionalFormatting>
  <conditionalFormatting sqref="AT41">
    <cfRule type="containsText" dxfId="9620" priority="3223" operator="containsText" text="Done">
      <formula>NOT(ISERROR(SEARCH("Done",Z3)))</formula>
    </cfRule>
  </conditionalFormatting>
  <conditionalFormatting sqref="AT46">
    <cfRule type="containsText" dxfId="9619" priority="3224" operator="containsText" text="Done">
      <formula>NOT(ISERROR(SEARCH("Done",Z3)))</formula>
    </cfRule>
  </conditionalFormatting>
  <conditionalFormatting sqref="AT48">
    <cfRule type="containsText" dxfId="9618" priority="3225" operator="containsText" text="Done">
      <formula>NOT(ISERROR(SEARCH("Done",Z3)))</formula>
    </cfRule>
  </conditionalFormatting>
  <conditionalFormatting sqref="AT50">
    <cfRule type="containsText" dxfId="9617" priority="3226" operator="containsText" text="Done">
      <formula>NOT(ISERROR(SEARCH("Done",Z3)))</formula>
    </cfRule>
  </conditionalFormatting>
  <conditionalFormatting sqref="AT52">
    <cfRule type="containsText" dxfId="9616" priority="3227" operator="containsText" text="Done">
      <formula>NOT(ISERROR(SEARCH("Done",Z3)))</formula>
    </cfRule>
  </conditionalFormatting>
  <conditionalFormatting sqref="AW32:AW40">
    <cfRule type="containsText" dxfId="9615" priority="3228" operator="containsText" text="Done">
      <formula>NOT(ISERROR(SEARCH("Done",Z3)))</formula>
    </cfRule>
  </conditionalFormatting>
  <conditionalFormatting sqref="AH33 AI33 AJ33 AK33 AL33 AM33 AN33 AO33 AP33 AQ33 AR33">
    <cfRule type="containsText" dxfId="9614" priority="3229" operator="containsText" text="Done">
      <formula>NOT(ISERROR(SEARCH("Done",Z3)))</formula>
    </cfRule>
  </conditionalFormatting>
  <conditionalFormatting sqref="AN35:AN36 AO35:AO36">
    <cfRule type="containsText" dxfId="9613" priority="3230" operator="containsText" text="Done">
      <formula>NOT(ISERROR(SEARCH("Done",Z3)))</formula>
    </cfRule>
  </conditionalFormatting>
  <conditionalFormatting sqref="AV31">
    <cfRule type="containsText" dxfId="9612" priority="3231" operator="containsText" text="Done">
      <formula>NOT(ISERROR(SEARCH("Done",Z3)))</formula>
    </cfRule>
  </conditionalFormatting>
  <conditionalFormatting sqref="AW31">
    <cfRule type="containsText" dxfId="9611" priority="3232" operator="containsText" text="Done">
      <formula>NOT(ISERROR(SEARCH("Done",Z3)))</formula>
    </cfRule>
  </conditionalFormatting>
  <conditionalFormatting sqref="AX31">
    <cfRule type="containsText" dxfId="9610" priority="3233" operator="containsText" text="Done">
      <formula>NOT(ISERROR(SEARCH("Done",Z3)))</formula>
    </cfRule>
  </conditionalFormatting>
  <conditionalFormatting sqref="AT23:AT24">
    <cfRule type="containsText" dxfId="9609" priority="3234" operator="containsText" text="Done">
      <formula>NOT(ISERROR(SEARCH("Done",Z3)))</formula>
    </cfRule>
  </conditionalFormatting>
  <conditionalFormatting sqref="AU23:AU24">
    <cfRule type="containsText" dxfId="9608" priority="3235" operator="containsText" text="Done">
      <formula>NOT(ISERROR(SEARCH("Done",Z3)))</formula>
    </cfRule>
  </conditionalFormatting>
  <conditionalFormatting sqref="AV23:AV24">
    <cfRule type="containsText" dxfId="9607" priority="3236" operator="containsText" text="Done">
      <formula>NOT(ISERROR(SEARCH("Done",Z3)))</formula>
    </cfRule>
  </conditionalFormatting>
  <conditionalFormatting sqref="AW23:AW24">
    <cfRule type="containsText" dxfId="9606" priority="3237" operator="containsText" text="Done">
      <formula>NOT(ISERROR(SEARCH("Done",Z3)))</formula>
    </cfRule>
  </conditionalFormatting>
  <conditionalFormatting sqref="AX23:AX24">
    <cfRule type="containsText" dxfId="9605" priority="3238" operator="containsText" text="Done">
      <formula>NOT(ISERROR(SEARCH("Done",Z3)))</formula>
    </cfRule>
  </conditionalFormatting>
  <conditionalFormatting sqref="Y3:Y15 Y17:Y37 Y39:Y40">
    <cfRule type="containsText" dxfId="9604" priority="5" operator="containsText" text="Pending">
      <formula>NOT(ISERROR(SEARCH("Pending",Z3)))</formula>
    </cfRule>
  </conditionalFormatting>
  <conditionalFormatting sqref="Z56">
    <cfRule type="containsText" dxfId="9603" priority="3239" operator="containsText" text="Pending">
      <formula>NOT(ISERROR(SEARCH("Pending",Z3)))</formula>
    </cfRule>
  </conditionalFormatting>
  <conditionalFormatting sqref="AA56">
    <cfRule type="containsText" dxfId="9602" priority="3240" operator="containsText" text="Pending">
      <formula>NOT(ISERROR(SEARCH("Pending",Z3)))</formula>
    </cfRule>
  </conditionalFormatting>
  <conditionalFormatting sqref="AC56 AD56 AF56 AG56 AM56 AN56 AO56 AY56">
    <cfRule type="containsText" dxfId="9601" priority="3241" operator="containsText" text="Pending">
      <formula>NOT(ISERROR(SEARCH("Pending",Z3)))</formula>
    </cfRule>
  </conditionalFormatting>
  <conditionalFormatting sqref="AE4 AF4">
    <cfRule type="containsText" dxfId="9600" priority="3242" operator="containsText" text="Pending">
      <formula>NOT(ISERROR(SEARCH("Pending",Z3)))</formula>
    </cfRule>
  </conditionalFormatting>
  <conditionalFormatting sqref="AH5 AI5">
    <cfRule type="containsText" dxfId="9599" priority="3243" operator="containsText" text="Pending">
      <formula>NOT(ISERROR(SEARCH("Pending",Z3)))</formula>
    </cfRule>
  </conditionalFormatting>
  <conditionalFormatting sqref="Y6">
    <cfRule type="containsText" dxfId="9598" priority="3244" operator="containsText" text="Pending">
      <formula>NOT(ISERROR(SEARCH("Pending",Z3)))</formula>
    </cfRule>
  </conditionalFormatting>
  <conditionalFormatting sqref="Y3">
    <cfRule type="containsText" dxfId="9597" priority="3245" operator="containsText" text="Pending">
      <formula>NOT(ISERROR(SEARCH("Pending",Z3)))</formula>
    </cfRule>
  </conditionalFormatting>
  <conditionalFormatting sqref="AD7">
    <cfRule type="containsText" dxfId="9596" priority="3246" operator="containsText" text="Pending">
      <formula>NOT(ISERROR(SEARCH("Pending",Z3)))</formula>
    </cfRule>
  </conditionalFormatting>
  <conditionalFormatting sqref="AD3">
    <cfRule type="containsText" dxfId="9595" priority="3247" operator="containsText" text="Pending">
      <formula>NOT(ISERROR(SEARCH("Pending",Z3)))</formula>
    </cfRule>
  </conditionalFormatting>
  <conditionalFormatting sqref="AS3 AT3 AU3 AV3 AW3 AX3">
    <cfRule type="containsText" dxfId="9594" priority="3248" operator="containsText" text="Pending">
      <formula>NOT(ISERROR(SEARCH("Pending",Z3)))</formula>
    </cfRule>
  </conditionalFormatting>
  <conditionalFormatting sqref="AD24">
    <cfRule type="containsText" dxfId="9593" priority="3249" operator="containsText" text="Pending">
      <formula>NOT(ISERROR(SEARCH("Pending",Z3)))</formula>
    </cfRule>
  </conditionalFormatting>
  <conditionalFormatting sqref="AD29">
    <cfRule type="containsText" dxfId="9592" priority="3250" operator="containsText" text="Pending">
      <formula>NOT(ISERROR(SEARCH("Pending",Z3)))</formula>
    </cfRule>
  </conditionalFormatting>
  <conditionalFormatting sqref="AC31">
    <cfRule type="containsText" dxfId="9591" priority="3251" operator="containsText" text="Pending">
      <formula>NOT(ISERROR(SEARCH("Pending",Z3)))</formula>
    </cfRule>
  </conditionalFormatting>
  <conditionalFormatting sqref="AC14:AC15">
    <cfRule type="containsText" dxfId="9590" priority="3252" operator="containsText" text="Pending">
      <formula>NOT(ISERROR(SEARCH("Pending",Z3)))</formula>
    </cfRule>
  </conditionalFormatting>
  <conditionalFormatting sqref="Z23">
    <cfRule type="containsText" dxfId="9589" priority="3253" operator="containsText" text="Pending">
      <formula>NOT(ISERROR(SEARCH("Pending",Z3)))</formula>
    </cfRule>
  </conditionalFormatting>
  <conditionalFormatting sqref="Z26">
    <cfRule type="containsText" dxfId="9588" priority="3254" operator="containsText" text="Pending">
      <formula>NOT(ISERROR(SEARCH("Pending",Z3)))</formula>
    </cfRule>
  </conditionalFormatting>
  <conditionalFormatting sqref="AA22">
    <cfRule type="containsText" dxfId="9587" priority="3255" operator="containsText" text="Pending">
      <formula>NOT(ISERROR(SEARCH("Pending",Z3)))</formula>
    </cfRule>
  </conditionalFormatting>
  <conditionalFormatting sqref="AA24">
    <cfRule type="containsText" dxfId="9586" priority="3256" operator="containsText" text="Pending">
      <formula>NOT(ISERROR(SEARCH("Pending",Z3)))</formula>
    </cfRule>
  </conditionalFormatting>
  <conditionalFormatting sqref="AA31">
    <cfRule type="containsText" dxfId="9585" priority="3257" operator="containsText" text="Pending">
      <formula>NOT(ISERROR(SEARCH("Pending",Z3)))</formula>
    </cfRule>
  </conditionalFormatting>
  <conditionalFormatting sqref="AJ11">
    <cfRule type="containsText" dxfId="9584" priority="3258" operator="containsText" text="Pending">
      <formula>NOT(ISERROR(SEARCH("Pending",Z3)))</formula>
    </cfRule>
  </conditionalFormatting>
  <conditionalFormatting sqref="AH13">
    <cfRule type="containsText" dxfId="9583" priority="3259" operator="containsText" text="Pending">
      <formula>NOT(ISERROR(SEARCH("Pending",Z3)))</formula>
    </cfRule>
  </conditionalFormatting>
  <conditionalFormatting sqref="AH17">
    <cfRule type="containsText" dxfId="9582" priority="3260" operator="containsText" text="Pending">
      <formula>NOT(ISERROR(SEARCH("Pending",Z3)))</formula>
    </cfRule>
  </conditionalFormatting>
  <conditionalFormatting sqref="AM49">
    <cfRule type="containsText" dxfId="9581" priority="3261" operator="containsText" text="Pending">
      <formula>NOT(ISERROR(SEARCH("Pending",Z3)))</formula>
    </cfRule>
  </conditionalFormatting>
  <conditionalFormatting sqref="AM50">
    <cfRule type="containsText" dxfId="9580" priority="3262" operator="containsText" text="Pending">
      <formula>NOT(ISERROR(SEARCH("Pending",Z3)))</formula>
    </cfRule>
  </conditionalFormatting>
  <conditionalFormatting sqref="AM51">
    <cfRule type="containsText" dxfId="9579" priority="3263" operator="containsText" text="Pending">
      <formula>NOT(ISERROR(SEARCH("Pending",Z3)))</formula>
    </cfRule>
  </conditionalFormatting>
  <conditionalFormatting sqref="AA49:AA50">
    <cfRule type="containsText" dxfId="9578" priority="3264" operator="containsText" text="Pending">
      <formula>NOT(ISERROR(SEARCH("Pending",Z3)))</formula>
    </cfRule>
  </conditionalFormatting>
  <conditionalFormatting sqref="Z49:Z50">
    <cfRule type="containsText" dxfId="9577" priority="3265" operator="containsText" text="Pending">
      <formula>NOT(ISERROR(SEARCH("Pending",Z3)))</formula>
    </cfRule>
  </conditionalFormatting>
  <conditionalFormatting sqref="AT14">
    <cfRule type="containsText" dxfId="9576" priority="3266" operator="containsText" text="Pending">
      <formula>NOT(ISERROR(SEARCH("Pending",Z3)))</formula>
    </cfRule>
  </conditionalFormatting>
  <conditionalFormatting sqref="AV14">
    <cfRule type="containsText" dxfId="9575" priority="3267" operator="containsText" text="Pending">
      <formula>NOT(ISERROR(SEARCH("Pending",Z3)))</formula>
    </cfRule>
  </conditionalFormatting>
  <conditionalFormatting sqref="AX14">
    <cfRule type="containsText" dxfId="9574" priority="3268" operator="containsText" text="Pending">
      <formula>NOT(ISERROR(SEARCH("Pending",Z3)))</formula>
    </cfRule>
  </conditionalFormatting>
  <conditionalFormatting sqref="Z10">
    <cfRule type="containsText" dxfId="9573" priority="3269" operator="containsText" text="Pending">
      <formula>NOT(ISERROR(SEARCH("Pending",Z3)))</formula>
    </cfRule>
  </conditionalFormatting>
  <conditionalFormatting sqref="Y12">
    <cfRule type="containsText" dxfId="9572" priority="3270" operator="containsText" text="Pending">
      <formula>NOT(ISERROR(SEARCH("Pending",Z3)))</formula>
    </cfRule>
  </conditionalFormatting>
  <conditionalFormatting sqref="AA12">
    <cfRule type="containsText" dxfId="9571" priority="3271" operator="containsText" text="Pending">
      <formula>NOT(ISERROR(SEARCH("Pending",Z3)))</formula>
    </cfRule>
  </conditionalFormatting>
  <conditionalFormatting sqref="Z18">
    <cfRule type="containsText" dxfId="9570" priority="3272" operator="containsText" text="Pending">
      <formula>NOT(ISERROR(SEARCH("Pending",Z3)))</formula>
    </cfRule>
  </conditionalFormatting>
  <conditionalFormatting sqref="Z19">
    <cfRule type="containsText" dxfId="9569" priority="3273" operator="containsText" text="Pending">
      <formula>NOT(ISERROR(SEARCH("Pending",Z3)))</formula>
    </cfRule>
  </conditionalFormatting>
  <conditionalFormatting sqref="AB19">
    <cfRule type="containsText" dxfId="9568" priority="3274" operator="containsText" text="Pending">
      <formula>NOT(ISERROR(SEARCH("Pending",Z3)))</formula>
    </cfRule>
  </conditionalFormatting>
  <conditionalFormatting sqref="AA20">
    <cfRule type="containsText" dxfId="9567" priority="3275" operator="containsText" text="Pending">
      <formula>NOT(ISERROR(SEARCH("Pending",Z3)))</formula>
    </cfRule>
  </conditionalFormatting>
  <conditionalFormatting sqref="AE43">
    <cfRule type="containsText" dxfId="9566" priority="3276" operator="containsText" text="Pending">
      <formula>NOT(ISERROR(SEARCH("Pending",Z3)))</formula>
    </cfRule>
  </conditionalFormatting>
  <conditionalFormatting sqref="AE45">
    <cfRule type="containsText" dxfId="9565" priority="3277" operator="containsText" text="Pending">
      <formula>NOT(ISERROR(SEARCH("Pending",Z3)))</formula>
    </cfRule>
  </conditionalFormatting>
  <conditionalFormatting sqref="AE47">
    <cfRule type="containsText" dxfId="9564" priority="3278" operator="containsText" text="Pending">
      <formula>NOT(ISERROR(SEARCH("Pending",Z3)))</formula>
    </cfRule>
  </conditionalFormatting>
  <conditionalFormatting sqref="AF44">
    <cfRule type="containsText" dxfId="9563" priority="3279" operator="containsText" text="Pending">
      <formula>NOT(ISERROR(SEARCH("Pending",Z3)))</formula>
    </cfRule>
  </conditionalFormatting>
  <conditionalFormatting sqref="AF48">
    <cfRule type="containsText" dxfId="9562" priority="3280" operator="containsText" text="Pending">
      <formula>NOT(ISERROR(SEARCH("Pending",Z3)))</formula>
    </cfRule>
  </conditionalFormatting>
  <conditionalFormatting sqref="AF48">
    <cfRule type="containsText" dxfId="9561" priority="3281" operator="containsText" text="Pending">
      <formula>NOT(ISERROR(SEARCH("Pending",Z3)))</formula>
    </cfRule>
  </conditionalFormatting>
  <conditionalFormatting sqref="AP9">
    <cfRule type="containsText" dxfId="9560" priority="3282" operator="containsText" text="Pending">
      <formula>NOT(ISERROR(SEARCH("Pending",Z3)))</formula>
    </cfRule>
  </conditionalFormatting>
  <conditionalFormatting sqref="Y28">
    <cfRule type="containsText" dxfId="9559" priority="3283" operator="containsText" text="Pending">
      <formula>NOT(ISERROR(SEARCH("Pending",Z3)))</formula>
    </cfRule>
  </conditionalFormatting>
  <conditionalFormatting sqref="Y31">
    <cfRule type="containsText" dxfId="9558" priority="3284" operator="containsText" text="Pending">
      <formula>NOT(ISERROR(SEARCH("Pending",Z3)))</formula>
    </cfRule>
  </conditionalFormatting>
  <conditionalFormatting sqref="AF12">
    <cfRule type="containsText" dxfId="9557" priority="3285" operator="containsText" text="Pending">
      <formula>NOT(ISERROR(SEARCH("Pending",Z3)))</formula>
    </cfRule>
  </conditionalFormatting>
  <conditionalFormatting sqref="AH12">
    <cfRule type="containsText" dxfId="9556" priority="3286" operator="containsText" text="Pending">
      <formula>NOT(ISERROR(SEARCH("Pending",Z3)))</formula>
    </cfRule>
  </conditionalFormatting>
  <conditionalFormatting sqref="AJ12">
    <cfRule type="containsText" dxfId="9555" priority="3287" operator="containsText" text="Pending">
      <formula>NOT(ISERROR(SEARCH("Pending",Z3)))</formula>
    </cfRule>
  </conditionalFormatting>
  <conditionalFormatting sqref="AL12">
    <cfRule type="containsText" dxfId="9554" priority="3288" operator="containsText" text="Pending">
      <formula>NOT(ISERROR(SEARCH("Pending",Z3)))</formula>
    </cfRule>
  </conditionalFormatting>
  <conditionalFormatting sqref="AN12">
    <cfRule type="containsText" dxfId="9553" priority="3289" operator="containsText" text="Pending">
      <formula>NOT(ISERROR(SEARCH("Pending",Z3)))</formula>
    </cfRule>
  </conditionalFormatting>
  <conditionalFormatting sqref="AP12">
    <cfRule type="containsText" dxfId="9552" priority="3290" operator="containsText" text="Pending">
      <formula>NOT(ISERROR(SEARCH("Pending",Z3)))</formula>
    </cfRule>
  </conditionalFormatting>
  <conditionalFormatting sqref="AR12">
    <cfRule type="containsText" dxfId="9551" priority="3291" operator="containsText" text="Pending">
      <formula>NOT(ISERROR(SEARCH("Pending",Z3)))</formula>
    </cfRule>
  </conditionalFormatting>
  <conditionalFormatting sqref="AT12">
    <cfRule type="containsText" dxfId="9550" priority="3292" operator="containsText" text="Pending">
      <formula>NOT(ISERROR(SEARCH("Pending",Z3)))</formula>
    </cfRule>
  </conditionalFormatting>
  <conditionalFormatting sqref="AV12">
    <cfRule type="containsText" dxfId="9549" priority="3293" operator="containsText" text="Pending">
      <formula>NOT(ISERROR(SEARCH("Pending",Z3)))</formula>
    </cfRule>
  </conditionalFormatting>
  <conditionalFormatting sqref="AX12">
    <cfRule type="containsText" dxfId="9548" priority="3294" operator="containsText" text="Pending">
      <formula>NOT(ISERROR(SEARCH("Pending",Z3)))</formula>
    </cfRule>
  </conditionalFormatting>
  <conditionalFormatting sqref="AH19">
    <cfRule type="containsText" dxfId="9547" priority="3295" operator="containsText" text="Pending">
      <formula>NOT(ISERROR(SEARCH("Pending",Z3)))</formula>
    </cfRule>
  </conditionalFormatting>
  <conditionalFormatting sqref="AH42">
    <cfRule type="containsText" dxfId="9546" priority="3296" operator="containsText" text="Pending">
      <formula>NOT(ISERROR(SEARCH("Pending",Z3)))</formula>
    </cfRule>
  </conditionalFormatting>
  <conditionalFormatting sqref="AI41:AI52">
    <cfRule type="containsText" dxfId="9545" priority="3297" operator="containsText" text="Pending">
      <formula>NOT(ISERROR(SEARCH("Pending",Z3)))</formula>
    </cfRule>
  </conditionalFormatting>
  <conditionalFormatting sqref="AI42">
    <cfRule type="containsText" dxfId="9544" priority="3298" operator="containsText" text="Pending">
      <formula>NOT(ISERROR(SEARCH("Pending",Z3)))</formula>
    </cfRule>
  </conditionalFormatting>
  <conditionalFormatting sqref="AH54">
    <cfRule type="containsText" dxfId="9543" priority="3299" operator="containsText" text="Pending">
      <formula>NOT(ISERROR(SEARCH("Pending",Z3)))</formula>
    </cfRule>
  </conditionalFormatting>
  <conditionalFormatting sqref="AP54">
    <cfRule type="containsText" dxfId="9542" priority="3300" operator="containsText" text="Pending">
      <formula>NOT(ISERROR(SEARCH("Pending",Z3)))</formula>
    </cfRule>
  </conditionalFormatting>
  <conditionalFormatting sqref="Z43">
    <cfRule type="containsText" dxfId="9541" priority="3301" operator="containsText" text="Pending">
      <formula>NOT(ISERROR(SEARCH("Pending",Z3)))</formula>
    </cfRule>
  </conditionalFormatting>
  <conditionalFormatting sqref="AA34">
    <cfRule type="containsText" dxfId="9540" priority="3302" operator="containsText" text="Pending">
      <formula>NOT(ISERROR(SEARCH("Pending",Z3)))</formula>
    </cfRule>
  </conditionalFormatting>
  <conditionalFormatting sqref="AA35">
    <cfRule type="containsText" dxfId="9539" priority="3303" operator="containsText" text="Pending">
      <formula>NOT(ISERROR(SEARCH("Pending",Z3)))</formula>
    </cfRule>
  </conditionalFormatting>
  <conditionalFormatting sqref="AA37">
    <cfRule type="containsText" dxfId="9538" priority="3304" operator="containsText" text="Pending">
      <formula>NOT(ISERROR(SEARCH("Pending",Z3)))</formula>
    </cfRule>
  </conditionalFormatting>
  <conditionalFormatting sqref="AA39">
    <cfRule type="containsText" dxfId="9537" priority="3305" operator="containsText" text="Pending">
      <formula>NOT(ISERROR(SEARCH("Pending",Z3)))</formula>
    </cfRule>
  </conditionalFormatting>
  <conditionalFormatting sqref="Z35">
    <cfRule type="containsText" dxfId="9536" priority="3306" operator="containsText" text="Pending">
      <formula>NOT(ISERROR(SEARCH("Pending",Z3)))</formula>
    </cfRule>
  </conditionalFormatting>
  <conditionalFormatting sqref="Z37">
    <cfRule type="containsText" dxfId="9535" priority="3307" operator="containsText" text="Pending">
      <formula>NOT(ISERROR(SEARCH("Pending",Z3)))</formula>
    </cfRule>
  </conditionalFormatting>
  <conditionalFormatting sqref="AK41">
    <cfRule type="containsText" dxfId="9534" priority="3308" operator="containsText" text="Pending">
      <formula>NOT(ISERROR(SEARCH("Pending",Z3)))</formula>
    </cfRule>
  </conditionalFormatting>
  <conditionalFormatting sqref="AL44:AL52">
    <cfRule type="containsText" dxfId="9533" priority="3309" operator="containsText" text="Pending">
      <formula>NOT(ISERROR(SEARCH("Pending",Z3)))</formula>
    </cfRule>
  </conditionalFormatting>
  <conditionalFormatting sqref="AO42:AO52">
    <cfRule type="containsText" dxfId="9532" priority="3310" operator="containsText" text="Pending">
      <formula>NOT(ISERROR(SEARCH("Pending",Z3)))</formula>
    </cfRule>
  </conditionalFormatting>
  <conditionalFormatting sqref="AK53">
    <cfRule type="containsText" dxfId="9531" priority="3311" operator="containsText" text="Pending">
      <formula>NOT(ISERROR(SEARCH("Pending",Z3)))</formula>
    </cfRule>
  </conditionalFormatting>
  <conditionalFormatting sqref="AS54">
    <cfRule type="containsText" dxfId="9530" priority="3312" operator="containsText" text="Pending">
      <formula>NOT(ISERROR(SEARCH("Pending",Z3)))</formula>
    </cfRule>
  </conditionalFormatting>
  <conditionalFormatting sqref="AV53">
    <cfRule type="containsText" dxfId="9529" priority="3313" operator="containsText" text="Pending">
      <formula>NOT(ISERROR(SEARCH("Pending",Z3)))</formula>
    </cfRule>
  </conditionalFormatting>
  <conditionalFormatting sqref="AQ53">
    <cfRule type="containsText" dxfId="9528" priority="3314" operator="containsText" text="Pending">
      <formula>NOT(ISERROR(SEARCH("Pending",Z3)))</formula>
    </cfRule>
  </conditionalFormatting>
  <conditionalFormatting sqref="AQ55">
    <cfRule type="containsText" dxfId="9527" priority="3315" operator="containsText" text="Pending">
      <formula>NOT(ISERROR(SEARCH("Pending",Z3)))</formula>
    </cfRule>
  </conditionalFormatting>
  <conditionalFormatting sqref="AF24">
    <cfRule type="containsText" dxfId="9526" priority="3316" operator="containsText" text="Pending">
      <formula>NOT(ISERROR(SEARCH("Pending",Z3)))</formula>
    </cfRule>
  </conditionalFormatting>
  <conditionalFormatting sqref="AF27">
    <cfRule type="containsText" dxfId="9525" priority="3317" operator="containsText" text="Pending">
      <formula>NOT(ISERROR(SEARCH("Pending",Z3)))</formula>
    </cfRule>
  </conditionalFormatting>
  <conditionalFormatting sqref="AH26 AI26">
    <cfRule type="containsText" dxfId="9524" priority="3318" operator="containsText" text="Pending">
      <formula>NOT(ISERROR(SEARCH("Pending",Z3)))</formula>
    </cfRule>
  </conditionalFormatting>
  <conditionalFormatting sqref="AI27">
    <cfRule type="containsText" dxfId="9523" priority="3319" operator="containsText" text="Pending">
      <formula>NOT(ISERROR(SEARCH("Pending",Z3)))</formula>
    </cfRule>
  </conditionalFormatting>
  <conditionalFormatting sqref="AL22:AL31">
    <cfRule type="containsText" dxfId="9522" priority="3320" operator="containsText" text="Pending">
      <formula>NOT(ISERROR(SEARCH("Pending",Z3)))</formula>
    </cfRule>
  </conditionalFormatting>
  <conditionalFormatting sqref="AN22:AN31">
    <cfRule type="containsText" dxfId="9521" priority="3321" operator="containsText" text="Pending">
      <formula>NOT(ISERROR(SEARCH("Pending",Z3)))</formula>
    </cfRule>
  </conditionalFormatting>
  <conditionalFormatting sqref="AO22:AO31">
    <cfRule type="containsText" dxfId="9520" priority="3322" operator="containsText" text="Pending">
      <formula>NOT(ISERROR(SEARCH("Pending",Z3)))</formula>
    </cfRule>
  </conditionalFormatting>
  <conditionalFormatting sqref="AP23">
    <cfRule type="containsText" dxfId="9519" priority="3323" operator="containsText" text="Pending">
      <formula>NOT(ISERROR(SEARCH("Pending",Z3)))</formula>
    </cfRule>
  </conditionalFormatting>
  <conditionalFormatting sqref="AP31">
    <cfRule type="containsText" dxfId="9518" priority="3324" operator="containsText" text="Pending">
      <formula>NOT(ISERROR(SEARCH("Pending",Z3)))</formula>
    </cfRule>
  </conditionalFormatting>
  <conditionalFormatting sqref="AP26">
    <cfRule type="containsText" dxfId="9517" priority="3325" operator="containsText" text="Pending">
      <formula>NOT(ISERROR(SEARCH("Pending",Z3)))</formula>
    </cfRule>
  </conditionalFormatting>
  <conditionalFormatting sqref="AQ23">
    <cfRule type="containsText" dxfId="9516" priority="3326" operator="containsText" text="Pending">
      <formula>NOT(ISERROR(SEARCH("Pending",Z3)))</formula>
    </cfRule>
  </conditionalFormatting>
  <conditionalFormatting sqref="AQ25:AQ31">
    <cfRule type="containsText" dxfId="9515" priority="3327" operator="containsText" text="Pending">
      <formula>NOT(ISERROR(SEARCH("Pending",Z3)))</formula>
    </cfRule>
  </conditionalFormatting>
  <conditionalFormatting sqref="AQ31">
    <cfRule type="containsText" dxfId="9514" priority="3328" operator="containsText" text="Pending">
      <formula>NOT(ISERROR(SEARCH("Pending",Z3)))</formula>
    </cfRule>
  </conditionalFormatting>
  <conditionalFormatting sqref="AR22:AR31">
    <cfRule type="containsText" dxfId="9513" priority="3329" operator="containsText" text="Pending">
      <formula>NOT(ISERROR(SEARCH("Pending",Z3)))</formula>
    </cfRule>
  </conditionalFormatting>
  <conditionalFormatting sqref="AR23">
    <cfRule type="containsText" dxfId="9512" priority="3330" operator="containsText" text="Pending">
      <formula>NOT(ISERROR(SEARCH("Pending",Z3)))</formula>
    </cfRule>
  </conditionalFormatting>
  <conditionalFormatting sqref="AR25:AR31">
    <cfRule type="containsText" dxfId="9511" priority="3331" operator="containsText" text="Pending">
      <formula>NOT(ISERROR(SEARCH("Pending",Z3)))</formula>
    </cfRule>
  </conditionalFormatting>
  <conditionalFormatting sqref="AR31">
    <cfRule type="containsText" dxfId="9510" priority="3332" operator="containsText" text="Pending">
      <formula>NOT(ISERROR(SEARCH("Pending",Z3)))</formula>
    </cfRule>
  </conditionalFormatting>
  <conditionalFormatting sqref="AS24 AT24">
    <cfRule type="containsText" dxfId="9509" priority="3333" operator="containsText" text="Pending">
      <formula>NOT(ISERROR(SEARCH("Pending",Z3)))</formula>
    </cfRule>
  </conditionalFormatting>
  <conditionalFormatting sqref="AS25">
    <cfRule type="containsText" dxfId="9508" priority="3334" operator="containsText" text="Pending">
      <formula>NOT(ISERROR(SEARCH("Pending",Z3)))</formula>
    </cfRule>
  </conditionalFormatting>
  <conditionalFormatting sqref="AS27">
    <cfRule type="containsText" dxfId="9507" priority="3335" operator="containsText" text="Pending">
      <formula>NOT(ISERROR(SEARCH("Pending",Z3)))</formula>
    </cfRule>
  </conditionalFormatting>
  <conditionalFormatting sqref="AW22">
    <cfRule type="containsText" dxfId="9506" priority="3336" operator="containsText" text="Pending">
      <formula>NOT(ISERROR(SEARCH("Pending",Z3)))</formula>
    </cfRule>
  </conditionalFormatting>
  <conditionalFormatting sqref="AW25">
    <cfRule type="containsText" dxfId="9505" priority="3337" operator="containsText" text="Pending">
      <formula>NOT(ISERROR(SEARCH("Pending",Z3)))</formula>
    </cfRule>
  </conditionalFormatting>
  <conditionalFormatting sqref="AX27">
    <cfRule type="containsText" dxfId="9504" priority="3338" operator="containsText" text="Pending">
      <formula>NOT(ISERROR(SEARCH("Pending",Z3)))</formula>
    </cfRule>
  </conditionalFormatting>
  <conditionalFormatting sqref="AQ56">
    <cfRule type="containsText" dxfId="9503" priority="3339" operator="containsText" text="Pending">
      <formula>NOT(ISERROR(SEARCH("Pending",Z3)))</formula>
    </cfRule>
  </conditionalFormatting>
  <conditionalFormatting sqref="AR55">
    <cfRule type="containsText" dxfId="9502" priority="3340" operator="containsText" text="Pending">
      <formula>NOT(ISERROR(SEARCH("Pending",Z3)))</formula>
    </cfRule>
  </conditionalFormatting>
  <conditionalFormatting sqref="AR56">
    <cfRule type="containsText" dxfId="9501" priority="3341" operator="containsText" text="Pending">
      <formula>NOT(ISERROR(SEARCH("Pending",Z3)))</formula>
    </cfRule>
  </conditionalFormatting>
  <conditionalFormatting sqref="AM24">
    <cfRule type="containsText" dxfId="9500" priority="3342" operator="containsText" text="Pending">
      <formula>NOT(ISERROR(SEARCH("Pending",Z3)))</formula>
    </cfRule>
  </conditionalFormatting>
  <conditionalFormatting sqref="AG25">
    <cfRule type="containsText" dxfId="9499" priority="3343" operator="containsText" text="Pending">
      <formula>NOT(ISERROR(SEARCH("Pending",Z3)))</formula>
    </cfRule>
  </conditionalFormatting>
  <conditionalFormatting sqref="AW41:AW52">
    <cfRule type="containsText" dxfId="9498" priority="3344" operator="containsText" text="Pending">
      <formula>NOT(ISERROR(SEARCH("Pending",Z3)))</formula>
    </cfRule>
  </conditionalFormatting>
  <conditionalFormatting sqref="AE42 AF42">
    <cfRule type="containsText" dxfId="9497" priority="3345" operator="containsText" text="Pending">
      <formula>NOT(ISERROR(SEARCH("Pending",Z3)))</formula>
    </cfRule>
  </conditionalFormatting>
  <conditionalFormatting sqref="AF47">
    <cfRule type="containsText" dxfId="9496" priority="3346" operator="containsText" text="Pending">
      <formula>NOT(ISERROR(SEARCH("Pending",Z3)))</formula>
    </cfRule>
  </conditionalFormatting>
  <conditionalFormatting sqref="AF49">
    <cfRule type="containsText" dxfId="9495" priority="3347" operator="containsText" text="Pending">
      <formula>NOT(ISERROR(SEARCH("Pending",Z3)))</formula>
    </cfRule>
  </conditionalFormatting>
  <conditionalFormatting sqref="AF43">
    <cfRule type="containsText" dxfId="9494" priority="3348" operator="containsText" text="Pending">
      <formula>NOT(ISERROR(SEARCH("Pending",Z3)))</formula>
    </cfRule>
  </conditionalFormatting>
  <conditionalFormatting sqref="AS44">
    <cfRule type="containsText" dxfId="9493" priority="3349" operator="containsText" text="Pending">
      <formula>NOT(ISERROR(SEARCH("Pending",Z3)))</formula>
    </cfRule>
  </conditionalFormatting>
  <conditionalFormatting sqref="AS47">
    <cfRule type="containsText" dxfId="9492" priority="3350" operator="containsText" text="Pending">
      <formula>NOT(ISERROR(SEARCH("Pending",Z3)))</formula>
    </cfRule>
  </conditionalFormatting>
  <conditionalFormatting sqref="AS49">
    <cfRule type="containsText" dxfId="9491" priority="3351" operator="containsText" text="Pending">
      <formula>NOT(ISERROR(SEARCH("Pending",Z3)))</formula>
    </cfRule>
  </conditionalFormatting>
  <conditionalFormatting sqref="AS51">
    <cfRule type="containsText" dxfId="9490" priority="3352" operator="containsText" text="Pending">
      <formula>NOT(ISERROR(SEARCH("Pending",Z3)))</formula>
    </cfRule>
  </conditionalFormatting>
  <conditionalFormatting sqref="AT42:AT43">
    <cfRule type="containsText" dxfId="9489" priority="3353" operator="containsText" text="Pending">
      <formula>NOT(ISERROR(SEARCH("Pending",Z3)))</formula>
    </cfRule>
  </conditionalFormatting>
  <conditionalFormatting sqref="AT41">
    <cfRule type="containsText" dxfId="9488" priority="3354" operator="containsText" text="Pending">
      <formula>NOT(ISERROR(SEARCH("Pending",Z3)))</formula>
    </cfRule>
  </conditionalFormatting>
  <conditionalFormatting sqref="AT46">
    <cfRule type="containsText" dxfId="9487" priority="3355" operator="containsText" text="Pending">
      <formula>NOT(ISERROR(SEARCH("Pending",Z3)))</formula>
    </cfRule>
  </conditionalFormatting>
  <conditionalFormatting sqref="AT48">
    <cfRule type="containsText" dxfId="9486" priority="3356" operator="containsText" text="Pending">
      <formula>NOT(ISERROR(SEARCH("Pending",Z3)))</formula>
    </cfRule>
  </conditionalFormatting>
  <conditionalFormatting sqref="AT50">
    <cfRule type="containsText" dxfId="9485" priority="3357" operator="containsText" text="Pending">
      <formula>NOT(ISERROR(SEARCH("Pending",Z3)))</formula>
    </cfRule>
  </conditionalFormatting>
  <conditionalFormatting sqref="AT52">
    <cfRule type="containsText" dxfId="9484" priority="3358" operator="containsText" text="Pending">
      <formula>NOT(ISERROR(SEARCH("Pending",Z3)))</formula>
    </cfRule>
  </conditionalFormatting>
  <conditionalFormatting sqref="AW32:AW40">
    <cfRule type="containsText" dxfId="9483" priority="3359" operator="containsText" text="Pending">
      <formula>NOT(ISERROR(SEARCH("Pending",Z3)))</formula>
    </cfRule>
  </conditionalFormatting>
  <conditionalFormatting sqref="AH33 AI33 AJ33 AK33 AL33 AM33 AN33 AO33 AP33 AQ33 AR33">
    <cfRule type="containsText" dxfId="9482" priority="3360" operator="containsText" text="Pending">
      <formula>NOT(ISERROR(SEARCH("Pending",Z3)))</formula>
    </cfRule>
  </conditionalFormatting>
  <conditionalFormatting sqref="AN35:AN36 AO35:AO36">
    <cfRule type="containsText" dxfId="9481" priority="3361" operator="containsText" text="Pending">
      <formula>NOT(ISERROR(SEARCH("Pending",Z3)))</formula>
    </cfRule>
  </conditionalFormatting>
  <conditionalFormatting sqref="AV31">
    <cfRule type="containsText" dxfId="9480" priority="3362" operator="containsText" text="Pending">
      <formula>NOT(ISERROR(SEARCH("Pending",Z3)))</formula>
    </cfRule>
  </conditionalFormatting>
  <conditionalFormatting sqref="AW31">
    <cfRule type="containsText" dxfId="9479" priority="3363" operator="containsText" text="Pending">
      <formula>NOT(ISERROR(SEARCH("Pending",Z3)))</formula>
    </cfRule>
  </conditionalFormatting>
  <conditionalFormatting sqref="AX31">
    <cfRule type="containsText" dxfId="9478" priority="3364" operator="containsText" text="Pending">
      <formula>NOT(ISERROR(SEARCH("Pending",Z3)))</formula>
    </cfRule>
  </conditionalFormatting>
  <conditionalFormatting sqref="AT23:AT24">
    <cfRule type="containsText" dxfId="9477" priority="3365" operator="containsText" text="Pending">
      <formula>NOT(ISERROR(SEARCH("Pending",Z3)))</formula>
    </cfRule>
  </conditionalFormatting>
  <conditionalFormatting sqref="AU23:AU24">
    <cfRule type="containsText" dxfId="9476" priority="3366" operator="containsText" text="Pending">
      <formula>NOT(ISERROR(SEARCH("Pending",Z3)))</formula>
    </cfRule>
  </conditionalFormatting>
  <conditionalFormatting sqref="AV23:AV24">
    <cfRule type="containsText" dxfId="9475" priority="3367" operator="containsText" text="Pending">
      <formula>NOT(ISERROR(SEARCH("Pending",Z3)))</formula>
    </cfRule>
  </conditionalFormatting>
  <conditionalFormatting sqref="AW23:AW24">
    <cfRule type="containsText" dxfId="9474" priority="3368" operator="containsText" text="Pending">
      <formula>NOT(ISERROR(SEARCH("Pending",Z3)))</formula>
    </cfRule>
  </conditionalFormatting>
  <conditionalFormatting sqref="AX23:AX24">
    <cfRule type="containsText" dxfId="9473" priority="3369" operator="containsText" text="Pending">
      <formula>NOT(ISERROR(SEARCH("Pending",Z3)))</formula>
    </cfRule>
  </conditionalFormatting>
  <conditionalFormatting sqref="Y3:Y15 Y17:Y37 Y39:Y40">
    <cfRule type="containsText" dxfId="9472" priority="4" operator="containsText" text="NA">
      <formula>NOT(ISERROR(SEARCH("NA",Z3)))</formula>
    </cfRule>
  </conditionalFormatting>
  <conditionalFormatting sqref="Z56">
    <cfRule type="containsText" dxfId="9471" priority="3370" operator="containsText" text="NA">
      <formula>NOT(ISERROR(SEARCH("NA",Z3)))</formula>
    </cfRule>
  </conditionalFormatting>
  <conditionalFormatting sqref="AA56">
    <cfRule type="containsText" dxfId="9470" priority="3371" operator="containsText" text="NA">
      <formula>NOT(ISERROR(SEARCH("NA",Z3)))</formula>
    </cfRule>
  </conditionalFormatting>
  <conditionalFormatting sqref="AC56 AD56 AF56 AG56 AM56 AN56 AO56 AY56">
    <cfRule type="containsText" dxfId="9469" priority="3372" operator="containsText" text="NA">
      <formula>NOT(ISERROR(SEARCH("NA",Z3)))</formula>
    </cfRule>
  </conditionalFormatting>
  <conditionalFormatting sqref="AE4 AF4">
    <cfRule type="containsText" dxfId="9468" priority="3373" operator="containsText" text="NA">
      <formula>NOT(ISERROR(SEARCH("NA",Z3)))</formula>
    </cfRule>
  </conditionalFormatting>
  <conditionalFormatting sqref="AH5 AI5">
    <cfRule type="containsText" dxfId="9467" priority="3374" operator="containsText" text="NA">
      <formula>NOT(ISERROR(SEARCH("NA",Z3)))</formula>
    </cfRule>
  </conditionalFormatting>
  <conditionalFormatting sqref="Y6">
    <cfRule type="containsText" dxfId="9466" priority="3375" operator="containsText" text="NA">
      <formula>NOT(ISERROR(SEARCH("NA",Z3)))</formula>
    </cfRule>
  </conditionalFormatting>
  <conditionalFormatting sqref="Y3">
    <cfRule type="containsText" dxfId="9465" priority="3376" operator="containsText" text="NA">
      <formula>NOT(ISERROR(SEARCH("NA",Z3)))</formula>
    </cfRule>
  </conditionalFormatting>
  <conditionalFormatting sqref="AD7">
    <cfRule type="containsText" dxfId="9464" priority="3377" operator="containsText" text="NA">
      <formula>NOT(ISERROR(SEARCH("NA",Z3)))</formula>
    </cfRule>
  </conditionalFormatting>
  <conditionalFormatting sqref="AD3">
    <cfRule type="containsText" dxfId="9463" priority="3378" operator="containsText" text="NA">
      <formula>NOT(ISERROR(SEARCH("NA",Z3)))</formula>
    </cfRule>
  </conditionalFormatting>
  <conditionalFormatting sqref="AS3 AT3 AU3 AV3 AW3 AX3">
    <cfRule type="containsText" dxfId="9462" priority="3379" operator="containsText" text="NA">
      <formula>NOT(ISERROR(SEARCH("NA",Z3)))</formula>
    </cfRule>
  </conditionalFormatting>
  <conditionalFormatting sqref="AD24">
    <cfRule type="containsText" dxfId="9461" priority="3380" operator="containsText" text="NA">
      <formula>NOT(ISERROR(SEARCH("NA",Z3)))</formula>
    </cfRule>
  </conditionalFormatting>
  <conditionalFormatting sqref="AD29">
    <cfRule type="containsText" dxfId="9460" priority="3381" operator="containsText" text="NA">
      <formula>NOT(ISERROR(SEARCH("NA",Z3)))</formula>
    </cfRule>
  </conditionalFormatting>
  <conditionalFormatting sqref="AC31">
    <cfRule type="containsText" dxfId="9459" priority="3382" operator="containsText" text="NA">
      <formula>NOT(ISERROR(SEARCH("NA",Z3)))</formula>
    </cfRule>
  </conditionalFormatting>
  <conditionalFormatting sqref="AC14:AC15">
    <cfRule type="containsText" dxfId="9458" priority="3383" operator="containsText" text="NA">
      <formula>NOT(ISERROR(SEARCH("NA",Z3)))</formula>
    </cfRule>
  </conditionalFormatting>
  <conditionalFormatting sqref="Z23">
    <cfRule type="containsText" dxfId="9457" priority="3384" operator="containsText" text="NA">
      <formula>NOT(ISERROR(SEARCH("NA",Z3)))</formula>
    </cfRule>
  </conditionalFormatting>
  <conditionalFormatting sqref="Z26">
    <cfRule type="containsText" dxfId="9456" priority="3385" operator="containsText" text="NA">
      <formula>NOT(ISERROR(SEARCH("NA",Z3)))</formula>
    </cfRule>
  </conditionalFormatting>
  <conditionalFormatting sqref="AA22">
    <cfRule type="containsText" dxfId="9455" priority="3386" operator="containsText" text="NA">
      <formula>NOT(ISERROR(SEARCH("NA",Z3)))</formula>
    </cfRule>
  </conditionalFormatting>
  <conditionalFormatting sqref="AA24">
    <cfRule type="containsText" dxfId="9454" priority="3387" operator="containsText" text="NA">
      <formula>NOT(ISERROR(SEARCH("NA",Z3)))</formula>
    </cfRule>
  </conditionalFormatting>
  <conditionalFormatting sqref="AA31">
    <cfRule type="containsText" dxfId="9453" priority="3388" operator="containsText" text="NA">
      <formula>NOT(ISERROR(SEARCH("NA",Z3)))</formula>
    </cfRule>
  </conditionalFormatting>
  <conditionalFormatting sqref="AJ11">
    <cfRule type="containsText" dxfId="9452" priority="3389" operator="containsText" text="NA">
      <formula>NOT(ISERROR(SEARCH("NA",Z3)))</formula>
    </cfRule>
  </conditionalFormatting>
  <conditionalFormatting sqref="AH13">
    <cfRule type="containsText" dxfId="9451" priority="3390" operator="containsText" text="NA">
      <formula>NOT(ISERROR(SEARCH("NA",Z3)))</formula>
    </cfRule>
  </conditionalFormatting>
  <conditionalFormatting sqref="AH17">
    <cfRule type="containsText" dxfId="9450" priority="3391" operator="containsText" text="NA">
      <formula>NOT(ISERROR(SEARCH("NA",Z3)))</formula>
    </cfRule>
  </conditionalFormatting>
  <conditionalFormatting sqref="AM49">
    <cfRule type="containsText" dxfId="9449" priority="3392" operator="containsText" text="NA">
      <formula>NOT(ISERROR(SEARCH("NA",Z3)))</formula>
    </cfRule>
  </conditionalFormatting>
  <conditionalFormatting sqref="AM50">
    <cfRule type="containsText" dxfId="9448" priority="3393" operator="containsText" text="NA">
      <formula>NOT(ISERROR(SEARCH("NA",Z3)))</formula>
    </cfRule>
  </conditionalFormatting>
  <conditionalFormatting sqref="AM51">
    <cfRule type="containsText" dxfId="9447" priority="3394" operator="containsText" text="NA">
      <formula>NOT(ISERROR(SEARCH("NA",Z3)))</formula>
    </cfRule>
  </conditionalFormatting>
  <conditionalFormatting sqref="AA49:AA50">
    <cfRule type="containsText" dxfId="9446" priority="3395" operator="containsText" text="NA">
      <formula>NOT(ISERROR(SEARCH("NA",Z3)))</formula>
    </cfRule>
  </conditionalFormatting>
  <conditionalFormatting sqref="Z49:Z50">
    <cfRule type="containsText" dxfId="9445" priority="3396" operator="containsText" text="NA">
      <formula>NOT(ISERROR(SEARCH("NA",Z3)))</formula>
    </cfRule>
  </conditionalFormatting>
  <conditionalFormatting sqref="AT14">
    <cfRule type="containsText" dxfId="9444" priority="3397" operator="containsText" text="NA">
      <formula>NOT(ISERROR(SEARCH("NA",Z3)))</formula>
    </cfRule>
  </conditionalFormatting>
  <conditionalFormatting sqref="AV14">
    <cfRule type="containsText" dxfId="9443" priority="3398" operator="containsText" text="NA">
      <formula>NOT(ISERROR(SEARCH("NA",Z3)))</formula>
    </cfRule>
  </conditionalFormatting>
  <conditionalFormatting sqref="AX14">
    <cfRule type="containsText" dxfId="9442" priority="3399" operator="containsText" text="NA">
      <formula>NOT(ISERROR(SEARCH("NA",Z3)))</formula>
    </cfRule>
  </conditionalFormatting>
  <conditionalFormatting sqref="Z10">
    <cfRule type="containsText" dxfId="9441" priority="3400" operator="containsText" text="NA">
      <formula>NOT(ISERROR(SEARCH("NA",Z3)))</formula>
    </cfRule>
  </conditionalFormatting>
  <conditionalFormatting sqref="Y12">
    <cfRule type="containsText" dxfId="9440" priority="3401" operator="containsText" text="NA">
      <formula>NOT(ISERROR(SEARCH("NA",Z3)))</formula>
    </cfRule>
  </conditionalFormatting>
  <conditionalFormatting sqref="AA12">
    <cfRule type="containsText" dxfId="9439" priority="3402" operator="containsText" text="NA">
      <formula>NOT(ISERROR(SEARCH("NA",Z3)))</formula>
    </cfRule>
  </conditionalFormatting>
  <conditionalFormatting sqref="Z18">
    <cfRule type="containsText" dxfId="9438" priority="3403" operator="containsText" text="NA">
      <formula>NOT(ISERROR(SEARCH("NA",Z3)))</formula>
    </cfRule>
  </conditionalFormatting>
  <conditionalFormatting sqref="Z19">
    <cfRule type="containsText" dxfId="9437" priority="3404" operator="containsText" text="NA">
      <formula>NOT(ISERROR(SEARCH("NA",Z3)))</formula>
    </cfRule>
  </conditionalFormatting>
  <conditionalFormatting sqref="AB19">
    <cfRule type="containsText" dxfId="9436" priority="3405" operator="containsText" text="NA">
      <formula>NOT(ISERROR(SEARCH("NA",Z3)))</formula>
    </cfRule>
  </conditionalFormatting>
  <conditionalFormatting sqref="AA20">
    <cfRule type="containsText" dxfId="9435" priority="3406" operator="containsText" text="NA">
      <formula>NOT(ISERROR(SEARCH("NA",Z3)))</formula>
    </cfRule>
  </conditionalFormatting>
  <conditionalFormatting sqref="AE43">
    <cfRule type="containsText" dxfId="9434" priority="3407" operator="containsText" text="NA">
      <formula>NOT(ISERROR(SEARCH("NA",Z3)))</formula>
    </cfRule>
  </conditionalFormatting>
  <conditionalFormatting sqref="AE45">
    <cfRule type="containsText" dxfId="9433" priority="3408" operator="containsText" text="NA">
      <formula>NOT(ISERROR(SEARCH("NA",Z3)))</formula>
    </cfRule>
  </conditionalFormatting>
  <conditionalFormatting sqref="AE47">
    <cfRule type="containsText" dxfId="9432" priority="3409" operator="containsText" text="NA">
      <formula>NOT(ISERROR(SEARCH("NA",Z3)))</formula>
    </cfRule>
  </conditionalFormatting>
  <conditionalFormatting sqref="AF44">
    <cfRule type="containsText" dxfId="9431" priority="3410" operator="containsText" text="NA">
      <formula>NOT(ISERROR(SEARCH("NA",Z3)))</formula>
    </cfRule>
  </conditionalFormatting>
  <conditionalFormatting sqref="AF48">
    <cfRule type="containsText" dxfId="9430" priority="3411" operator="containsText" text="NA">
      <formula>NOT(ISERROR(SEARCH("NA",Z3)))</formula>
    </cfRule>
  </conditionalFormatting>
  <conditionalFormatting sqref="AF48">
    <cfRule type="containsText" dxfId="9429" priority="3412" operator="containsText" text="NA">
      <formula>NOT(ISERROR(SEARCH("NA",Z3)))</formula>
    </cfRule>
  </conditionalFormatting>
  <conditionalFormatting sqref="AP9">
    <cfRule type="containsText" dxfId="9428" priority="3413" operator="containsText" text="NA">
      <formula>NOT(ISERROR(SEARCH("NA",Z3)))</formula>
    </cfRule>
  </conditionalFormatting>
  <conditionalFormatting sqref="Y28">
    <cfRule type="containsText" dxfId="9427" priority="3414" operator="containsText" text="NA">
      <formula>NOT(ISERROR(SEARCH("NA",Z3)))</formula>
    </cfRule>
  </conditionalFormatting>
  <conditionalFormatting sqref="Y31">
    <cfRule type="containsText" dxfId="9426" priority="3415" operator="containsText" text="NA">
      <formula>NOT(ISERROR(SEARCH("NA",Z3)))</formula>
    </cfRule>
  </conditionalFormatting>
  <conditionalFormatting sqref="AF12">
    <cfRule type="containsText" dxfId="9425" priority="3416" operator="containsText" text="NA">
      <formula>NOT(ISERROR(SEARCH("NA",Z3)))</formula>
    </cfRule>
  </conditionalFormatting>
  <conditionalFormatting sqref="AH12">
    <cfRule type="containsText" dxfId="9424" priority="3417" operator="containsText" text="NA">
      <formula>NOT(ISERROR(SEARCH("NA",Z3)))</formula>
    </cfRule>
  </conditionalFormatting>
  <conditionalFormatting sqref="AJ12">
    <cfRule type="containsText" dxfId="9423" priority="3418" operator="containsText" text="NA">
      <formula>NOT(ISERROR(SEARCH("NA",Z3)))</formula>
    </cfRule>
  </conditionalFormatting>
  <conditionalFormatting sqref="AL12">
    <cfRule type="containsText" dxfId="9422" priority="3419" operator="containsText" text="NA">
      <formula>NOT(ISERROR(SEARCH("NA",Z3)))</formula>
    </cfRule>
  </conditionalFormatting>
  <conditionalFormatting sqref="AN12">
    <cfRule type="containsText" dxfId="9421" priority="3420" operator="containsText" text="NA">
      <formula>NOT(ISERROR(SEARCH("NA",Z3)))</formula>
    </cfRule>
  </conditionalFormatting>
  <conditionalFormatting sqref="AP12">
    <cfRule type="containsText" dxfId="9420" priority="3421" operator="containsText" text="NA">
      <formula>NOT(ISERROR(SEARCH("NA",Z3)))</formula>
    </cfRule>
  </conditionalFormatting>
  <conditionalFormatting sqref="AR12">
    <cfRule type="containsText" dxfId="9419" priority="3422" operator="containsText" text="NA">
      <formula>NOT(ISERROR(SEARCH("NA",Z3)))</formula>
    </cfRule>
  </conditionalFormatting>
  <conditionalFormatting sqref="AT12">
    <cfRule type="containsText" dxfId="9418" priority="3423" operator="containsText" text="NA">
      <formula>NOT(ISERROR(SEARCH("NA",Z3)))</formula>
    </cfRule>
  </conditionalFormatting>
  <conditionalFormatting sqref="AV12">
    <cfRule type="containsText" dxfId="9417" priority="3424" operator="containsText" text="NA">
      <formula>NOT(ISERROR(SEARCH("NA",Z3)))</formula>
    </cfRule>
  </conditionalFormatting>
  <conditionalFormatting sqref="AX12">
    <cfRule type="containsText" dxfId="9416" priority="3425" operator="containsText" text="NA">
      <formula>NOT(ISERROR(SEARCH("NA",Z3)))</formula>
    </cfRule>
  </conditionalFormatting>
  <conditionalFormatting sqref="AH19">
    <cfRule type="containsText" dxfId="9415" priority="3426" operator="containsText" text="NA">
      <formula>NOT(ISERROR(SEARCH("NA",Z3)))</formula>
    </cfRule>
  </conditionalFormatting>
  <conditionalFormatting sqref="AH42">
    <cfRule type="containsText" dxfId="9414" priority="3427" operator="containsText" text="NA">
      <formula>NOT(ISERROR(SEARCH("NA",Z3)))</formula>
    </cfRule>
  </conditionalFormatting>
  <conditionalFormatting sqref="AI41:AI52">
    <cfRule type="containsText" dxfId="9413" priority="3428" operator="containsText" text="NA">
      <formula>NOT(ISERROR(SEARCH("NA",Z3)))</formula>
    </cfRule>
  </conditionalFormatting>
  <conditionalFormatting sqref="AI42">
    <cfRule type="containsText" dxfId="9412" priority="3429" operator="containsText" text="NA">
      <formula>NOT(ISERROR(SEARCH("NA",Z3)))</formula>
    </cfRule>
  </conditionalFormatting>
  <conditionalFormatting sqref="AH54">
    <cfRule type="containsText" dxfId="9411" priority="3430" operator="containsText" text="NA">
      <formula>NOT(ISERROR(SEARCH("NA",Z3)))</formula>
    </cfRule>
  </conditionalFormatting>
  <conditionalFormatting sqref="AP54">
    <cfRule type="containsText" dxfId="9410" priority="3431" operator="containsText" text="NA">
      <formula>NOT(ISERROR(SEARCH("NA",Z3)))</formula>
    </cfRule>
  </conditionalFormatting>
  <conditionalFormatting sqref="Z43">
    <cfRule type="containsText" dxfId="9409" priority="3432" operator="containsText" text="NA">
      <formula>NOT(ISERROR(SEARCH("NA",Z3)))</formula>
    </cfRule>
  </conditionalFormatting>
  <conditionalFormatting sqref="AA34">
    <cfRule type="containsText" dxfId="9408" priority="3433" operator="containsText" text="NA">
      <formula>NOT(ISERROR(SEARCH("NA",Z3)))</formula>
    </cfRule>
  </conditionalFormatting>
  <conditionalFormatting sqref="AA35">
    <cfRule type="containsText" dxfId="9407" priority="3434" operator="containsText" text="NA">
      <formula>NOT(ISERROR(SEARCH("NA",Z3)))</formula>
    </cfRule>
  </conditionalFormatting>
  <conditionalFormatting sqref="AA37">
    <cfRule type="containsText" dxfId="9406" priority="3435" operator="containsText" text="NA">
      <formula>NOT(ISERROR(SEARCH("NA",Z3)))</formula>
    </cfRule>
  </conditionalFormatting>
  <conditionalFormatting sqref="AA39">
    <cfRule type="containsText" dxfId="9405" priority="3436" operator="containsText" text="NA">
      <formula>NOT(ISERROR(SEARCH("NA",Z3)))</formula>
    </cfRule>
  </conditionalFormatting>
  <conditionalFormatting sqref="Z35">
    <cfRule type="containsText" dxfId="9404" priority="3437" operator="containsText" text="NA">
      <formula>NOT(ISERROR(SEARCH("NA",Z3)))</formula>
    </cfRule>
  </conditionalFormatting>
  <conditionalFormatting sqref="Z37">
    <cfRule type="containsText" dxfId="9403" priority="3438" operator="containsText" text="NA">
      <formula>NOT(ISERROR(SEARCH("NA",Z3)))</formula>
    </cfRule>
  </conditionalFormatting>
  <conditionalFormatting sqref="AK41">
    <cfRule type="containsText" dxfId="9402" priority="3439" operator="containsText" text="NA">
      <formula>NOT(ISERROR(SEARCH("NA",Z3)))</formula>
    </cfRule>
  </conditionalFormatting>
  <conditionalFormatting sqref="AL44:AL52">
    <cfRule type="containsText" dxfId="9401" priority="3440" operator="containsText" text="NA">
      <formula>NOT(ISERROR(SEARCH("NA",Z3)))</formula>
    </cfRule>
  </conditionalFormatting>
  <conditionalFormatting sqref="AO42:AO52">
    <cfRule type="containsText" dxfId="9400" priority="3441" operator="containsText" text="NA">
      <formula>NOT(ISERROR(SEARCH("NA",Z3)))</formula>
    </cfRule>
  </conditionalFormatting>
  <conditionalFormatting sqref="AK53">
    <cfRule type="containsText" dxfId="9399" priority="3442" operator="containsText" text="NA">
      <formula>NOT(ISERROR(SEARCH("NA",Z3)))</formula>
    </cfRule>
  </conditionalFormatting>
  <conditionalFormatting sqref="AS54">
    <cfRule type="containsText" dxfId="9398" priority="3443" operator="containsText" text="NA">
      <formula>NOT(ISERROR(SEARCH("NA",Z3)))</formula>
    </cfRule>
  </conditionalFormatting>
  <conditionalFormatting sqref="AV53">
    <cfRule type="containsText" dxfId="9397" priority="3444" operator="containsText" text="NA">
      <formula>NOT(ISERROR(SEARCH("NA",Z3)))</formula>
    </cfRule>
  </conditionalFormatting>
  <conditionalFormatting sqref="AQ53">
    <cfRule type="containsText" dxfId="9396" priority="3445" operator="containsText" text="NA">
      <formula>NOT(ISERROR(SEARCH("NA",Z3)))</formula>
    </cfRule>
  </conditionalFormatting>
  <conditionalFormatting sqref="AQ55">
    <cfRule type="containsText" dxfId="9395" priority="3446" operator="containsText" text="NA">
      <formula>NOT(ISERROR(SEARCH("NA",Z3)))</formula>
    </cfRule>
  </conditionalFormatting>
  <conditionalFormatting sqref="AF24">
    <cfRule type="containsText" dxfId="9394" priority="3447" operator="containsText" text="NA">
      <formula>NOT(ISERROR(SEARCH("NA",Z3)))</formula>
    </cfRule>
  </conditionalFormatting>
  <conditionalFormatting sqref="AF27">
    <cfRule type="containsText" dxfId="9393" priority="3448" operator="containsText" text="NA">
      <formula>NOT(ISERROR(SEARCH("NA",Z3)))</formula>
    </cfRule>
  </conditionalFormatting>
  <conditionalFormatting sqref="AH26 AI26">
    <cfRule type="containsText" dxfId="9392" priority="3449" operator="containsText" text="NA">
      <formula>NOT(ISERROR(SEARCH("NA",Z3)))</formula>
    </cfRule>
  </conditionalFormatting>
  <conditionalFormatting sqref="AI27">
    <cfRule type="containsText" dxfId="9391" priority="3450" operator="containsText" text="NA">
      <formula>NOT(ISERROR(SEARCH("NA",Z3)))</formula>
    </cfRule>
  </conditionalFormatting>
  <conditionalFormatting sqref="AL22:AL31">
    <cfRule type="containsText" dxfId="9390" priority="3451" operator="containsText" text="NA">
      <formula>NOT(ISERROR(SEARCH("NA",Z3)))</formula>
    </cfRule>
  </conditionalFormatting>
  <conditionalFormatting sqref="AN22:AN31">
    <cfRule type="containsText" dxfId="9389" priority="3452" operator="containsText" text="NA">
      <formula>NOT(ISERROR(SEARCH("NA",Z3)))</formula>
    </cfRule>
  </conditionalFormatting>
  <conditionalFormatting sqref="AO22:AO31">
    <cfRule type="containsText" dxfId="9388" priority="3453" operator="containsText" text="NA">
      <formula>NOT(ISERROR(SEARCH("NA",Z3)))</formula>
    </cfRule>
  </conditionalFormatting>
  <conditionalFormatting sqref="AP23">
    <cfRule type="containsText" dxfId="9387" priority="3454" operator="containsText" text="NA">
      <formula>NOT(ISERROR(SEARCH("NA",Z3)))</formula>
    </cfRule>
  </conditionalFormatting>
  <conditionalFormatting sqref="AP31">
    <cfRule type="containsText" dxfId="9386" priority="3455" operator="containsText" text="NA">
      <formula>NOT(ISERROR(SEARCH("NA",Z3)))</formula>
    </cfRule>
  </conditionalFormatting>
  <conditionalFormatting sqref="AP26">
    <cfRule type="containsText" dxfId="9385" priority="3456" operator="containsText" text="NA">
      <formula>NOT(ISERROR(SEARCH("NA",Z3)))</formula>
    </cfRule>
  </conditionalFormatting>
  <conditionalFormatting sqref="AQ23">
    <cfRule type="containsText" dxfId="9384" priority="3457" operator="containsText" text="NA">
      <formula>NOT(ISERROR(SEARCH("NA",Z3)))</formula>
    </cfRule>
  </conditionalFormatting>
  <conditionalFormatting sqref="AQ25:AQ31">
    <cfRule type="containsText" dxfId="9383" priority="3458" operator="containsText" text="NA">
      <formula>NOT(ISERROR(SEARCH("NA",Z3)))</formula>
    </cfRule>
  </conditionalFormatting>
  <conditionalFormatting sqref="AQ31">
    <cfRule type="containsText" dxfId="9382" priority="3459" operator="containsText" text="NA">
      <formula>NOT(ISERROR(SEARCH("NA",Z3)))</formula>
    </cfRule>
  </conditionalFormatting>
  <conditionalFormatting sqref="AR22:AR31">
    <cfRule type="containsText" dxfId="9381" priority="3460" operator="containsText" text="NA">
      <formula>NOT(ISERROR(SEARCH("NA",Z3)))</formula>
    </cfRule>
  </conditionalFormatting>
  <conditionalFormatting sqref="AR23">
    <cfRule type="containsText" dxfId="9380" priority="3461" operator="containsText" text="NA">
      <formula>NOT(ISERROR(SEARCH("NA",Z3)))</formula>
    </cfRule>
  </conditionalFormatting>
  <conditionalFormatting sqref="AR25:AR31">
    <cfRule type="containsText" dxfId="9379" priority="3462" operator="containsText" text="NA">
      <formula>NOT(ISERROR(SEARCH("NA",Z3)))</formula>
    </cfRule>
  </conditionalFormatting>
  <conditionalFormatting sqref="AR31">
    <cfRule type="containsText" dxfId="9378" priority="3463" operator="containsText" text="NA">
      <formula>NOT(ISERROR(SEARCH("NA",Z3)))</formula>
    </cfRule>
  </conditionalFormatting>
  <conditionalFormatting sqref="AS24 AT24">
    <cfRule type="containsText" dxfId="9377" priority="3464" operator="containsText" text="NA">
      <formula>NOT(ISERROR(SEARCH("NA",Z3)))</formula>
    </cfRule>
  </conditionalFormatting>
  <conditionalFormatting sqref="AS25">
    <cfRule type="containsText" dxfId="9376" priority="3465" operator="containsText" text="NA">
      <formula>NOT(ISERROR(SEARCH("NA",Z3)))</formula>
    </cfRule>
  </conditionalFormatting>
  <conditionalFormatting sqref="AS27">
    <cfRule type="containsText" dxfId="9375" priority="3466" operator="containsText" text="NA">
      <formula>NOT(ISERROR(SEARCH("NA",Z3)))</formula>
    </cfRule>
  </conditionalFormatting>
  <conditionalFormatting sqref="AW22">
    <cfRule type="containsText" dxfId="9374" priority="3467" operator="containsText" text="NA">
      <formula>NOT(ISERROR(SEARCH("NA",Z3)))</formula>
    </cfRule>
  </conditionalFormatting>
  <conditionalFormatting sqref="AW25">
    <cfRule type="containsText" dxfId="9373" priority="3468" operator="containsText" text="NA">
      <formula>NOT(ISERROR(SEARCH("NA",Z3)))</formula>
    </cfRule>
  </conditionalFormatting>
  <conditionalFormatting sqref="AX27">
    <cfRule type="containsText" dxfId="9372" priority="3469" operator="containsText" text="NA">
      <formula>NOT(ISERROR(SEARCH("NA",Z3)))</formula>
    </cfRule>
  </conditionalFormatting>
  <conditionalFormatting sqref="AQ56">
    <cfRule type="containsText" dxfId="9371" priority="3470" operator="containsText" text="NA">
      <formula>NOT(ISERROR(SEARCH("NA",Z3)))</formula>
    </cfRule>
  </conditionalFormatting>
  <conditionalFormatting sqref="AR55">
    <cfRule type="containsText" dxfId="9370" priority="3471" operator="containsText" text="NA">
      <formula>NOT(ISERROR(SEARCH("NA",Z3)))</formula>
    </cfRule>
  </conditionalFormatting>
  <conditionalFormatting sqref="AR56">
    <cfRule type="containsText" dxfId="9369" priority="3472" operator="containsText" text="NA">
      <formula>NOT(ISERROR(SEARCH("NA",Z3)))</formula>
    </cfRule>
  </conditionalFormatting>
  <conditionalFormatting sqref="AM24">
    <cfRule type="containsText" dxfId="9368" priority="3473" operator="containsText" text="NA">
      <formula>NOT(ISERROR(SEARCH("NA",Z3)))</formula>
    </cfRule>
  </conditionalFormatting>
  <conditionalFormatting sqref="AG25">
    <cfRule type="containsText" dxfId="9367" priority="3474" operator="containsText" text="NA">
      <formula>NOT(ISERROR(SEARCH("NA",Z3)))</formula>
    </cfRule>
  </conditionalFormatting>
  <conditionalFormatting sqref="AW41:AW52">
    <cfRule type="containsText" dxfId="9366" priority="3475" operator="containsText" text="NA">
      <formula>NOT(ISERROR(SEARCH("NA",Z3)))</formula>
    </cfRule>
  </conditionalFormatting>
  <conditionalFormatting sqref="AE42 AF42">
    <cfRule type="containsText" dxfId="9365" priority="3476" operator="containsText" text="NA">
      <formula>NOT(ISERROR(SEARCH("NA",Z3)))</formula>
    </cfRule>
  </conditionalFormatting>
  <conditionalFormatting sqref="AF47">
    <cfRule type="containsText" dxfId="9364" priority="3477" operator="containsText" text="NA">
      <formula>NOT(ISERROR(SEARCH("NA",Z3)))</formula>
    </cfRule>
  </conditionalFormatting>
  <conditionalFormatting sqref="AF49">
    <cfRule type="containsText" dxfId="9363" priority="3478" operator="containsText" text="NA">
      <formula>NOT(ISERROR(SEARCH("NA",Z3)))</formula>
    </cfRule>
  </conditionalFormatting>
  <conditionalFormatting sqref="AF43">
    <cfRule type="containsText" dxfId="9362" priority="3479" operator="containsText" text="NA">
      <formula>NOT(ISERROR(SEARCH("NA",Z3)))</formula>
    </cfRule>
  </conditionalFormatting>
  <conditionalFormatting sqref="AS44">
    <cfRule type="containsText" dxfId="9361" priority="3480" operator="containsText" text="NA">
      <formula>NOT(ISERROR(SEARCH("NA",Z3)))</formula>
    </cfRule>
  </conditionalFormatting>
  <conditionalFormatting sqref="AS47">
    <cfRule type="containsText" dxfId="9360" priority="3481" operator="containsText" text="NA">
      <formula>NOT(ISERROR(SEARCH("NA",Z3)))</formula>
    </cfRule>
  </conditionalFormatting>
  <conditionalFormatting sqref="AS49">
    <cfRule type="containsText" dxfId="9359" priority="3482" operator="containsText" text="NA">
      <formula>NOT(ISERROR(SEARCH("NA",Z3)))</formula>
    </cfRule>
  </conditionalFormatting>
  <conditionalFormatting sqref="AS51">
    <cfRule type="containsText" dxfId="9358" priority="3483" operator="containsText" text="NA">
      <formula>NOT(ISERROR(SEARCH("NA",Z3)))</formula>
    </cfRule>
  </conditionalFormatting>
  <conditionalFormatting sqref="AT42:AT43">
    <cfRule type="containsText" dxfId="9357" priority="3484" operator="containsText" text="NA">
      <formula>NOT(ISERROR(SEARCH("NA",Z3)))</formula>
    </cfRule>
  </conditionalFormatting>
  <conditionalFormatting sqref="AT41">
    <cfRule type="containsText" dxfId="9356" priority="3485" operator="containsText" text="NA">
      <formula>NOT(ISERROR(SEARCH("NA",Z3)))</formula>
    </cfRule>
  </conditionalFormatting>
  <conditionalFormatting sqref="AT46">
    <cfRule type="containsText" dxfId="9355" priority="3486" operator="containsText" text="NA">
      <formula>NOT(ISERROR(SEARCH("NA",Z3)))</formula>
    </cfRule>
  </conditionalFormatting>
  <conditionalFormatting sqref="AT48">
    <cfRule type="containsText" dxfId="9354" priority="3487" operator="containsText" text="NA">
      <formula>NOT(ISERROR(SEARCH("NA",Z3)))</formula>
    </cfRule>
  </conditionalFormatting>
  <conditionalFormatting sqref="AT50">
    <cfRule type="containsText" dxfId="9353" priority="3488" operator="containsText" text="NA">
      <formula>NOT(ISERROR(SEARCH("NA",Z3)))</formula>
    </cfRule>
  </conditionalFormatting>
  <conditionalFormatting sqref="AT52">
    <cfRule type="containsText" dxfId="9352" priority="3489" operator="containsText" text="NA">
      <formula>NOT(ISERROR(SEARCH("NA",Z3)))</formula>
    </cfRule>
  </conditionalFormatting>
  <conditionalFormatting sqref="AW32:AW40">
    <cfRule type="containsText" dxfId="9351" priority="3490" operator="containsText" text="NA">
      <formula>NOT(ISERROR(SEARCH("NA",Z3)))</formula>
    </cfRule>
  </conditionalFormatting>
  <conditionalFormatting sqref="AH33 AI33 AJ33 AK33 AL33 AM33 AN33 AO33 AP33 AQ33 AR33">
    <cfRule type="containsText" dxfId="9350" priority="3491" operator="containsText" text="NA">
      <formula>NOT(ISERROR(SEARCH("NA",Z3)))</formula>
    </cfRule>
  </conditionalFormatting>
  <conditionalFormatting sqref="AN35:AN36 AO35:AO36">
    <cfRule type="containsText" dxfId="9349" priority="3492" operator="containsText" text="NA">
      <formula>NOT(ISERROR(SEARCH("NA",Z3)))</formula>
    </cfRule>
  </conditionalFormatting>
  <conditionalFormatting sqref="AV31">
    <cfRule type="containsText" dxfId="9348" priority="3493" operator="containsText" text="NA">
      <formula>NOT(ISERROR(SEARCH("NA",Z3)))</formula>
    </cfRule>
  </conditionalFormatting>
  <conditionalFormatting sqref="AW31">
    <cfRule type="containsText" dxfId="9347" priority="3494" operator="containsText" text="NA">
      <formula>NOT(ISERROR(SEARCH("NA",Z3)))</formula>
    </cfRule>
  </conditionalFormatting>
  <conditionalFormatting sqref="AX31">
    <cfRule type="containsText" dxfId="9346" priority="3495" operator="containsText" text="NA">
      <formula>NOT(ISERROR(SEARCH("NA",Z3)))</formula>
    </cfRule>
  </conditionalFormatting>
  <conditionalFormatting sqref="AT23:AT24">
    <cfRule type="containsText" dxfId="9345" priority="3496" operator="containsText" text="NA">
      <formula>NOT(ISERROR(SEARCH("NA",Z3)))</formula>
    </cfRule>
  </conditionalFormatting>
  <conditionalFormatting sqref="AU23:AU24">
    <cfRule type="containsText" dxfId="9344" priority="3497" operator="containsText" text="NA">
      <formula>NOT(ISERROR(SEARCH("NA",Z3)))</formula>
    </cfRule>
  </conditionalFormatting>
  <conditionalFormatting sqref="AV23:AV24">
    <cfRule type="containsText" dxfId="9343" priority="3498" operator="containsText" text="NA">
      <formula>NOT(ISERROR(SEARCH("NA",Z3)))</formula>
    </cfRule>
  </conditionalFormatting>
  <conditionalFormatting sqref="AW23:AW24">
    <cfRule type="containsText" dxfId="9342" priority="3499" operator="containsText" text="NA">
      <formula>NOT(ISERROR(SEARCH("NA",Z3)))</formula>
    </cfRule>
  </conditionalFormatting>
  <conditionalFormatting sqref="AX23:AX24">
    <cfRule type="containsText" dxfId="9341" priority="3500" operator="containsText" text="NA">
      <formula>NOT(ISERROR(SEARCH("NA",Z3)))</formula>
    </cfRule>
  </conditionalFormatting>
  <pageMargins left="0.7" right="0.7" top="0.75" bottom="0.75" header="0.3" footer="0.3"/>
  <pageSetup paperSize="9" scale="14"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D660F-4C5F-4CB1-AA42-337DF4C26D22}">
  <dimension ref="A2:C72"/>
  <sheetViews>
    <sheetView showGridLines="0" workbookViewId="0">
      <selection activeCell="B1" sqref="B1"/>
    </sheetView>
  </sheetViews>
  <sheetFormatPr defaultColWidth="8.85546875" defaultRowHeight="15" x14ac:dyDescent="0.25"/>
  <cols>
    <col min="2" max="2" width="69.42578125" customWidth="1"/>
    <col min="3" max="3" width="59.140625" bestFit="1" customWidth="1"/>
  </cols>
  <sheetData>
    <row r="2" spans="1:3" x14ac:dyDescent="0.25">
      <c r="B2" s="402" t="s">
        <v>602</v>
      </c>
      <c r="C2" s="402"/>
    </row>
    <row r="3" spans="1:3" x14ac:dyDescent="0.25">
      <c r="A3" s="292"/>
      <c r="B3" s="292"/>
      <c r="C3" s="292"/>
    </row>
    <row r="4" spans="1:3" x14ac:dyDescent="0.25">
      <c r="A4" s="292"/>
      <c r="B4" s="290" t="s">
        <v>135</v>
      </c>
      <c r="C4" s="291" t="s">
        <v>549</v>
      </c>
    </row>
    <row r="5" spans="1:3" ht="45" x14ac:dyDescent="0.25">
      <c r="A5" s="292">
        <v>1</v>
      </c>
      <c r="B5" s="293" t="s">
        <v>603</v>
      </c>
      <c r="C5" s="296" t="s">
        <v>604</v>
      </c>
    </row>
    <row r="6" spans="1:3" x14ac:dyDescent="0.25">
      <c r="A6" s="292">
        <v>2</v>
      </c>
      <c r="B6" s="293" t="s">
        <v>605</v>
      </c>
      <c r="C6" s="294" t="s">
        <v>606</v>
      </c>
    </row>
    <row r="7" spans="1:3" ht="30" x14ac:dyDescent="0.25">
      <c r="A7" s="292">
        <v>3</v>
      </c>
      <c r="B7" s="293" t="s">
        <v>607</v>
      </c>
      <c r="C7" s="296" t="s">
        <v>608</v>
      </c>
    </row>
    <row r="8" spans="1:3" ht="45" x14ac:dyDescent="0.25">
      <c r="A8" s="292">
        <v>4</v>
      </c>
      <c r="B8" s="293" t="s">
        <v>609</v>
      </c>
      <c r="C8" s="296" t="s">
        <v>610</v>
      </c>
    </row>
    <row r="9" spans="1:3" ht="45" x14ac:dyDescent="0.25">
      <c r="A9" s="292">
        <v>5</v>
      </c>
      <c r="B9" s="293" t="s">
        <v>611</v>
      </c>
      <c r="C9" s="296" t="s">
        <v>612</v>
      </c>
    </row>
    <row r="10" spans="1:3" x14ac:dyDescent="0.25">
      <c r="A10" s="292">
        <v>6</v>
      </c>
      <c r="B10" s="293" t="s">
        <v>613</v>
      </c>
      <c r="C10" s="294" t="s">
        <v>614</v>
      </c>
    </row>
    <row r="11" spans="1:3" x14ac:dyDescent="0.25">
      <c r="A11" s="292">
        <v>7</v>
      </c>
      <c r="B11" s="293" t="s">
        <v>615</v>
      </c>
      <c r="C11" s="296" t="s">
        <v>616</v>
      </c>
    </row>
    <row r="12" spans="1:3" x14ac:dyDescent="0.25">
      <c r="A12" s="292">
        <v>8</v>
      </c>
      <c r="B12" s="293" t="s">
        <v>617</v>
      </c>
      <c r="C12" s="294" t="s">
        <v>618</v>
      </c>
    </row>
    <row r="13" spans="1:3" x14ac:dyDescent="0.25">
      <c r="A13" s="292">
        <v>9</v>
      </c>
      <c r="B13" s="293" t="s">
        <v>619</v>
      </c>
      <c r="C13" s="294" t="s">
        <v>614</v>
      </c>
    </row>
    <row r="14" spans="1:3" x14ac:dyDescent="0.25">
      <c r="A14" s="292"/>
      <c r="B14" s="293" t="s">
        <v>447</v>
      </c>
      <c r="C14" s="294" t="s">
        <v>447</v>
      </c>
    </row>
    <row r="15" spans="1:3" x14ac:dyDescent="0.25">
      <c r="A15" s="292"/>
      <c r="B15" s="295" t="s">
        <v>620</v>
      </c>
      <c r="C15" s="294" t="s">
        <v>447</v>
      </c>
    </row>
    <row r="16" spans="1:3" x14ac:dyDescent="0.25">
      <c r="A16" s="292">
        <v>1</v>
      </c>
      <c r="B16" s="293" t="s">
        <v>621</v>
      </c>
      <c r="C16" s="294" t="s">
        <v>622</v>
      </c>
    </row>
    <row r="17" spans="1:3" x14ac:dyDescent="0.25">
      <c r="A17" s="292">
        <v>2</v>
      </c>
      <c r="B17" s="293" t="s">
        <v>623</v>
      </c>
      <c r="C17" s="294" t="s">
        <v>624</v>
      </c>
    </row>
    <row r="18" spans="1:3" x14ac:dyDescent="0.25">
      <c r="A18" s="292">
        <v>3</v>
      </c>
      <c r="B18" s="293" t="s">
        <v>625</v>
      </c>
      <c r="C18" s="294" t="s">
        <v>626</v>
      </c>
    </row>
    <row r="19" spans="1:3" x14ac:dyDescent="0.25">
      <c r="A19" s="292">
        <v>4</v>
      </c>
      <c r="B19" s="293" t="s">
        <v>627</v>
      </c>
      <c r="C19" s="294" t="s">
        <v>628</v>
      </c>
    </row>
    <row r="20" spans="1:3" x14ac:dyDescent="0.25">
      <c r="A20" s="292">
        <v>5</v>
      </c>
      <c r="B20" s="293" t="s">
        <v>629</v>
      </c>
      <c r="C20" s="294" t="s">
        <v>630</v>
      </c>
    </row>
    <row r="21" spans="1:3" x14ac:dyDescent="0.25">
      <c r="A21" s="292">
        <v>6</v>
      </c>
      <c r="B21" s="293" t="s">
        <v>631</v>
      </c>
      <c r="C21" s="294" t="s">
        <v>632</v>
      </c>
    </row>
    <row r="22" spans="1:3" x14ac:dyDescent="0.25">
      <c r="A22" s="292"/>
      <c r="B22" s="293" t="s">
        <v>447</v>
      </c>
      <c r="C22" s="294" t="s">
        <v>447</v>
      </c>
    </row>
    <row r="23" spans="1:3" x14ac:dyDescent="0.25">
      <c r="A23" s="292"/>
      <c r="B23" s="293" t="s">
        <v>447</v>
      </c>
      <c r="C23" s="294" t="s">
        <v>447</v>
      </c>
    </row>
    <row r="24" spans="1:3" x14ac:dyDescent="0.25">
      <c r="A24" s="292"/>
      <c r="B24" s="295" t="s">
        <v>197</v>
      </c>
      <c r="C24" s="294" t="s">
        <v>447</v>
      </c>
    </row>
    <row r="25" spans="1:3" x14ac:dyDescent="0.25">
      <c r="A25" s="292">
        <v>1</v>
      </c>
      <c r="B25" s="293" t="s">
        <v>633</v>
      </c>
      <c r="C25" s="294" t="s">
        <v>630</v>
      </c>
    </row>
    <row r="26" spans="1:3" x14ac:dyDescent="0.25">
      <c r="A26" s="292">
        <v>2</v>
      </c>
      <c r="B26" s="293" t="s">
        <v>634</v>
      </c>
      <c r="C26" s="294" t="s">
        <v>630</v>
      </c>
    </row>
    <row r="27" spans="1:3" x14ac:dyDescent="0.25">
      <c r="A27" s="292">
        <v>3</v>
      </c>
      <c r="B27" s="293" t="s">
        <v>635</v>
      </c>
      <c r="C27" s="294" t="s">
        <v>636</v>
      </c>
    </row>
    <row r="28" spans="1:3" x14ac:dyDescent="0.25">
      <c r="A28" s="292">
        <v>4</v>
      </c>
      <c r="B28" s="293" t="s">
        <v>637</v>
      </c>
      <c r="C28" s="294" t="s">
        <v>630</v>
      </c>
    </row>
    <row r="29" spans="1:3" x14ac:dyDescent="0.25">
      <c r="A29" s="292">
        <v>5</v>
      </c>
      <c r="B29" s="293" t="s">
        <v>638</v>
      </c>
      <c r="C29" s="294" t="s">
        <v>639</v>
      </c>
    </row>
    <row r="30" spans="1:3" x14ac:dyDescent="0.25">
      <c r="A30" s="292">
        <v>6</v>
      </c>
      <c r="B30" s="293" t="s">
        <v>640</v>
      </c>
      <c r="C30" s="294" t="s">
        <v>641</v>
      </c>
    </row>
    <row r="31" spans="1:3" x14ac:dyDescent="0.25">
      <c r="A31" s="292"/>
      <c r="B31" s="293" t="s">
        <v>447</v>
      </c>
      <c r="C31" s="294" t="s">
        <v>447</v>
      </c>
    </row>
    <row r="32" spans="1:3" x14ac:dyDescent="0.25">
      <c r="A32" s="292"/>
      <c r="B32" s="295" t="s">
        <v>567</v>
      </c>
      <c r="C32" s="294" t="s">
        <v>447</v>
      </c>
    </row>
    <row r="33" spans="1:3" x14ac:dyDescent="0.25">
      <c r="A33" s="292">
        <v>1</v>
      </c>
      <c r="B33" s="293" t="s">
        <v>642</v>
      </c>
      <c r="C33" s="294" t="s">
        <v>447</v>
      </c>
    </row>
    <row r="34" spans="1:3" x14ac:dyDescent="0.25">
      <c r="A34" s="292">
        <v>2</v>
      </c>
      <c r="B34" s="293" t="s">
        <v>643</v>
      </c>
      <c r="C34" s="294" t="s">
        <v>644</v>
      </c>
    </row>
    <row r="35" spans="1:3" x14ac:dyDescent="0.25">
      <c r="A35" s="292">
        <v>3</v>
      </c>
      <c r="B35" s="293" t="s">
        <v>645</v>
      </c>
      <c r="C35" s="294" t="s">
        <v>646</v>
      </c>
    </row>
    <row r="36" spans="1:3" x14ac:dyDescent="0.25">
      <c r="A36" s="292">
        <v>4</v>
      </c>
      <c r="B36" s="293" t="s">
        <v>647</v>
      </c>
      <c r="C36" s="294" t="s">
        <v>648</v>
      </c>
    </row>
    <row r="37" spans="1:3" x14ac:dyDescent="0.25">
      <c r="A37" s="292">
        <v>5</v>
      </c>
      <c r="B37" s="293" t="s">
        <v>649</v>
      </c>
      <c r="C37" s="294" t="s">
        <v>646</v>
      </c>
    </row>
    <row r="38" spans="1:3" x14ac:dyDescent="0.25">
      <c r="A38" s="292">
        <v>6</v>
      </c>
      <c r="B38" s="293" t="s">
        <v>650</v>
      </c>
      <c r="C38" s="294" t="s">
        <v>447</v>
      </c>
    </row>
    <row r="39" spans="1:3" x14ac:dyDescent="0.25">
      <c r="A39" s="292">
        <v>7</v>
      </c>
      <c r="B39" s="293" t="s">
        <v>651</v>
      </c>
      <c r="C39" s="294" t="s">
        <v>447</v>
      </c>
    </row>
    <row r="40" spans="1:3" x14ac:dyDescent="0.25">
      <c r="A40" s="292">
        <v>8</v>
      </c>
      <c r="B40" s="293" t="s">
        <v>652</v>
      </c>
      <c r="C40" s="294"/>
    </row>
    <row r="41" spans="1:3" x14ac:dyDescent="0.25">
      <c r="A41" s="292">
        <v>9</v>
      </c>
      <c r="B41" s="293" t="s">
        <v>653</v>
      </c>
      <c r="C41" s="294" t="s">
        <v>447</v>
      </c>
    </row>
    <row r="42" spans="1:3" x14ac:dyDescent="0.25">
      <c r="A42" s="292">
        <v>10</v>
      </c>
      <c r="B42" s="293" t="s">
        <v>654</v>
      </c>
      <c r="C42" s="294" t="s">
        <v>447</v>
      </c>
    </row>
    <row r="43" spans="1:3" x14ac:dyDescent="0.25">
      <c r="A43" s="292"/>
      <c r="B43" s="293" t="s">
        <v>447</v>
      </c>
      <c r="C43" s="294" t="s">
        <v>447</v>
      </c>
    </row>
    <row r="44" spans="1:3" x14ac:dyDescent="0.25">
      <c r="A44" s="292"/>
      <c r="B44" s="293" t="s">
        <v>447</v>
      </c>
      <c r="C44" s="294" t="s">
        <v>447</v>
      </c>
    </row>
    <row r="45" spans="1:3" x14ac:dyDescent="0.25">
      <c r="A45" s="292"/>
      <c r="B45" s="293" t="s">
        <v>447</v>
      </c>
      <c r="C45" s="294" t="s">
        <v>447</v>
      </c>
    </row>
    <row r="46" spans="1:3" x14ac:dyDescent="0.25">
      <c r="A46" s="292"/>
      <c r="B46" s="295" t="s">
        <v>655</v>
      </c>
      <c r="C46" s="294" t="s">
        <v>447</v>
      </c>
    </row>
    <row r="47" spans="1:3" x14ac:dyDescent="0.25">
      <c r="A47" s="292">
        <v>1</v>
      </c>
      <c r="B47" s="293" t="s">
        <v>656</v>
      </c>
      <c r="C47" s="294" t="s">
        <v>447</v>
      </c>
    </row>
    <row r="48" spans="1:3" x14ac:dyDescent="0.25">
      <c r="A48" s="292">
        <v>2</v>
      </c>
      <c r="B48" s="293" t="s">
        <v>657</v>
      </c>
      <c r="C48" s="294" t="s">
        <v>447</v>
      </c>
    </row>
    <row r="49" spans="1:3" x14ac:dyDescent="0.25">
      <c r="A49" s="292">
        <v>3</v>
      </c>
      <c r="B49" s="293" t="s">
        <v>658</v>
      </c>
      <c r="C49" s="294" t="s">
        <v>447</v>
      </c>
    </row>
    <row r="50" spans="1:3" x14ac:dyDescent="0.25">
      <c r="A50" s="292">
        <v>4</v>
      </c>
      <c r="B50" s="293" t="s">
        <v>659</v>
      </c>
      <c r="C50" s="294" t="s">
        <v>447</v>
      </c>
    </row>
    <row r="51" spans="1:3" x14ac:dyDescent="0.25">
      <c r="A51" s="292">
        <v>5</v>
      </c>
      <c r="B51" s="293" t="s">
        <v>660</v>
      </c>
      <c r="C51" s="294" t="s">
        <v>447</v>
      </c>
    </row>
    <row r="52" spans="1:3" x14ac:dyDescent="0.25">
      <c r="A52" s="292">
        <v>6</v>
      </c>
      <c r="B52" s="293" t="s">
        <v>661</v>
      </c>
      <c r="C52" s="294" t="s">
        <v>447</v>
      </c>
    </row>
    <row r="53" spans="1:3" x14ac:dyDescent="0.25">
      <c r="A53" s="292">
        <v>7</v>
      </c>
      <c r="B53" s="293" t="s">
        <v>662</v>
      </c>
      <c r="C53" s="294" t="s">
        <v>447</v>
      </c>
    </row>
    <row r="54" spans="1:3" x14ac:dyDescent="0.25">
      <c r="A54" s="292"/>
      <c r="B54" s="293" t="s">
        <v>447</v>
      </c>
      <c r="C54" s="294" t="s">
        <v>447</v>
      </c>
    </row>
    <row r="55" spans="1:3" x14ac:dyDescent="0.25">
      <c r="A55" s="292"/>
      <c r="B55" s="295" t="s">
        <v>584</v>
      </c>
      <c r="C55" s="294" t="s">
        <v>447</v>
      </c>
    </row>
    <row r="56" spans="1:3" x14ac:dyDescent="0.25">
      <c r="A56" s="292">
        <v>1</v>
      </c>
      <c r="B56" s="293" t="s">
        <v>663</v>
      </c>
      <c r="C56" s="294" t="s">
        <v>447</v>
      </c>
    </row>
    <row r="57" spans="1:3" x14ac:dyDescent="0.25">
      <c r="A57" s="292">
        <v>2</v>
      </c>
      <c r="B57" s="293" t="s">
        <v>664</v>
      </c>
      <c r="C57" s="294" t="s">
        <v>447</v>
      </c>
    </row>
    <row r="58" spans="1:3" x14ac:dyDescent="0.25">
      <c r="A58" s="292">
        <v>3</v>
      </c>
      <c r="B58" s="293" t="s">
        <v>665</v>
      </c>
      <c r="C58" s="294" t="s">
        <v>447</v>
      </c>
    </row>
    <row r="59" spans="1:3" x14ac:dyDescent="0.25">
      <c r="A59" s="292">
        <v>4</v>
      </c>
      <c r="B59" s="293" t="s">
        <v>666</v>
      </c>
      <c r="C59" s="294" t="s">
        <v>447</v>
      </c>
    </row>
    <row r="60" spans="1:3" x14ac:dyDescent="0.25">
      <c r="A60" s="292">
        <v>5</v>
      </c>
      <c r="B60" s="293" t="s">
        <v>667</v>
      </c>
      <c r="C60" s="294" t="s">
        <v>447</v>
      </c>
    </row>
    <row r="61" spans="1:3" x14ac:dyDescent="0.25">
      <c r="A61" s="292">
        <v>6</v>
      </c>
      <c r="B61" s="293" t="s">
        <v>668</v>
      </c>
      <c r="C61" s="294" t="s">
        <v>447</v>
      </c>
    </row>
    <row r="62" spans="1:3" x14ac:dyDescent="0.25">
      <c r="A62" s="292">
        <v>7</v>
      </c>
      <c r="B62" s="293" t="s">
        <v>669</v>
      </c>
      <c r="C62" s="294" t="s">
        <v>447</v>
      </c>
    </row>
    <row r="63" spans="1:3" x14ac:dyDescent="0.25">
      <c r="A63" s="292">
        <v>8</v>
      </c>
      <c r="B63" s="293" t="s">
        <v>670</v>
      </c>
      <c r="C63" s="294" t="s">
        <v>447</v>
      </c>
    </row>
    <row r="64" spans="1:3" x14ac:dyDescent="0.25">
      <c r="A64" s="292">
        <v>9</v>
      </c>
      <c r="B64" s="293" t="s">
        <v>671</v>
      </c>
      <c r="C64" s="294" t="s">
        <v>447</v>
      </c>
    </row>
    <row r="65" spans="1:3" x14ac:dyDescent="0.25">
      <c r="A65" s="292"/>
      <c r="B65" s="293" t="s">
        <v>447</v>
      </c>
      <c r="C65" s="294" t="s">
        <v>447</v>
      </c>
    </row>
    <row r="66" spans="1:3" x14ac:dyDescent="0.25">
      <c r="A66" s="292"/>
      <c r="B66" s="295" t="s">
        <v>672</v>
      </c>
      <c r="C66" s="294" t="s">
        <v>447</v>
      </c>
    </row>
    <row r="67" spans="1:3" x14ac:dyDescent="0.25">
      <c r="A67" s="292">
        <v>1</v>
      </c>
      <c r="B67" s="293" t="s">
        <v>673</v>
      </c>
      <c r="C67" s="294" t="s">
        <v>447</v>
      </c>
    </row>
    <row r="68" spans="1:3" x14ac:dyDescent="0.25">
      <c r="A68" s="292">
        <v>2</v>
      </c>
      <c r="B68" s="293" t="s">
        <v>674</v>
      </c>
      <c r="C68" s="294" t="s">
        <v>447</v>
      </c>
    </row>
    <row r="69" spans="1:3" x14ac:dyDescent="0.25">
      <c r="A69" s="292">
        <v>3</v>
      </c>
      <c r="B69" s="293" t="s">
        <v>675</v>
      </c>
      <c r="C69" s="294" t="s">
        <v>447</v>
      </c>
    </row>
    <row r="70" spans="1:3" x14ac:dyDescent="0.25">
      <c r="A70" s="292">
        <v>4</v>
      </c>
      <c r="B70" s="293" t="s">
        <v>676</v>
      </c>
      <c r="C70" s="294" t="s">
        <v>447</v>
      </c>
    </row>
    <row r="71" spans="1:3" x14ac:dyDescent="0.25">
      <c r="A71" s="292">
        <v>5</v>
      </c>
      <c r="B71" s="293" t="s">
        <v>677</v>
      </c>
      <c r="C71" s="294" t="s">
        <v>447</v>
      </c>
    </row>
    <row r="72" spans="1:3" x14ac:dyDescent="0.25">
      <c r="A72" s="292">
        <v>6</v>
      </c>
      <c r="B72" s="293" t="s">
        <v>678</v>
      </c>
      <c r="C72" s="294" t="s">
        <v>447</v>
      </c>
    </row>
  </sheetData>
  <mergeCells count="1">
    <mergeCell ref="B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Recurring tasks</vt:lpstr>
      <vt:lpstr>Audit- FY 2023-24</vt:lpstr>
      <vt:lpstr>Audit</vt:lpstr>
      <vt:lpstr>MIS</vt:lpstr>
      <vt:lpstr>Internal Audit</vt:lpstr>
      <vt:lpstr>Tracker review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Lenovo</cp:lastModifiedBy>
  <cp:revision>568</cp:revision>
  <dcterms:created xsi:type="dcterms:W3CDTF">2024-01-02T05:30:31Z</dcterms:created>
  <dcterms:modified xsi:type="dcterms:W3CDTF">2025-12-26T07:38:55Z</dcterms:modified>
  <cp:category/>
  <cp:contentStatus/>
</cp:coreProperties>
</file>